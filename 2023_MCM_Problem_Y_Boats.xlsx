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DELL\Desktop\美赛\"/>
    </mc:Choice>
  </mc:AlternateContent>
  <xr:revisionPtr revIDLastSave="0" documentId="13_ncr:1_{B8251A33-E2C8-4863-A284-22986D61FBAE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Monohulled" sheetId="9" r:id="rId1"/>
    <sheet name="Sheet1" sheetId="11" r:id="rId2"/>
    <sheet name="Catamarans" sheetId="10" r:id="rId3"/>
  </sheets>
  <calcPr calcId="191029"/>
</workbook>
</file>

<file path=xl/calcChain.xml><?xml version="1.0" encoding="utf-8"?>
<calcChain xmlns="http://schemas.openxmlformats.org/spreadsheetml/2006/main">
  <c r="H32" i="11" l="1"/>
  <c r="I23" i="11"/>
  <c r="I24" i="11"/>
  <c r="I25" i="11"/>
  <c r="I26" i="11"/>
  <c r="I27" i="11"/>
  <c r="K27" i="11" s="1"/>
  <c r="I28" i="11"/>
  <c r="K28" i="11" s="1"/>
  <c r="I29" i="11"/>
  <c r="K29" i="11" s="1"/>
  <c r="I30" i="11"/>
  <c r="K30" i="11" s="1"/>
  <c r="I31" i="11"/>
  <c r="K31" i="11" s="1"/>
  <c r="I22" i="11"/>
  <c r="K26" i="11"/>
  <c r="K25" i="11"/>
  <c r="K24" i="11"/>
  <c r="K23" i="11"/>
  <c r="K22" i="11"/>
  <c r="V12" i="11"/>
  <c r="V2" i="11"/>
  <c r="T10" i="11"/>
  <c r="V3" i="11"/>
  <c r="V4" i="11"/>
  <c r="V5" i="11"/>
  <c r="V6" i="11"/>
  <c r="V7" i="11"/>
  <c r="V8" i="11"/>
  <c r="V9" i="11"/>
  <c r="V10" i="11"/>
  <c r="V11" i="11"/>
  <c r="T3" i="11"/>
  <c r="T4" i="11"/>
  <c r="T5" i="11"/>
  <c r="T6" i="11"/>
  <c r="T7" i="11"/>
  <c r="T8" i="11"/>
  <c r="T9" i="11"/>
  <c r="T11" i="11"/>
  <c r="T2" i="11"/>
  <c r="J463" i="10"/>
  <c r="J1030" i="10"/>
  <c r="J979" i="10"/>
  <c r="J977" i="10"/>
  <c r="J980" i="10"/>
  <c r="J520" i="10"/>
  <c r="J356" i="10"/>
  <c r="J355" i="10"/>
  <c r="J361" i="10"/>
  <c r="J461" i="10"/>
  <c r="J831" i="10"/>
  <c r="J829" i="10"/>
  <c r="J462" i="10"/>
  <c r="J557" i="10"/>
  <c r="J556" i="10"/>
  <c r="J540" i="10"/>
  <c r="J565" i="10"/>
  <c r="J541" i="10"/>
  <c r="J103" i="10"/>
  <c r="J277" i="10"/>
  <c r="J834" i="10"/>
  <c r="J832" i="10"/>
  <c r="J833" i="10"/>
  <c r="J99" i="10"/>
  <c r="J98" i="10"/>
  <c r="J279" i="10"/>
  <c r="J384" i="10"/>
  <c r="J383" i="10"/>
  <c r="J382" i="10"/>
  <c r="J381" i="10"/>
  <c r="J380" i="10"/>
  <c r="J514" i="10"/>
  <c r="J940" i="10"/>
  <c r="J974" i="10"/>
  <c r="J973" i="10"/>
  <c r="J972" i="10"/>
  <c r="J971" i="10"/>
  <c r="J970" i="10"/>
  <c r="J1026" i="10"/>
  <c r="J1023" i="10"/>
  <c r="J1031" i="10"/>
  <c r="J983" i="10"/>
  <c r="J981" i="10"/>
  <c r="J1087" i="10"/>
  <c r="J978" i="10"/>
  <c r="J982" i="10"/>
  <c r="J830" i="10"/>
  <c r="J488" i="10"/>
  <c r="J545" i="10"/>
  <c r="J543" i="10"/>
  <c r="J542" i="10"/>
  <c r="J535" i="10"/>
  <c r="J533" i="10"/>
  <c r="J531" i="10"/>
  <c r="J528" i="10"/>
  <c r="J523" i="10"/>
  <c r="J521" i="10"/>
  <c r="J522" i="10"/>
  <c r="J554" i="10"/>
  <c r="J943" i="10"/>
  <c r="J314" i="10"/>
  <c r="J760" i="10"/>
  <c r="J759" i="10"/>
  <c r="J750" i="10"/>
  <c r="J749" i="10"/>
  <c r="J746" i="10"/>
  <c r="J745" i="10"/>
  <c r="J744" i="10"/>
  <c r="J228" i="10"/>
  <c r="J278" i="10"/>
  <c r="J111" i="10"/>
  <c r="J108" i="10"/>
  <c r="J141" i="10"/>
  <c r="J835" i="10"/>
  <c r="J110" i="10"/>
  <c r="J109" i="10"/>
  <c r="J106" i="10"/>
  <c r="J105" i="10"/>
  <c r="J104" i="10"/>
  <c r="J102" i="10"/>
  <c r="J100" i="10"/>
  <c r="J460" i="10"/>
  <c r="J286" i="10"/>
  <c r="J285" i="10"/>
  <c r="J518" i="10"/>
  <c r="J516" i="10"/>
  <c r="J517" i="10"/>
  <c r="J515" i="10"/>
  <c r="J377" i="10"/>
  <c r="J376" i="10"/>
  <c r="J316" i="10"/>
  <c r="J1075" i="10"/>
  <c r="J1076" i="10"/>
  <c r="J1113" i="10"/>
  <c r="J519" i="10"/>
  <c r="J477" i="10"/>
  <c r="J563" i="10"/>
  <c r="J561" i="10"/>
  <c r="J537" i="10"/>
  <c r="J571" i="10"/>
  <c r="J570" i="10"/>
  <c r="J548" i="10"/>
  <c r="J534" i="10"/>
  <c r="J526" i="10"/>
  <c r="J525" i="10"/>
  <c r="J555" i="10"/>
  <c r="J536" i="10"/>
  <c r="J493" i="10"/>
  <c r="J771" i="10"/>
  <c r="J754" i="10"/>
  <c r="J788" i="10"/>
  <c r="J524" i="10"/>
  <c r="J778" i="10"/>
  <c r="J284" i="10"/>
  <c r="J736" i="10"/>
  <c r="J987" i="10"/>
  <c r="J378" i="10"/>
  <c r="J375" i="10"/>
  <c r="J374" i="10"/>
  <c r="J317" i="10"/>
  <c r="J315" i="10"/>
  <c r="J1020" i="10"/>
  <c r="J1025" i="10"/>
  <c r="J1024" i="10"/>
  <c r="J1022" i="10"/>
  <c r="J1021" i="10"/>
  <c r="J1086" i="10"/>
  <c r="J1083" i="10"/>
  <c r="J1074" i="10"/>
  <c r="J1073" i="10"/>
  <c r="J1082" i="10"/>
  <c r="J1079" i="10"/>
  <c r="J1080" i="10"/>
  <c r="J1078" i="10"/>
  <c r="J1071" i="10"/>
  <c r="J1070" i="10"/>
  <c r="J1125" i="10"/>
  <c r="J1119" i="10"/>
  <c r="J1118" i="10"/>
  <c r="J1117" i="10"/>
  <c r="J1115" i="10"/>
  <c r="J1114" i="10"/>
  <c r="J1112" i="10"/>
  <c r="J789" i="10"/>
  <c r="J365" i="10"/>
  <c r="J363" i="10"/>
  <c r="J490" i="10"/>
  <c r="J483" i="10"/>
  <c r="J481" i="10"/>
  <c r="J476" i="10"/>
  <c r="J475" i="10"/>
  <c r="J474" i="10"/>
  <c r="J473" i="10"/>
  <c r="J469" i="10"/>
  <c r="J468" i="10"/>
  <c r="J487" i="10"/>
  <c r="J486" i="10"/>
  <c r="J485" i="10"/>
  <c r="J484" i="10"/>
  <c r="J482" i="10"/>
  <c r="J480" i="10"/>
  <c r="J479" i="10"/>
  <c r="J478" i="10"/>
  <c r="J471" i="10"/>
  <c r="J470" i="10"/>
  <c r="J491" i="10"/>
  <c r="J489" i="10"/>
  <c r="J532" i="10"/>
  <c r="J527" i="10"/>
  <c r="J572" i="10"/>
  <c r="J560" i="10"/>
  <c r="J559" i="10"/>
  <c r="J544" i="10"/>
  <c r="J530" i="10"/>
  <c r="J529" i="10"/>
  <c r="J575" i="10"/>
  <c r="J574" i="10"/>
  <c r="J567" i="10"/>
  <c r="J569" i="10"/>
  <c r="J568" i="10"/>
  <c r="J564" i="10"/>
  <c r="J562" i="10"/>
  <c r="J552" i="10"/>
  <c r="J551" i="10"/>
  <c r="J547" i="10"/>
  <c r="J546" i="10"/>
  <c r="J539" i="10"/>
  <c r="J538" i="10"/>
  <c r="J558" i="10"/>
  <c r="J766" i="10"/>
  <c r="J773" i="10"/>
  <c r="J765" i="10"/>
  <c r="J763" i="10"/>
  <c r="J761" i="10"/>
  <c r="J743" i="10"/>
  <c r="J742" i="10"/>
  <c r="J741" i="10"/>
  <c r="J740" i="10"/>
  <c r="J492" i="10"/>
  <c r="J772" i="10"/>
  <c r="J112" i="10"/>
  <c r="J267" i="10"/>
  <c r="J276" i="10"/>
  <c r="J272" i="10"/>
  <c r="J270" i="10"/>
  <c r="J836" i="10"/>
  <c r="J837" i="10"/>
  <c r="J140" i="10"/>
  <c r="J101" i="10"/>
  <c r="J233" i="10"/>
  <c r="J282" i="10"/>
  <c r="J281" i="10"/>
  <c r="J280" i="10"/>
  <c r="J738" i="10"/>
  <c r="J737" i="10"/>
  <c r="J735" i="10"/>
  <c r="J734" i="10"/>
  <c r="J780" i="10"/>
  <c r="J753" i="10"/>
  <c r="J751" i="10"/>
  <c r="J739" i="10"/>
  <c r="J465" i="10"/>
  <c r="J464" i="10"/>
  <c r="J1027" i="10"/>
  <c r="J1033" i="10"/>
  <c r="J1081" i="10"/>
  <c r="J1077" i="10"/>
  <c r="J1072" i="10"/>
  <c r="J1110" i="10"/>
  <c r="J1111" i="10"/>
  <c r="J472" i="10"/>
  <c r="J466" i="10"/>
  <c r="J576" i="10"/>
  <c r="J553" i="10"/>
  <c r="J578" i="10"/>
  <c r="J762" i="10"/>
  <c r="J758" i="10"/>
  <c r="J747" i="10"/>
  <c r="J467" i="10"/>
  <c r="J764" i="10"/>
  <c r="J269" i="10"/>
  <c r="J139" i="10"/>
  <c r="J138" i="10"/>
  <c r="J283" i="10"/>
  <c r="J847" i="10"/>
  <c r="J846" i="10"/>
  <c r="J288" i="10"/>
  <c r="J287" i="10"/>
  <c r="J975" i="10"/>
  <c r="J1047" i="10"/>
  <c r="J1046" i="10"/>
  <c r="J1045" i="10"/>
  <c r="J1036" i="10"/>
  <c r="J1029" i="10"/>
  <c r="J1028" i="10"/>
  <c r="J1085" i="10"/>
  <c r="J811" i="10"/>
  <c r="J385" i="10"/>
  <c r="J412" i="10"/>
  <c r="J410" i="10"/>
  <c r="J406" i="10"/>
  <c r="J403" i="10"/>
  <c r="J389" i="10"/>
  <c r="J387" i="10"/>
  <c r="J510" i="10"/>
  <c r="J499" i="10"/>
  <c r="J498" i="10"/>
  <c r="J494" i="10"/>
  <c r="J566" i="10"/>
  <c r="J549" i="10"/>
  <c r="J550" i="10"/>
  <c r="J573" i="10"/>
  <c r="J577" i="10"/>
  <c r="J774" i="10"/>
  <c r="J770" i="10"/>
  <c r="J769" i="10"/>
  <c r="J768" i="10"/>
  <c r="J767" i="10"/>
  <c r="J408" i="10"/>
  <c r="J55" i="10"/>
  <c r="J271" i="10"/>
  <c r="J268" i="10"/>
  <c r="J587" i="10"/>
  <c r="J586" i="10"/>
  <c r="J585" i="10"/>
  <c r="J584" i="10"/>
  <c r="J583" i="10"/>
  <c r="J581" i="10"/>
  <c r="J844" i="10"/>
  <c r="J843" i="10"/>
  <c r="J311" i="10"/>
  <c r="J779" i="10"/>
  <c r="J944" i="10"/>
  <c r="J379" i="10"/>
  <c r="J1035" i="10"/>
  <c r="J1053" i="10"/>
  <c r="J1048" i="10"/>
  <c r="J1043" i="10"/>
  <c r="J1040" i="10"/>
  <c r="J1041" i="10"/>
  <c r="J1034" i="10"/>
  <c r="J1032" i="10"/>
  <c r="J1084" i="10"/>
  <c r="J1120" i="10"/>
  <c r="J366" i="10"/>
  <c r="J402" i="10"/>
  <c r="J401" i="10"/>
  <c r="J390" i="10"/>
  <c r="J388" i="10"/>
  <c r="J386" i="10"/>
  <c r="J500" i="10"/>
  <c r="J495" i="10"/>
  <c r="J838" i="10"/>
  <c r="J839" i="10"/>
  <c r="J661" i="10"/>
  <c r="J707" i="10"/>
  <c r="J694" i="10"/>
  <c r="J691" i="10"/>
  <c r="J689" i="10"/>
  <c r="J686" i="10"/>
  <c r="J685" i="10"/>
  <c r="J662" i="10"/>
  <c r="J655" i="10"/>
  <c r="J860" i="10"/>
  <c r="J639" i="10"/>
  <c r="J622" i="10"/>
  <c r="J607" i="10"/>
  <c r="J869" i="10"/>
  <c r="J755" i="10"/>
  <c r="J748" i="10"/>
  <c r="J870" i="10"/>
  <c r="J89" i="10"/>
  <c r="J241" i="10"/>
  <c r="J239" i="10"/>
  <c r="J242" i="10"/>
  <c r="J240" i="10"/>
  <c r="J253" i="10"/>
  <c r="J254" i="10"/>
  <c r="J266" i="10"/>
  <c r="J90" i="10"/>
  <c r="J273" i="10"/>
  <c r="J582" i="10"/>
  <c r="J580" i="10"/>
  <c r="J579" i="10"/>
  <c r="J310" i="10"/>
  <c r="J313" i="10"/>
  <c r="J312" i="10"/>
  <c r="J988" i="10"/>
  <c r="J848" i="10"/>
  <c r="J1049" i="10"/>
  <c r="J1007" i="10"/>
  <c r="J997" i="10"/>
  <c r="J996" i="10"/>
  <c r="J1109" i="10"/>
  <c r="J1116" i="10"/>
  <c r="J76" i="10"/>
  <c r="J396" i="10"/>
  <c r="J394" i="10"/>
  <c r="J392" i="10"/>
  <c r="J421" i="10"/>
  <c r="J413" i="10"/>
  <c r="J411" i="10"/>
  <c r="J399" i="10"/>
  <c r="J397" i="10"/>
  <c r="J398" i="10"/>
  <c r="J393" i="10"/>
  <c r="J391" i="10"/>
  <c r="J507" i="10"/>
  <c r="J636" i="10"/>
  <c r="J857" i="10"/>
  <c r="J633" i="10"/>
  <c r="J632" i="10"/>
  <c r="J612" i="10"/>
  <c r="J673" i="10"/>
  <c r="J672" i="10"/>
  <c r="J660" i="10"/>
  <c r="J658" i="10"/>
  <c r="J656" i="10"/>
  <c r="J643" i="10"/>
  <c r="J642" i="10"/>
  <c r="J640" i="10"/>
  <c r="J624" i="10"/>
  <c r="J623" i="10"/>
  <c r="J619" i="10"/>
  <c r="J616" i="10"/>
  <c r="J610" i="10"/>
  <c r="J611" i="10"/>
  <c r="J609" i="10"/>
  <c r="J608" i="10"/>
  <c r="J606" i="10"/>
  <c r="J605" i="10"/>
  <c r="J601" i="10"/>
  <c r="J602" i="10"/>
  <c r="J599" i="10"/>
  <c r="J596" i="10"/>
  <c r="J595" i="10"/>
  <c r="J594" i="10"/>
  <c r="J593" i="10"/>
  <c r="J589" i="10"/>
  <c r="J588" i="10"/>
  <c r="J756" i="10"/>
  <c r="J757" i="10"/>
  <c r="J752" i="10"/>
  <c r="J369" i="10"/>
  <c r="J648" i="10"/>
  <c r="J247" i="10"/>
  <c r="J248" i="10"/>
  <c r="J235" i="10"/>
  <c r="J230" i="10"/>
  <c r="J775" i="10"/>
  <c r="J1146" i="10"/>
  <c r="J1067" i="10"/>
  <c r="J1068" i="10"/>
  <c r="J1051" i="10"/>
  <c r="J1050" i="10"/>
  <c r="J1039" i="10"/>
  <c r="J989" i="10"/>
  <c r="J1009" i="10"/>
  <c r="J1001" i="10"/>
  <c r="J994" i="10"/>
  <c r="J992" i="10"/>
  <c r="J1123" i="10"/>
  <c r="J1121" i="10"/>
  <c r="J1122" i="10"/>
  <c r="J73" i="10"/>
  <c r="J71" i="10"/>
  <c r="J69" i="10"/>
  <c r="J813" i="10"/>
  <c r="J409" i="10"/>
  <c r="J395" i="10"/>
  <c r="J449" i="10"/>
  <c r="J450" i="10"/>
  <c r="J826" i="10"/>
  <c r="J440" i="10"/>
  <c r="J428" i="10"/>
  <c r="J426" i="10"/>
  <c r="J812" i="10"/>
  <c r="J404" i="10"/>
  <c r="J405" i="10"/>
  <c r="J400" i="10"/>
  <c r="J509" i="10"/>
  <c r="J508" i="10"/>
  <c r="J627" i="10"/>
  <c r="J709" i="10"/>
  <c r="J644" i="10"/>
  <c r="J859" i="10"/>
  <c r="J856" i="10"/>
  <c r="J597" i="10"/>
  <c r="J592" i="10"/>
  <c r="J851" i="10"/>
  <c r="J590" i="10"/>
  <c r="J591" i="10"/>
  <c r="J900" i="10"/>
  <c r="J708" i="10"/>
  <c r="J705" i="10"/>
  <c r="J704" i="10"/>
  <c r="J700" i="10"/>
  <c r="J699" i="10"/>
  <c r="J695" i="10"/>
  <c r="J692" i="10"/>
  <c r="J850" i="10"/>
  <c r="J861" i="10"/>
  <c r="J649" i="10"/>
  <c r="J638" i="10"/>
  <c r="J637" i="10"/>
  <c r="J629" i="10"/>
  <c r="J626" i="10"/>
  <c r="J625" i="10"/>
  <c r="J621" i="10"/>
  <c r="J620" i="10"/>
  <c r="J618" i="10"/>
  <c r="J617" i="10"/>
  <c r="J604" i="10"/>
  <c r="J603" i="10"/>
  <c r="J600" i="10"/>
  <c r="J598" i="10"/>
  <c r="J334" i="10"/>
  <c r="J331" i="10"/>
  <c r="J960" i="10"/>
  <c r="J959" i="10"/>
  <c r="J327" i="10"/>
  <c r="J683" i="10"/>
  <c r="J338" i="10"/>
  <c r="J329" i="10"/>
  <c r="J330" i="10"/>
  <c r="J955" i="10"/>
  <c r="J94" i="10"/>
  <c r="J93" i="10"/>
  <c r="J232" i="10"/>
  <c r="J231" i="10"/>
  <c r="J304" i="10"/>
  <c r="J296" i="10"/>
  <c r="J297" i="10"/>
  <c r="J293" i="10"/>
  <c r="J776" i="10"/>
  <c r="J1052" i="10"/>
  <c r="J1038" i="10"/>
  <c r="J1037" i="10"/>
  <c r="J1044" i="10"/>
  <c r="J1010" i="10"/>
  <c r="J1126" i="10"/>
  <c r="J1124" i="10"/>
  <c r="J1090" i="10"/>
  <c r="J1088" i="10"/>
  <c r="J1127" i="10"/>
  <c r="J786" i="10"/>
  <c r="J368" i="10"/>
  <c r="J364" i="10"/>
  <c r="J787" i="10"/>
  <c r="J359" i="10"/>
  <c r="J358" i="10"/>
  <c r="J95" i="10"/>
  <c r="J86" i="10"/>
  <c r="J82" i="10"/>
  <c r="J81" i="10"/>
  <c r="J78" i="10"/>
  <c r="J60" i="10"/>
  <c r="J58" i="10"/>
  <c r="J407" i="10"/>
  <c r="J444" i="10"/>
  <c r="J442" i="10"/>
  <c r="J824" i="10"/>
  <c r="J437" i="10"/>
  <c r="J438" i="10"/>
  <c r="J818" i="10"/>
  <c r="J819" i="10"/>
  <c r="J822" i="10"/>
  <c r="J820" i="10"/>
  <c r="J821" i="10"/>
  <c r="J430" i="10"/>
  <c r="J431" i="10"/>
  <c r="J435" i="10"/>
  <c r="J432" i="10"/>
  <c r="J433" i="10"/>
  <c r="J434" i="10"/>
  <c r="J427" i="10"/>
  <c r="J814" i="10"/>
  <c r="J815" i="10"/>
  <c r="J422" i="10"/>
  <c r="J423" i="10"/>
  <c r="J424" i="10"/>
  <c r="J418" i="10"/>
  <c r="J511" i="10"/>
  <c r="J504" i="10"/>
  <c r="J503" i="10"/>
  <c r="J496" i="10"/>
  <c r="J497" i="10"/>
  <c r="J630" i="10"/>
  <c r="J862" i="10"/>
  <c r="J641" i="10"/>
  <c r="J854" i="10"/>
  <c r="J614" i="10"/>
  <c r="J853" i="10"/>
  <c r="J613" i="10"/>
  <c r="J852" i="10"/>
  <c r="J718" i="10"/>
  <c r="J719" i="10"/>
  <c r="J713" i="10"/>
  <c r="J711" i="10"/>
  <c r="J702" i="10"/>
  <c r="J701" i="10"/>
  <c r="J698" i="10"/>
  <c r="J697" i="10"/>
  <c r="J874" i="10"/>
  <c r="J873" i="10"/>
  <c r="J680" i="10"/>
  <c r="J678" i="10"/>
  <c r="J668" i="10"/>
  <c r="J666" i="10"/>
  <c r="J654" i="10"/>
  <c r="J653" i="10"/>
  <c r="J650" i="10"/>
  <c r="J628" i="10"/>
  <c r="J849" i="10"/>
  <c r="J346" i="10"/>
  <c r="J328" i="10"/>
  <c r="J61" i="10"/>
  <c r="J855" i="10"/>
  <c r="J962" i="10"/>
  <c r="J347" i="10"/>
  <c r="J345" i="10"/>
  <c r="J343" i="10"/>
  <c r="J342" i="10"/>
  <c r="J326" i="10"/>
  <c r="J59" i="10"/>
  <c r="J57" i="10"/>
  <c r="J56" i="10"/>
  <c r="J251" i="10"/>
  <c r="J250" i="10"/>
  <c r="J234" i="10"/>
  <c r="J299" i="10"/>
  <c r="J298" i="10"/>
  <c r="J294" i="10"/>
  <c r="J941" i="10"/>
  <c r="J302" i="10"/>
  <c r="J303" i="10"/>
  <c r="J791" i="10"/>
  <c r="J777" i="10"/>
  <c r="J1139" i="10"/>
  <c r="J8" i="10"/>
  <c r="J7" i="10"/>
  <c r="J31" i="10"/>
  <c r="J35" i="10"/>
  <c r="J30" i="10"/>
  <c r="J27" i="10"/>
  <c r="J46" i="10"/>
  <c r="J45" i="10"/>
  <c r="J44" i="10"/>
  <c r="J43" i="10"/>
  <c r="J1042" i="10"/>
  <c r="J1012" i="10"/>
  <c r="J999" i="10"/>
  <c r="J995" i="10"/>
  <c r="J993" i="10"/>
  <c r="J1018" i="10"/>
  <c r="J1006" i="10"/>
  <c r="J1005" i="10"/>
  <c r="J1004" i="10"/>
  <c r="J1003" i="10"/>
  <c r="J1002" i="10"/>
  <c r="J1000" i="10"/>
  <c r="J1094" i="10"/>
  <c r="J1091" i="10"/>
  <c r="J1089" i="10"/>
  <c r="J1108" i="10"/>
  <c r="J1101" i="10"/>
  <c r="J1100" i="10"/>
  <c r="J1098" i="10"/>
  <c r="J360" i="10"/>
  <c r="J367" i="10"/>
  <c r="J362" i="10"/>
  <c r="J84" i="10"/>
  <c r="J83" i="10"/>
  <c r="J64" i="10"/>
  <c r="J63" i="10"/>
  <c r="J97" i="10"/>
  <c r="J87" i="10"/>
  <c r="J79" i="10"/>
  <c r="J74" i="10"/>
  <c r="J75" i="10"/>
  <c r="J72" i="10"/>
  <c r="J68" i="10"/>
  <c r="J67" i="10"/>
  <c r="J66" i="10"/>
  <c r="J439" i="10"/>
  <c r="J420" i="10"/>
  <c r="J416" i="10"/>
  <c r="J417" i="10"/>
  <c r="J414" i="10"/>
  <c r="J415" i="10"/>
  <c r="J506" i="10"/>
  <c r="J505" i="10"/>
  <c r="J502" i="10"/>
  <c r="J501" i="10"/>
  <c r="J681" i="10"/>
  <c r="J676" i="10"/>
  <c r="J663" i="10"/>
  <c r="J635" i="10"/>
  <c r="J634" i="10"/>
  <c r="J615" i="10"/>
  <c r="J717" i="10"/>
  <c r="J716" i="10"/>
  <c r="J714" i="10"/>
  <c r="J712" i="10"/>
  <c r="J703" i="10"/>
  <c r="J696" i="10"/>
  <c r="J909" i="10"/>
  <c r="J908" i="10"/>
  <c r="J687" i="10"/>
  <c r="J684" i="10"/>
  <c r="J682" i="10"/>
  <c r="J907" i="10"/>
  <c r="J906" i="10"/>
  <c r="J675" i="10"/>
  <c r="J674" i="10"/>
  <c r="J671" i="10"/>
  <c r="J670" i="10"/>
  <c r="J665" i="10"/>
  <c r="J664" i="10"/>
  <c r="J867" i="10"/>
  <c r="J866" i="10"/>
  <c r="J864" i="10"/>
  <c r="J659" i="10"/>
  <c r="J657" i="10"/>
  <c r="J652" i="10"/>
  <c r="J651" i="10"/>
  <c r="J646" i="10"/>
  <c r="J647" i="10"/>
  <c r="J645" i="10"/>
  <c r="J858" i="10"/>
  <c r="J631" i="10"/>
  <c r="J956" i="10"/>
  <c r="J954" i="10"/>
  <c r="J351" i="10"/>
  <c r="J961" i="10"/>
  <c r="J957" i="10"/>
  <c r="J333" i="10"/>
  <c r="J341" i="10"/>
  <c r="J910" i="10"/>
  <c r="J965" i="10"/>
  <c r="J352" i="10"/>
  <c r="J348" i="10"/>
  <c r="J349" i="10"/>
  <c r="J963" i="10"/>
  <c r="J958" i="10"/>
  <c r="J335" i="10"/>
  <c r="J62" i="10"/>
  <c r="J1144" i="10"/>
  <c r="J249" i="10"/>
  <c r="J246" i="10"/>
  <c r="J245" i="10"/>
  <c r="J243" i="10"/>
  <c r="J244" i="10"/>
  <c r="J236" i="10"/>
  <c r="J237" i="10"/>
  <c r="J238" i="10"/>
  <c r="J257" i="10"/>
  <c r="J255" i="10"/>
  <c r="J307" i="10"/>
  <c r="J295" i="10"/>
  <c r="J289" i="10"/>
  <c r="J308" i="10"/>
  <c r="J309" i="10"/>
  <c r="J258" i="10"/>
  <c r="J256" i="10"/>
  <c r="J803" i="10"/>
  <c r="J801" i="10"/>
  <c r="J800" i="10"/>
  <c r="J1069" i="10"/>
  <c r="J797" i="10"/>
  <c r="J796" i="10"/>
  <c r="J795" i="10"/>
  <c r="J792" i="10"/>
  <c r="J263" i="10"/>
  <c r="J1142" i="10"/>
  <c r="J1140" i="10"/>
  <c r="J781" i="10"/>
  <c r="J1145" i="10"/>
  <c r="J2" i="10"/>
  <c r="J6" i="10"/>
  <c r="J5" i="10"/>
  <c r="J4" i="10"/>
  <c r="J13" i="10"/>
  <c r="J12" i="10"/>
  <c r="J32" i="10"/>
  <c r="J26" i="10"/>
  <c r="J34" i="10"/>
  <c r="J33" i="10"/>
  <c r="J41" i="10"/>
  <c r="J1066" i="10"/>
  <c r="J985" i="10"/>
  <c r="J986" i="10"/>
  <c r="J984" i="10"/>
  <c r="J1054" i="10"/>
  <c r="J1057" i="10"/>
  <c r="J1013" i="10"/>
  <c r="J1017" i="10"/>
  <c r="J1016" i="10"/>
  <c r="J1015" i="10"/>
  <c r="J1014" i="10"/>
  <c r="J990" i="10"/>
  <c r="J991" i="10"/>
  <c r="J1097" i="10"/>
  <c r="J1096" i="10"/>
  <c r="J1095" i="10"/>
  <c r="J1093" i="10"/>
  <c r="J1092" i="10"/>
  <c r="J1107" i="10"/>
  <c r="J1099" i="10"/>
  <c r="J357" i="10"/>
  <c r="J354" i="10"/>
  <c r="J96" i="10"/>
  <c r="J80" i="10"/>
  <c r="J65" i="10"/>
  <c r="J77" i="10"/>
  <c r="J441" i="10"/>
  <c r="J825" i="10"/>
  <c r="J455" i="10"/>
  <c r="J454" i="10"/>
  <c r="J828" i="10"/>
  <c r="J452" i="10"/>
  <c r="J447" i="10"/>
  <c r="J443" i="10"/>
  <c r="J823" i="10"/>
  <c r="J436" i="10"/>
  <c r="J817" i="10"/>
  <c r="J429" i="10"/>
  <c r="J816" i="10"/>
  <c r="J425" i="10"/>
  <c r="J419" i="10"/>
  <c r="J453" i="10"/>
  <c r="J513" i="10"/>
  <c r="J512" i="10"/>
  <c r="J195" i="10"/>
  <c r="J168" i="10"/>
  <c r="J197" i="10"/>
  <c r="J198" i="10"/>
  <c r="J170" i="10"/>
  <c r="J166" i="10"/>
  <c r="J162" i="10"/>
  <c r="J727" i="10"/>
  <c r="J677" i="10"/>
  <c r="J885" i="10"/>
  <c r="J878" i="10"/>
  <c r="J876" i="10"/>
  <c r="J688" i="10"/>
  <c r="J875" i="10"/>
  <c r="J871" i="10"/>
  <c r="J679" i="10"/>
  <c r="J868" i="10"/>
  <c r="J865" i="10"/>
  <c r="J863" i="10"/>
  <c r="J919" i="10"/>
  <c r="J332" i="10"/>
  <c r="J953" i="10"/>
  <c r="J325" i="10"/>
  <c r="J339" i="10"/>
  <c r="J337" i="10"/>
  <c r="J336" i="10"/>
  <c r="J88" i="10"/>
  <c r="J340" i="10"/>
  <c r="J117" i="10"/>
  <c r="J114" i="10"/>
  <c r="J115" i="10"/>
  <c r="J113" i="10"/>
  <c r="J129" i="10"/>
  <c r="J252" i="10"/>
  <c r="J229" i="10"/>
  <c r="J301" i="10"/>
  <c r="J942" i="10"/>
  <c r="J300" i="10"/>
  <c r="J291" i="10"/>
  <c r="J142" i="10"/>
  <c r="J799" i="10"/>
  <c r="J809" i="10"/>
  <c r="J798" i="10"/>
  <c r="J793" i="10"/>
  <c r="J794" i="10"/>
  <c r="J116" i="10"/>
  <c r="J920" i="10"/>
  <c r="J29" i="10"/>
  <c r="J28" i="10"/>
  <c r="J51" i="10"/>
  <c r="J50" i="10"/>
  <c r="J42" i="10"/>
  <c r="J40" i="10"/>
  <c r="J52" i="10"/>
  <c r="J1064" i="10"/>
  <c r="J1063" i="10"/>
  <c r="J1062" i="10"/>
  <c r="J1055" i="10"/>
  <c r="J1056" i="10"/>
  <c r="J1065" i="10"/>
  <c r="J1011" i="10"/>
  <c r="J1008" i="10"/>
  <c r="J998" i="10"/>
  <c r="J1106" i="10"/>
  <c r="J92" i="10"/>
  <c r="J91" i="10"/>
  <c r="J85" i="10"/>
  <c r="J70" i="10"/>
  <c r="J118" i="10"/>
  <c r="J459" i="10"/>
  <c r="J456" i="10"/>
  <c r="J827" i="10"/>
  <c r="J451" i="10"/>
  <c r="J445" i="10"/>
  <c r="J221" i="10"/>
  <c r="J219" i="10"/>
  <c r="J205" i="10"/>
  <c r="J204" i="10"/>
  <c r="J216" i="10"/>
  <c r="J842" i="10"/>
  <c r="J215" i="10"/>
  <c r="J841" i="10"/>
  <c r="J214" i="10"/>
  <c r="J211" i="10"/>
  <c r="J210" i="10"/>
  <c r="J208" i="10"/>
  <c r="J207" i="10"/>
  <c r="J201" i="10"/>
  <c r="J199" i="10"/>
  <c r="J194" i="10"/>
  <c r="J193" i="10"/>
  <c r="J191" i="10"/>
  <c r="J179" i="10"/>
  <c r="J178" i="10"/>
  <c r="J174" i="10"/>
  <c r="J175" i="10"/>
  <c r="J172" i="10"/>
  <c r="J171" i="10"/>
  <c r="J169" i="10"/>
  <c r="J165" i="10"/>
  <c r="J160" i="10"/>
  <c r="J159" i="10"/>
  <c r="J157" i="10"/>
  <c r="J158" i="10"/>
  <c r="J153" i="10"/>
  <c r="J152" i="10"/>
  <c r="J151" i="10"/>
  <c r="J150" i="10"/>
  <c r="J149" i="10"/>
  <c r="J148" i="10"/>
  <c r="J147" i="10"/>
  <c r="J146" i="10"/>
  <c r="J145" i="10"/>
  <c r="J144" i="10"/>
  <c r="J212" i="10"/>
  <c r="J903" i="10"/>
  <c r="J896" i="10"/>
  <c r="J706" i="10"/>
  <c r="J905" i="10"/>
  <c r="J904" i="10"/>
  <c r="J915" i="10"/>
  <c r="J916" i="10"/>
  <c r="J720" i="10"/>
  <c r="J912" i="10"/>
  <c r="J913" i="10"/>
  <c r="J891" i="10"/>
  <c r="J890" i="10"/>
  <c r="J888" i="10"/>
  <c r="J889" i="10"/>
  <c r="J882" i="10"/>
  <c r="J881" i="10"/>
  <c r="J872" i="10"/>
  <c r="J669" i="10"/>
  <c r="J667" i="10"/>
  <c r="J964" i="10"/>
  <c r="J344" i="10"/>
  <c r="J353" i="10"/>
  <c r="J952" i="10"/>
  <c r="J950" i="10"/>
  <c r="J350" i="10"/>
  <c r="J213" i="10"/>
  <c r="J951" i="10"/>
  <c r="J107" i="10"/>
  <c r="J259" i="10"/>
  <c r="J260" i="10"/>
  <c r="J292" i="10"/>
  <c r="J290" i="10"/>
  <c r="J305" i="10"/>
  <c r="J306" i="10"/>
  <c r="J810" i="10"/>
  <c r="J802" i="10"/>
  <c r="J934" i="10"/>
  <c r="J933" i="10"/>
  <c r="J932" i="10"/>
  <c r="J931" i="10"/>
  <c r="J921" i="10"/>
  <c r="J926" i="10"/>
  <c r="J925" i="10"/>
  <c r="J937" i="10"/>
  <c r="J936" i="10"/>
  <c r="J935" i="10"/>
  <c r="J923" i="10"/>
  <c r="J922" i="10"/>
  <c r="J1141" i="10"/>
  <c r="J784" i="10"/>
  <c r="J785" i="10"/>
  <c r="J845" i="10"/>
  <c r="J3" i="10"/>
  <c r="J9" i="10"/>
  <c r="J23" i="10"/>
  <c r="J22" i="10"/>
  <c r="J16" i="10"/>
  <c r="J14" i="10"/>
  <c r="J11" i="10"/>
  <c r="J39" i="10"/>
  <c r="J38" i="10"/>
  <c r="J790" i="10"/>
  <c r="J976" i="10"/>
  <c r="J1061" i="10"/>
  <c r="J1059" i="10"/>
  <c r="J1058" i="10"/>
  <c r="J1134" i="10"/>
  <c r="J1133" i="10"/>
  <c r="J1130" i="10"/>
  <c r="J1131" i="10"/>
  <c r="J1132" i="10"/>
  <c r="J1129" i="10"/>
  <c r="J1135" i="10"/>
  <c r="J1136" i="10"/>
  <c r="J1104" i="10"/>
  <c r="J1105" i="10"/>
  <c r="J1102" i="10"/>
  <c r="J1103" i="10"/>
  <c r="J1019" i="10"/>
  <c r="J373" i="10"/>
  <c r="J137" i="10"/>
  <c r="J136" i="10"/>
  <c r="J127" i="10"/>
  <c r="J125" i="10"/>
  <c r="J124" i="10"/>
  <c r="J121" i="10"/>
  <c r="J120" i="10"/>
  <c r="J119" i="10"/>
  <c r="J448" i="10"/>
  <c r="J446" i="10"/>
  <c r="J206" i="10"/>
  <c r="J203" i="10"/>
  <c r="J184" i="10"/>
  <c r="J840" i="10"/>
  <c r="J218" i="10"/>
  <c r="J217" i="10"/>
  <c r="J209" i="10"/>
  <c r="J202" i="10"/>
  <c r="J200" i="10"/>
  <c r="J196" i="10"/>
  <c r="J192" i="10"/>
  <c r="J180" i="10"/>
  <c r="J176" i="10"/>
  <c r="J164" i="10"/>
  <c r="J161" i="10"/>
  <c r="J156" i="10"/>
  <c r="J901" i="10"/>
  <c r="J892" i="10"/>
  <c r="J715" i="10"/>
  <c r="J911" i="10"/>
  <c r="J897" i="10"/>
  <c r="J726" i="10"/>
  <c r="J724" i="10"/>
  <c r="J725" i="10"/>
  <c r="J894" i="10"/>
  <c r="J893" i="10"/>
  <c r="J886" i="10"/>
  <c r="J884" i="10"/>
  <c r="J880" i="10"/>
  <c r="J879" i="10"/>
  <c r="J877" i="10"/>
  <c r="J693" i="10"/>
  <c r="J690" i="10"/>
  <c r="J917" i="10"/>
  <c r="J324" i="10"/>
  <c r="J323" i="10"/>
  <c r="J318" i="10"/>
  <c r="J949" i="10"/>
  <c r="J966" i="10"/>
  <c r="J918" i="10"/>
  <c r="J948" i="10"/>
  <c r="J135" i="10"/>
  <c r="J808" i="10"/>
  <c r="J807" i="10"/>
  <c r="J806" i="10"/>
  <c r="J805" i="10"/>
  <c r="J804" i="10"/>
  <c r="J126" i="10"/>
  <c r="J939" i="10"/>
  <c r="J924" i="10"/>
  <c r="J938" i="10"/>
  <c r="J930" i="10"/>
  <c r="J929" i="10"/>
  <c r="J782" i="10"/>
  <c r="J783" i="10"/>
  <c r="J25" i="10"/>
  <c r="J24" i="10"/>
  <c r="J21" i="10"/>
  <c r="J20" i="10"/>
  <c r="J19" i="10"/>
  <c r="J18" i="10"/>
  <c r="J17" i="10"/>
  <c r="J15" i="10"/>
  <c r="J10" i="10"/>
  <c r="J37" i="10"/>
  <c r="J36" i="10"/>
  <c r="J49" i="10"/>
  <c r="J48" i="10"/>
  <c r="J47" i="10"/>
  <c r="J54" i="10"/>
  <c r="J53" i="10"/>
  <c r="J1060" i="10"/>
  <c r="J969" i="10"/>
  <c r="J968" i="10"/>
  <c r="J967" i="10"/>
  <c r="J1128" i="10"/>
  <c r="J1137" i="10"/>
  <c r="J1138" i="10"/>
  <c r="J372" i="10"/>
  <c r="J371" i="10"/>
  <c r="J370" i="10"/>
  <c r="J134" i="10"/>
  <c r="J133" i="10"/>
  <c r="J132" i="10"/>
  <c r="J131" i="10"/>
  <c r="J130" i="10"/>
  <c r="J128" i="10"/>
  <c r="J123" i="10"/>
  <c r="J122" i="10"/>
  <c r="J458" i="10"/>
  <c r="J457" i="10"/>
  <c r="J226" i="10"/>
  <c r="J190" i="10"/>
  <c r="J189" i="10"/>
  <c r="J181" i="10"/>
  <c r="J177" i="10"/>
  <c r="J227" i="10"/>
  <c r="J225" i="10"/>
  <c r="J224" i="10"/>
  <c r="J220" i="10"/>
  <c r="J188" i="10"/>
  <c r="J187" i="10"/>
  <c r="J186" i="10"/>
  <c r="J185" i="10"/>
  <c r="J183" i="10"/>
  <c r="J182" i="10"/>
  <c r="J173" i="10"/>
  <c r="J167" i="10"/>
  <c r="J163" i="10"/>
  <c r="J155" i="10"/>
  <c r="J154" i="10"/>
  <c r="J143" i="10"/>
  <c r="J222" i="10"/>
  <c r="J223" i="10"/>
  <c r="J733" i="10"/>
  <c r="J732" i="10"/>
  <c r="J731" i="10"/>
  <c r="J729" i="10"/>
  <c r="J728" i="10"/>
  <c r="J723" i="10"/>
  <c r="J721" i="10"/>
  <c r="J887" i="10"/>
  <c r="J883" i="10"/>
  <c r="J710" i="10"/>
  <c r="J730" i="10"/>
  <c r="J902" i="10"/>
  <c r="J899" i="10"/>
  <c r="J898" i="10"/>
  <c r="J895" i="10"/>
  <c r="J722" i="10"/>
  <c r="J914" i="10"/>
  <c r="J275" i="10"/>
  <c r="J274" i="10"/>
  <c r="J947" i="10"/>
  <c r="J946" i="10"/>
  <c r="J945" i="10"/>
  <c r="J322" i="10"/>
  <c r="J321" i="10"/>
  <c r="J319" i="10"/>
  <c r="J320" i="10"/>
  <c r="J261" i="10"/>
  <c r="J262" i="10"/>
  <c r="J928" i="10"/>
  <c r="J927" i="10"/>
  <c r="J265" i="10"/>
  <c r="J264" i="10"/>
  <c r="J1143" i="10"/>
  <c r="J1066" i="9"/>
  <c r="J192" i="9"/>
  <c r="J1315" i="9"/>
  <c r="J1743" i="9"/>
  <c r="J1015" i="9"/>
  <c r="J2150" i="9"/>
  <c r="J1818" i="9"/>
  <c r="J188" i="9"/>
  <c r="J720" i="9"/>
  <c r="J1842" i="9"/>
  <c r="J2069" i="9"/>
  <c r="J872" i="9"/>
  <c r="J1561" i="9"/>
  <c r="J507" i="9"/>
  <c r="J1594" i="9"/>
  <c r="J1593" i="9"/>
  <c r="J1578" i="9"/>
  <c r="J1568" i="9"/>
  <c r="J2342" i="9"/>
  <c r="J249" i="9"/>
  <c r="J1289" i="9"/>
  <c r="J1287" i="9"/>
  <c r="J1396" i="9"/>
  <c r="J1377" i="9"/>
  <c r="J248" i="9"/>
  <c r="J246" i="9"/>
  <c r="J245" i="9"/>
  <c r="J244" i="9"/>
  <c r="J2230" i="9"/>
  <c r="J1728" i="9"/>
  <c r="J1711" i="9"/>
  <c r="J1718" i="9"/>
  <c r="J1731" i="9"/>
  <c r="J1576" i="9"/>
  <c r="J1575" i="9"/>
  <c r="J1573" i="9"/>
  <c r="J1574" i="9"/>
  <c r="J1570" i="9"/>
  <c r="J227" i="9"/>
  <c r="J1958" i="9"/>
  <c r="J1540" i="9"/>
  <c r="J1049" i="9"/>
  <c r="J94" i="9"/>
  <c r="J2286" i="9"/>
  <c r="J2287" i="9"/>
  <c r="J2231" i="9"/>
  <c r="J1723" i="9"/>
  <c r="J1712" i="9"/>
  <c r="J1721" i="9"/>
  <c r="J1715" i="9"/>
  <c r="J1444" i="9"/>
  <c r="J1441" i="9"/>
  <c r="J1439" i="9"/>
  <c r="J1461" i="9"/>
  <c r="J1460" i="9"/>
  <c r="J1459" i="9"/>
  <c r="J2172" i="9"/>
  <c r="J1845" i="9"/>
  <c r="J1846" i="9"/>
  <c r="J1455" i="9"/>
  <c r="J1454" i="9"/>
  <c r="J2042" i="9"/>
  <c r="J1639" i="9"/>
  <c r="J1691" i="9"/>
  <c r="J2039" i="9"/>
  <c r="J2037" i="9"/>
  <c r="J2038" i="9"/>
  <c r="J1009" i="9"/>
  <c r="J2034" i="9"/>
  <c r="J84" i="9"/>
  <c r="J2323" i="9"/>
  <c r="J2322" i="9"/>
  <c r="J864" i="9"/>
  <c r="J978" i="9"/>
  <c r="J2070" i="9"/>
  <c r="J2324" i="9"/>
  <c r="J998" i="9"/>
  <c r="J976" i="9"/>
  <c r="J975" i="9"/>
  <c r="J1301" i="9"/>
  <c r="J160" i="9"/>
  <c r="J1412" i="9"/>
  <c r="J1411" i="9"/>
  <c r="J1295" i="9"/>
  <c r="J2029" i="9"/>
  <c r="J1754" i="9"/>
  <c r="J255" i="9"/>
  <c r="J257" i="9"/>
  <c r="J253" i="9"/>
  <c r="J2293" i="9"/>
  <c r="J256" i="9"/>
  <c r="J252" i="9"/>
  <c r="J1748" i="9"/>
  <c r="J358" i="9"/>
  <c r="J1592" i="9"/>
  <c r="J1589" i="9"/>
  <c r="J1585" i="9"/>
  <c r="J281" i="9"/>
  <c r="J293" i="9"/>
  <c r="J290" i="9"/>
  <c r="J1960" i="9"/>
  <c r="J1430" i="9"/>
  <c r="J1045" i="9"/>
  <c r="J2267" i="9"/>
  <c r="J1431" i="9"/>
  <c r="J2299" i="9"/>
  <c r="J789" i="9"/>
  <c r="J1151" i="9"/>
  <c r="J704" i="9"/>
  <c r="J309" i="9"/>
  <c r="J1522" i="9"/>
  <c r="J1518" i="9"/>
  <c r="J1813" i="9"/>
  <c r="J2118" i="9"/>
  <c r="J1824" i="9"/>
  <c r="J1821" i="9"/>
  <c r="J638" i="9"/>
  <c r="J666" i="9"/>
  <c r="J1917" i="9"/>
  <c r="J396" i="9"/>
  <c r="J173" i="9"/>
  <c r="J321" i="9"/>
  <c r="J1822" i="9"/>
  <c r="J2198" i="9"/>
  <c r="J1946" i="9"/>
  <c r="J1808" i="9"/>
  <c r="J1775" i="9"/>
  <c r="J545" i="9"/>
  <c r="J1776" i="9"/>
  <c r="J1709" i="9"/>
  <c r="J1995" i="9"/>
  <c r="J454" i="9"/>
  <c r="J2106" i="9"/>
  <c r="J1708" i="9"/>
  <c r="J1779" i="9"/>
  <c r="J1482" i="9"/>
  <c r="J8" i="9"/>
  <c r="J2018" i="9"/>
  <c r="J2011" i="9"/>
  <c r="J2013" i="9"/>
  <c r="J1649" i="9"/>
  <c r="J1648" i="9"/>
  <c r="J996" i="9"/>
  <c r="J2139" i="9"/>
  <c r="J1867" i="9"/>
  <c r="J1670" i="9"/>
  <c r="J2064" i="9"/>
  <c r="J2022" i="9"/>
  <c r="J915" i="9"/>
  <c r="J917" i="9"/>
  <c r="J90" i="9"/>
  <c r="J144" i="9"/>
  <c r="J1324" i="9"/>
  <c r="J1084" i="9"/>
  <c r="J779" i="9"/>
  <c r="J134" i="9"/>
  <c r="J1863" i="9"/>
  <c r="J357" i="9"/>
  <c r="J2266" i="9"/>
  <c r="J124" i="9"/>
  <c r="J2235" i="9"/>
  <c r="J1806" i="9"/>
  <c r="J1426" i="9"/>
  <c r="J2183" i="9"/>
  <c r="J1985" i="9"/>
  <c r="J378" i="9"/>
  <c r="J971" i="9"/>
  <c r="J1138" i="9"/>
  <c r="J1085" i="9"/>
  <c r="J316" i="9"/>
  <c r="J448" i="9"/>
  <c r="J1700" i="9"/>
  <c r="J1696" i="9"/>
  <c r="J1807" i="9"/>
  <c r="J695" i="9"/>
  <c r="J1390" i="9"/>
  <c r="J1286" i="9"/>
  <c r="J1285" i="9"/>
  <c r="J1276" i="9"/>
  <c r="J1275" i="9"/>
  <c r="J1385" i="9"/>
  <c r="J1379" i="9"/>
  <c r="J444" i="9"/>
  <c r="J443" i="9"/>
  <c r="J435" i="9"/>
  <c r="J1391" i="9"/>
  <c r="J434" i="9"/>
  <c r="J1401" i="9"/>
  <c r="J1395" i="9"/>
  <c r="J1372" i="9"/>
  <c r="J425" i="9"/>
  <c r="J419" i="9"/>
  <c r="J588" i="9"/>
  <c r="J578" i="9"/>
  <c r="J1288" i="9"/>
  <c r="J1277" i="9"/>
  <c r="J1270" i="9"/>
  <c r="J1375" i="9"/>
  <c r="J1374" i="9"/>
  <c r="J1373" i="9"/>
  <c r="J1369" i="9"/>
  <c r="J1365" i="9"/>
  <c r="J1363" i="9"/>
  <c r="J428" i="9"/>
  <c r="J586" i="9"/>
  <c r="J1260" i="9"/>
  <c r="J1259" i="9"/>
  <c r="J1258" i="9"/>
  <c r="J1257" i="9"/>
  <c r="J1321" i="9"/>
  <c r="J1320" i="9"/>
  <c r="J1318" i="9"/>
  <c r="J1317" i="9"/>
  <c r="J1316" i="9"/>
  <c r="J1313" i="9"/>
  <c r="J1309" i="9"/>
  <c r="J1304" i="9"/>
  <c r="J584" i="9"/>
  <c r="J1264" i="9"/>
  <c r="J1263" i="9"/>
  <c r="J1262" i="9"/>
  <c r="J1255" i="9"/>
  <c r="J1308" i="9"/>
  <c r="J1306" i="9"/>
  <c r="J488" i="9"/>
  <c r="J1244" i="9"/>
  <c r="J1241" i="9"/>
  <c r="J1230" i="9"/>
  <c r="J1312" i="9"/>
  <c r="J506" i="9"/>
  <c r="J504" i="9"/>
  <c r="J579" i="9"/>
  <c r="J574" i="9"/>
  <c r="J421" i="9"/>
  <c r="J568" i="9"/>
  <c r="J1876" i="9"/>
  <c r="J1237" i="9"/>
  <c r="J494" i="9"/>
  <c r="J775" i="9"/>
  <c r="J1239" i="9"/>
  <c r="J1238" i="9"/>
  <c r="J1290" i="9"/>
  <c r="J1353" i="9"/>
  <c r="J1352" i="9"/>
  <c r="J1330" i="9"/>
  <c r="J505" i="9"/>
  <c r="J470" i="9"/>
  <c r="J1226" i="9"/>
  <c r="J1214" i="9"/>
  <c r="J1357" i="9"/>
  <c r="J1356" i="9"/>
  <c r="J1331" i="9"/>
  <c r="J499" i="9"/>
  <c r="J495" i="9"/>
  <c r="J473" i="9"/>
  <c r="J472" i="9"/>
  <c r="J468" i="9"/>
  <c r="J1224" i="9"/>
  <c r="J1211" i="9"/>
  <c r="J1889" i="9"/>
  <c r="J1890" i="9"/>
  <c r="J152" i="9"/>
  <c r="J1332" i="9"/>
  <c r="J1328" i="9"/>
  <c r="J496" i="9"/>
  <c r="J481" i="9"/>
  <c r="J1877" i="9"/>
  <c r="J1875" i="9"/>
  <c r="J1874" i="9"/>
  <c r="J1883" i="9"/>
  <c r="J1892" i="9"/>
  <c r="J1891" i="9"/>
  <c r="J1296" i="9"/>
  <c r="J1336" i="9"/>
  <c r="J1329" i="9"/>
  <c r="J1327" i="9"/>
  <c r="J1326" i="9"/>
  <c r="J471" i="9"/>
  <c r="J566" i="9"/>
  <c r="J1598" i="9"/>
  <c r="J2026" i="9"/>
  <c r="J2285" i="9"/>
  <c r="J1772" i="9"/>
  <c r="J1745" i="9"/>
  <c r="J1738" i="9"/>
  <c r="J2288" i="9"/>
  <c r="J1740" i="9"/>
  <c r="J1581" i="9"/>
  <c r="J2284" i="9"/>
  <c r="J2282" i="9"/>
  <c r="J2280" i="9"/>
  <c r="J2273" i="9"/>
  <c r="J1569" i="9"/>
  <c r="J2283" i="9"/>
  <c r="J1716" i="9"/>
  <c r="J2272" i="9"/>
  <c r="J349" i="9"/>
  <c r="J1050" i="9"/>
  <c r="J102" i="9"/>
  <c r="J2251" i="9"/>
  <c r="J1014" i="9"/>
  <c r="J2305" i="9"/>
  <c r="J2304" i="9"/>
  <c r="J2303" i="9"/>
  <c r="J2302" i="9"/>
  <c r="J103" i="9"/>
  <c r="J95" i="9"/>
  <c r="J241" i="9"/>
  <c r="J1541" i="9"/>
  <c r="J108" i="9"/>
  <c r="J98" i="9"/>
  <c r="J97" i="9"/>
  <c r="J96" i="9"/>
  <c r="J1523" i="9"/>
  <c r="J332" i="9"/>
  <c r="J327" i="9"/>
  <c r="J237" i="9"/>
  <c r="J234" i="9"/>
  <c r="J233" i="9"/>
  <c r="J231" i="9"/>
  <c r="J228" i="9"/>
  <c r="J226" i="9"/>
  <c r="J225" i="9"/>
  <c r="J243" i="9"/>
  <c r="J1545" i="9"/>
  <c r="J1535" i="9"/>
  <c r="J1534" i="9"/>
  <c r="J1529" i="9"/>
  <c r="J790" i="9"/>
  <c r="J343" i="9"/>
  <c r="J2311" i="9"/>
  <c r="J1158" i="9"/>
  <c r="J1155" i="9"/>
  <c r="J1152" i="9"/>
  <c r="J1862" i="9"/>
  <c r="J104" i="9"/>
  <c r="J1181" i="9"/>
  <c r="J1173" i="9"/>
  <c r="J782" i="9"/>
  <c r="J328" i="9"/>
  <c r="J1157" i="9"/>
  <c r="J1156" i="9"/>
  <c r="J1178" i="9"/>
  <c r="J1177" i="9"/>
  <c r="J1175" i="9"/>
  <c r="J1174" i="9"/>
  <c r="J698" i="9"/>
  <c r="J324" i="9"/>
  <c r="J270" i="9"/>
  <c r="J2024" i="9"/>
  <c r="J707" i="9"/>
  <c r="J697" i="9"/>
  <c r="J2211" i="9"/>
  <c r="J2212" i="9"/>
  <c r="J719" i="9"/>
  <c r="J1095" i="9"/>
  <c r="J1468" i="9"/>
  <c r="J1501" i="9"/>
  <c r="J1494" i="9"/>
  <c r="J1506" i="9"/>
  <c r="J206" i="9"/>
  <c r="J1903" i="9"/>
  <c r="J1495" i="9"/>
  <c r="J167" i="9"/>
  <c r="J1490" i="9"/>
  <c r="J1489" i="9"/>
  <c r="J1487" i="9"/>
  <c r="J166" i="9"/>
  <c r="J1488" i="9"/>
  <c r="J1909" i="9"/>
  <c r="J1902" i="9"/>
  <c r="J2170" i="9"/>
  <c r="J670" i="9"/>
  <c r="J669" i="9"/>
  <c r="J668" i="9"/>
  <c r="J1819" i="9"/>
  <c r="J1790" i="9"/>
  <c r="J1789" i="9"/>
  <c r="J531" i="9"/>
  <c r="J1791" i="9"/>
  <c r="J625" i="9"/>
  <c r="J1795" i="9"/>
  <c r="J1788" i="9"/>
  <c r="J2165" i="9"/>
  <c r="J2222" i="9"/>
  <c r="J2166" i="9"/>
  <c r="J629" i="9"/>
  <c r="J526" i="9"/>
  <c r="J624" i="9"/>
  <c r="J628" i="9"/>
  <c r="J623" i="9"/>
  <c r="J627" i="9"/>
  <c r="J1793" i="9"/>
  <c r="J1792" i="9"/>
  <c r="J2224" i="9"/>
  <c r="J2162" i="9"/>
  <c r="J2160" i="9"/>
  <c r="J1787" i="9"/>
  <c r="J2223" i="9"/>
  <c r="J2163" i="9"/>
  <c r="J2161" i="9"/>
  <c r="J2159" i="9"/>
  <c r="J2158" i="9"/>
  <c r="J621" i="9"/>
  <c r="J626" i="9"/>
  <c r="J620" i="9"/>
  <c r="J1797" i="9"/>
  <c r="J515" i="9"/>
  <c r="J1425" i="9"/>
  <c r="J1077" i="9"/>
  <c r="J1073" i="9"/>
  <c r="J1072" i="9"/>
  <c r="J518" i="9"/>
  <c r="J516" i="9"/>
  <c r="J517" i="9"/>
  <c r="J1803" i="9"/>
  <c r="J1071" i="9"/>
  <c r="J1076" i="9"/>
  <c r="J1802" i="9"/>
  <c r="J606" i="9"/>
  <c r="J604" i="9"/>
  <c r="J1424" i="9"/>
  <c r="J1423" i="9"/>
  <c r="J1422" i="9"/>
  <c r="J1421" i="9"/>
  <c r="J1452" i="9"/>
  <c r="J603" i="9"/>
  <c r="J776" i="9"/>
  <c r="J1936" i="9"/>
  <c r="J599" i="9"/>
  <c r="J601" i="9"/>
  <c r="J777" i="9"/>
  <c r="J1801" i="9"/>
  <c r="J1800" i="9"/>
  <c r="J1799" i="9"/>
  <c r="J1798" i="9"/>
  <c r="J600" i="9"/>
  <c r="J607" i="9"/>
  <c r="J602" i="9"/>
  <c r="J1756" i="9"/>
  <c r="J1755" i="9"/>
  <c r="J301" i="9"/>
  <c r="J525" i="9"/>
  <c r="J524" i="9"/>
  <c r="J22" i="9"/>
  <c r="J1831" i="9"/>
  <c r="J564" i="9"/>
  <c r="J563" i="9"/>
  <c r="J319" i="9"/>
  <c r="J318" i="9"/>
  <c r="J1868" i="9"/>
  <c r="J1118" i="9"/>
  <c r="J1128" i="9"/>
  <c r="J1127" i="9"/>
  <c r="J1123" i="9"/>
  <c r="J1121" i="9"/>
  <c r="J1119" i="9"/>
  <c r="J1120" i="9"/>
  <c r="J1117" i="9"/>
  <c r="J1116" i="9"/>
  <c r="J1115" i="9"/>
  <c r="J557" i="9"/>
  <c r="J1847" i="9"/>
  <c r="J552" i="9"/>
  <c r="J1836" i="9"/>
  <c r="J1113" i="9"/>
  <c r="J1114" i="9"/>
  <c r="J1112" i="9"/>
  <c r="J550" i="9"/>
  <c r="J549" i="9"/>
  <c r="J548" i="9"/>
  <c r="J1101" i="9"/>
  <c r="J1100" i="9"/>
  <c r="J1096" i="9"/>
  <c r="J551" i="9"/>
  <c r="J1837" i="9"/>
  <c r="J1102" i="9"/>
  <c r="J1098" i="9"/>
  <c r="J193" i="9"/>
  <c r="J1099" i="9"/>
  <c r="J459" i="9"/>
  <c r="J457" i="9"/>
  <c r="J2179" i="9"/>
  <c r="J1855" i="9"/>
  <c r="J1472" i="9"/>
  <c r="J2194" i="9"/>
  <c r="J460" i="9"/>
  <c r="J458" i="9"/>
  <c r="J1634" i="9"/>
  <c r="J1687" i="9"/>
  <c r="J923" i="9"/>
  <c r="J922" i="9"/>
  <c r="J921" i="9"/>
  <c r="J920" i="9"/>
  <c r="J1637" i="9"/>
  <c r="J795" i="9"/>
  <c r="J794" i="9"/>
  <c r="J798" i="9"/>
  <c r="J797" i="9"/>
  <c r="J2329" i="9"/>
  <c r="J2328" i="9"/>
  <c r="J2033" i="9"/>
  <c r="J799" i="9"/>
  <c r="J1000" i="9"/>
  <c r="J999" i="9"/>
  <c r="J1625" i="9"/>
  <c r="J1624" i="9"/>
  <c r="J1620" i="9"/>
  <c r="J983" i="9"/>
  <c r="J982" i="9"/>
  <c r="J980" i="9"/>
  <c r="J1616" i="9"/>
  <c r="J1686" i="9"/>
  <c r="J885" i="9"/>
  <c r="J883" i="9"/>
  <c r="J879" i="9"/>
  <c r="J878" i="9"/>
  <c r="J870" i="9"/>
  <c r="J869" i="9"/>
  <c r="J868" i="9"/>
  <c r="J865" i="9"/>
  <c r="J1658" i="9"/>
  <c r="J1656" i="9"/>
  <c r="J867" i="9"/>
  <c r="J866" i="9"/>
  <c r="J963" i="9"/>
  <c r="J959" i="9"/>
  <c r="J958" i="9"/>
  <c r="J953" i="9"/>
  <c r="J2141" i="9"/>
  <c r="J742" i="9"/>
  <c r="J1659" i="9"/>
  <c r="J1655" i="9"/>
  <c r="J769" i="9"/>
  <c r="J751" i="9"/>
  <c r="J746" i="9"/>
  <c r="J729" i="9"/>
  <c r="J2140" i="9"/>
  <c r="J805" i="9"/>
  <c r="J938" i="9"/>
  <c r="J754" i="9"/>
  <c r="J752" i="9"/>
  <c r="J749" i="9"/>
  <c r="J747" i="9"/>
  <c r="J745" i="9"/>
  <c r="J739" i="9"/>
  <c r="J738" i="9"/>
  <c r="J737" i="9"/>
  <c r="J735" i="9"/>
  <c r="J726" i="9"/>
  <c r="J2082" i="9"/>
  <c r="J736" i="9"/>
  <c r="J730" i="9"/>
  <c r="J406" i="9"/>
  <c r="J2088" i="9"/>
  <c r="J2086" i="9"/>
  <c r="J2084" i="9"/>
  <c r="J939" i="9"/>
  <c r="J950" i="9"/>
  <c r="J949" i="9"/>
  <c r="J947" i="9"/>
  <c r="J946" i="9"/>
  <c r="J933" i="9"/>
  <c r="J2085" i="9"/>
  <c r="J2081" i="9"/>
  <c r="J936" i="9"/>
  <c r="J935" i="9"/>
  <c r="J932" i="9"/>
  <c r="J930" i="9"/>
  <c r="J944" i="9"/>
  <c r="J929" i="9"/>
  <c r="J46" i="9"/>
  <c r="J45" i="9"/>
  <c r="J2045" i="9"/>
  <c r="J2080" i="9"/>
  <c r="J833" i="9"/>
  <c r="J824" i="9"/>
  <c r="J772" i="9"/>
  <c r="J913" i="9"/>
  <c r="J912" i="9"/>
  <c r="J911" i="9"/>
  <c r="J910" i="9"/>
  <c r="J896" i="9"/>
  <c r="J940" i="9"/>
  <c r="J934" i="9"/>
  <c r="J60" i="9"/>
  <c r="J1975" i="9"/>
  <c r="J1968" i="9"/>
  <c r="J843" i="9"/>
  <c r="J837" i="9"/>
  <c r="J827" i="9"/>
  <c r="J903" i="9"/>
  <c r="J47" i="9"/>
  <c r="J844" i="9"/>
  <c r="J820" i="9"/>
  <c r="J819" i="9"/>
  <c r="J818" i="9"/>
  <c r="J908" i="9"/>
  <c r="J87" i="9"/>
  <c r="J212" i="9"/>
  <c r="J213" i="9"/>
  <c r="J1092" i="9"/>
  <c r="J1437" i="9"/>
  <c r="J1436" i="9"/>
  <c r="J450" i="9"/>
  <c r="J2347" i="9"/>
  <c r="J2346" i="9"/>
  <c r="J2345" i="9"/>
  <c r="J2330" i="9"/>
  <c r="J2112" i="9"/>
  <c r="J2110" i="9"/>
  <c r="J1381" i="9"/>
  <c r="J279" i="9"/>
  <c r="J1124" i="9"/>
  <c r="J759" i="9"/>
  <c r="J1192" i="9"/>
  <c r="J2232" i="9"/>
  <c r="J1254" i="9"/>
  <c r="J182" i="9"/>
  <c r="J1811" i="9"/>
  <c r="J2147" i="9"/>
  <c r="J2180" i="9"/>
  <c r="J761" i="9"/>
  <c r="J11" i="9"/>
  <c r="J1697" i="9"/>
  <c r="J714" i="9"/>
  <c r="J532" i="9"/>
  <c r="J1256" i="9"/>
  <c r="J509" i="9"/>
  <c r="J1046" i="9"/>
  <c r="J692" i="9"/>
  <c r="J1930" i="9"/>
  <c r="J313" i="9"/>
  <c r="J1217" i="9"/>
  <c r="J1213" i="9"/>
  <c r="J1325" i="9"/>
  <c r="J1582" i="9"/>
  <c r="J355" i="9"/>
  <c r="J1565" i="9"/>
  <c r="J99" i="9"/>
  <c r="J1427" i="9"/>
  <c r="J1056" i="9"/>
  <c r="J2264" i="9"/>
  <c r="J2296" i="9"/>
  <c r="J2233" i="9"/>
  <c r="J2301" i="9"/>
  <c r="J337" i="9"/>
  <c r="J308" i="9"/>
  <c r="J1148" i="9"/>
  <c r="J12" i="9"/>
  <c r="J13" i="9"/>
  <c r="J37" i="9"/>
  <c r="J641" i="9"/>
  <c r="J640" i="9"/>
  <c r="J665" i="9"/>
  <c r="J2008" i="9"/>
  <c r="J399" i="9"/>
  <c r="J2228" i="9"/>
  <c r="J1848" i="9"/>
  <c r="J674" i="9"/>
  <c r="J157" i="9"/>
  <c r="J38" i="9"/>
  <c r="J1785" i="9"/>
  <c r="J522" i="9"/>
  <c r="J1780" i="9"/>
  <c r="J453" i="9"/>
  <c r="J1817" i="9"/>
  <c r="J1093" i="9"/>
  <c r="J2000" i="9"/>
  <c r="J374" i="9"/>
  <c r="J91" i="9"/>
  <c r="J1815" i="9"/>
  <c r="J1447" i="9"/>
  <c r="J1694" i="9"/>
  <c r="J796" i="9"/>
  <c r="J2040" i="9"/>
  <c r="J2035" i="9"/>
  <c r="J2319" i="9"/>
  <c r="J656" i="9"/>
  <c r="J994" i="9"/>
  <c r="J2137" i="9"/>
  <c r="J1650" i="9"/>
  <c r="J852" i="9"/>
  <c r="J2136" i="9"/>
  <c r="J2063" i="9"/>
  <c r="J2062" i="9"/>
  <c r="J2075" i="9"/>
  <c r="J2100" i="9"/>
  <c r="J904" i="9"/>
  <c r="J842" i="9"/>
  <c r="J916" i="9"/>
  <c r="J905" i="9"/>
  <c r="J1082" i="9"/>
  <c r="J1871" i="9"/>
  <c r="J2004" i="9"/>
  <c r="J1088" i="9"/>
  <c r="J2201" i="9"/>
  <c r="J158" i="9"/>
  <c r="J1432" i="9"/>
  <c r="J1433" i="9"/>
  <c r="J712" i="9"/>
  <c r="J711" i="9"/>
  <c r="J2130" i="9"/>
  <c r="J2129" i="9"/>
  <c r="J2128" i="9"/>
  <c r="J581" i="9"/>
  <c r="J1269" i="9"/>
  <c r="J1251" i="9"/>
  <c r="J1219" i="9"/>
  <c r="J1220" i="9"/>
  <c r="J2027" i="9"/>
  <c r="J1608" i="9"/>
  <c r="J1603" i="9"/>
  <c r="J364" i="9"/>
  <c r="J363" i="9"/>
  <c r="J1596" i="9"/>
  <c r="J362" i="9"/>
  <c r="J1572" i="9"/>
  <c r="J2289" i="9"/>
  <c r="J360" i="9"/>
  <c r="J361" i="9"/>
  <c r="J359" i="9"/>
  <c r="J2274" i="9"/>
  <c r="J291" i="9"/>
  <c r="J1746" i="9"/>
  <c r="J1725" i="9"/>
  <c r="J365" i="9"/>
  <c r="J296" i="9"/>
  <c r="J288" i="9"/>
  <c r="J287" i="9"/>
  <c r="J35" i="9"/>
  <c r="J1033" i="9"/>
  <c r="J1959" i="9"/>
  <c r="J2255" i="9"/>
  <c r="J239" i="9"/>
  <c r="J1557" i="9"/>
  <c r="J1525" i="9"/>
  <c r="J2256" i="9"/>
  <c r="J788" i="9"/>
  <c r="J1163" i="9"/>
  <c r="J268" i="9"/>
  <c r="J785" i="9"/>
  <c r="J784" i="9"/>
  <c r="J271" i="9"/>
  <c r="J786" i="9"/>
  <c r="J333" i="9"/>
  <c r="J1512" i="9"/>
  <c r="J1511" i="9"/>
  <c r="J1508" i="9"/>
  <c r="J145" i="9"/>
  <c r="J1435" i="9"/>
  <c r="J2107" i="9"/>
  <c r="J392" i="9"/>
  <c r="J1090" i="9"/>
  <c r="J260" i="9"/>
  <c r="J1445" i="9"/>
  <c r="J261" i="9"/>
  <c r="J2188" i="9"/>
  <c r="J1464" i="9"/>
  <c r="J1498" i="9"/>
  <c r="J1907" i="9"/>
  <c r="J2168" i="9"/>
  <c r="J1938" i="9"/>
  <c r="J1939" i="9"/>
  <c r="J2153" i="9"/>
  <c r="J672" i="9"/>
  <c r="J2167" i="9"/>
  <c r="J647" i="9"/>
  <c r="J190" i="9"/>
  <c r="J688" i="9"/>
  <c r="J2152" i="9"/>
  <c r="J177" i="9"/>
  <c r="J686" i="9"/>
  <c r="J685" i="9"/>
  <c r="J1953" i="9"/>
  <c r="J1764" i="9"/>
  <c r="J631" i="9"/>
  <c r="J644" i="9"/>
  <c r="J1453" i="9"/>
  <c r="J1809" i="9"/>
  <c r="J535" i="9"/>
  <c r="J534" i="9"/>
  <c r="J372" i="9"/>
  <c r="J2124" i="9"/>
  <c r="J1061" i="9"/>
  <c r="J1059" i="9"/>
  <c r="J299" i="9"/>
  <c r="J1199" i="9"/>
  <c r="J528" i="9"/>
  <c r="J1058" i="9"/>
  <c r="J1710" i="9"/>
  <c r="J561" i="9"/>
  <c r="J559" i="9"/>
  <c r="J558" i="9"/>
  <c r="J1108" i="9"/>
  <c r="J1933" i="9"/>
  <c r="J1932" i="9"/>
  <c r="J2181" i="9"/>
  <c r="J2178" i="9"/>
  <c r="J1475" i="9"/>
  <c r="J1474" i="9"/>
  <c r="J2176" i="9"/>
  <c r="J2175" i="9"/>
  <c r="J1927" i="9"/>
  <c r="J654" i="9"/>
  <c r="J655" i="9"/>
  <c r="J2156" i="9"/>
  <c r="J1774" i="9"/>
  <c r="J1888" i="9"/>
  <c r="J2010" i="9"/>
  <c r="J1692" i="9"/>
  <c r="J1642" i="9"/>
  <c r="J86" i="9"/>
  <c r="J2043" i="9"/>
  <c r="J722" i="9"/>
  <c r="J1004" i="9"/>
  <c r="J2041" i="9"/>
  <c r="J1641" i="9"/>
  <c r="J801" i="9"/>
  <c r="J800" i="9"/>
  <c r="J1674" i="9"/>
  <c r="J1672" i="9"/>
  <c r="J871" i="9"/>
  <c r="J988" i="9"/>
  <c r="J972" i="9"/>
  <c r="J992" i="9"/>
  <c r="J755" i="9"/>
  <c r="J847" i="9"/>
  <c r="J964" i="9"/>
  <c r="J743" i="9"/>
  <c r="J856" i="9"/>
  <c r="J2051" i="9"/>
  <c r="J408" i="9"/>
  <c r="J402" i="9"/>
  <c r="J58" i="9"/>
  <c r="J2135" i="9"/>
  <c r="J906" i="9"/>
  <c r="J834" i="9"/>
  <c r="J914" i="9"/>
  <c r="J893" i="9"/>
  <c r="J2" i="9"/>
  <c r="J1900" i="9"/>
  <c r="J400" i="9"/>
  <c r="J1861" i="9"/>
  <c r="J1532" i="9"/>
  <c r="J2123" i="9"/>
  <c r="J2126" i="9"/>
  <c r="J161" i="9"/>
  <c r="J2122" i="9"/>
  <c r="J2121" i="9"/>
  <c r="J1434" i="9"/>
  <c r="J764" i="9"/>
  <c r="J151" i="9"/>
  <c r="J2007" i="9"/>
  <c r="J2316" i="9"/>
  <c r="J2315" i="9"/>
  <c r="J2115" i="9"/>
  <c r="J1147" i="9"/>
  <c r="J1146" i="9"/>
  <c r="J1145" i="9"/>
  <c r="J1144" i="9"/>
  <c r="J1897" i="9"/>
  <c r="J1899" i="9"/>
  <c r="J512" i="9"/>
  <c r="J511" i="9"/>
  <c r="J2335" i="9"/>
  <c r="J2332" i="9"/>
  <c r="J2338" i="9"/>
  <c r="J2340" i="9"/>
  <c r="J2238" i="9"/>
  <c r="J1519" i="9"/>
  <c r="J163" i="9"/>
  <c r="J1796" i="9"/>
  <c r="J1284" i="9"/>
  <c r="J694" i="9"/>
  <c r="J693" i="9"/>
  <c r="J1399" i="9"/>
  <c r="J1394" i="9"/>
  <c r="J442" i="9"/>
  <c r="J1282" i="9"/>
  <c r="J1281" i="9"/>
  <c r="J1280" i="9"/>
  <c r="J1382" i="9"/>
  <c r="J1278" i="9"/>
  <c r="J440" i="9"/>
  <c r="J1386" i="9"/>
  <c r="J438" i="9"/>
  <c r="J1272" i="9"/>
  <c r="J1378" i="9"/>
  <c r="J1248" i="9"/>
  <c r="J1319" i="9"/>
  <c r="J1247" i="9"/>
  <c r="J1246" i="9"/>
  <c r="J1364" i="9"/>
  <c r="J1225" i="9"/>
  <c r="J326" i="9"/>
  <c r="J1865" i="9"/>
  <c r="J1864" i="9"/>
  <c r="J1471" i="9"/>
  <c r="J1505" i="9"/>
  <c r="J2148" i="9"/>
  <c r="J1062" i="9"/>
  <c r="J1122" i="9"/>
  <c r="J1841" i="9"/>
  <c r="J1111" i="9"/>
  <c r="J658" i="9"/>
  <c r="J2190" i="9"/>
  <c r="J1479" i="9"/>
  <c r="J660" i="9"/>
  <c r="J2182" i="9"/>
  <c r="J649" i="9"/>
  <c r="J9" i="9"/>
  <c r="J2036" i="9"/>
  <c r="J1664" i="9"/>
  <c r="J1665" i="9"/>
  <c r="J1703" i="9"/>
  <c r="J1701" i="9"/>
  <c r="J1139" i="9"/>
  <c r="J713" i="9"/>
  <c r="J1024" i="9"/>
  <c r="J140" i="9"/>
  <c r="J139" i="9"/>
  <c r="J29" i="9"/>
  <c r="J2127" i="9"/>
  <c r="J1322" i="9"/>
  <c r="J1393" i="9"/>
  <c r="J1389" i="9"/>
  <c r="J1388" i="9"/>
  <c r="J1380" i="9"/>
  <c r="J1370" i="9"/>
  <c r="J1416" i="9"/>
  <c r="J1368" i="9"/>
  <c r="J1268" i="9"/>
  <c r="J1384" i="9"/>
  <c r="J1376" i="9"/>
  <c r="J439" i="9"/>
  <c r="J436" i="9"/>
  <c r="J427" i="9"/>
  <c r="J423" i="9"/>
  <c r="J422" i="9"/>
  <c r="J585" i="9"/>
  <c r="J582" i="9"/>
  <c r="J1271" i="9"/>
  <c r="J1300" i="9"/>
  <c r="J1250" i="9"/>
  <c r="J498" i="9"/>
  <c r="J1249" i="9"/>
  <c r="J1261" i="9"/>
  <c r="J1240" i="9"/>
  <c r="J1305" i="9"/>
  <c r="J576" i="9"/>
  <c r="J572" i="9"/>
  <c r="J571" i="9"/>
  <c r="J1253" i="9"/>
  <c r="J1242" i="9"/>
  <c r="J1233" i="9"/>
  <c r="J1314" i="9"/>
  <c r="J1310" i="9"/>
  <c r="J1307" i="9"/>
  <c r="J420" i="9"/>
  <c r="J573" i="9"/>
  <c r="J390" i="9"/>
  <c r="J1236" i="9"/>
  <c r="J1232" i="9"/>
  <c r="J1231" i="9"/>
  <c r="J1229" i="9"/>
  <c r="J1228" i="9"/>
  <c r="J1227" i="9"/>
  <c r="J1346" i="9"/>
  <c r="J1339" i="9"/>
  <c r="J497" i="9"/>
  <c r="J491" i="9"/>
  <c r="J483" i="9"/>
  <c r="J482" i="9"/>
  <c r="J480" i="9"/>
  <c r="J1222" i="9"/>
  <c r="J1209" i="9"/>
  <c r="J1208" i="9"/>
  <c r="J1207" i="9"/>
  <c r="J1206" i="9"/>
  <c r="J1342" i="9"/>
  <c r="J1212" i="9"/>
  <c r="J1210" i="9"/>
  <c r="J1355" i="9"/>
  <c r="J1354" i="9"/>
  <c r="J1349" i="9"/>
  <c r="J1344" i="9"/>
  <c r="J1338" i="9"/>
  <c r="J1337" i="9"/>
  <c r="J1335" i="9"/>
  <c r="J1334" i="9"/>
  <c r="J477" i="9"/>
  <c r="J476" i="9"/>
  <c r="J469" i="9"/>
  <c r="J1879" i="9"/>
  <c r="J1205" i="9"/>
  <c r="J1360" i="9"/>
  <c r="J1348" i="9"/>
  <c r="J1343" i="9"/>
  <c r="J1341" i="9"/>
  <c r="J1333" i="9"/>
  <c r="J474" i="9"/>
  <c r="J2268" i="9"/>
  <c r="J1606" i="9"/>
  <c r="J1605" i="9"/>
  <c r="J1595" i="9"/>
  <c r="J1729" i="9"/>
  <c r="J356" i="9"/>
  <c r="J1730" i="9"/>
  <c r="J1726" i="9"/>
  <c r="J289" i="9"/>
  <c r="J286" i="9"/>
  <c r="J345" i="9"/>
  <c r="J1719" i="9"/>
  <c r="J1717" i="9"/>
  <c r="J2279" i="9"/>
  <c r="J2278" i="9"/>
  <c r="J2275" i="9"/>
  <c r="J235" i="9"/>
  <c r="J230" i="9"/>
  <c r="J1556" i="9"/>
  <c r="J1555" i="9"/>
  <c r="J1548" i="9"/>
  <c r="J1547" i="9"/>
  <c r="J1537" i="9"/>
  <c r="J105" i="9"/>
  <c r="J125" i="9"/>
  <c r="J1052" i="9"/>
  <c r="J1016" i="9"/>
  <c r="J1051" i="9"/>
  <c r="J1552" i="9"/>
  <c r="J1544" i="9"/>
  <c r="J1542" i="9"/>
  <c r="J1536" i="9"/>
  <c r="J100" i="9"/>
  <c r="J2270" i="9"/>
  <c r="J2249" i="9"/>
  <c r="J2269" i="9"/>
  <c r="J1027" i="9"/>
  <c r="J1022" i="9"/>
  <c r="J1013" i="9"/>
  <c r="J1012" i="9"/>
  <c r="J329" i="9"/>
  <c r="J1957" i="9"/>
  <c r="J1956" i="9"/>
  <c r="J126" i="9"/>
  <c r="J2250" i="9"/>
  <c r="J331" i="9"/>
  <c r="J229" i="9"/>
  <c r="J224" i="9"/>
  <c r="J1159" i="9"/>
  <c r="J1554" i="9"/>
  <c r="J1538" i="9"/>
  <c r="J115" i="9"/>
  <c r="J114" i="9"/>
  <c r="J109" i="9"/>
  <c r="J1179" i="9"/>
  <c r="J93" i="9"/>
  <c r="J92" i="9"/>
  <c r="J1030" i="9"/>
  <c r="J334" i="9"/>
  <c r="J330" i="9"/>
  <c r="J1153" i="9"/>
  <c r="J1539" i="9"/>
  <c r="J1180" i="9"/>
  <c r="J1176" i="9"/>
  <c r="J1507" i="9"/>
  <c r="J2262" i="9"/>
  <c r="J2258" i="9"/>
  <c r="J2253" i="9"/>
  <c r="J2271" i="9"/>
  <c r="J341" i="9"/>
  <c r="J338" i="9"/>
  <c r="J335" i="9"/>
  <c r="J273" i="9"/>
  <c r="J2306" i="9"/>
  <c r="J1154" i="9"/>
  <c r="J262" i="9"/>
  <c r="J1516" i="9"/>
  <c r="J1026" i="9"/>
  <c r="J1025" i="9"/>
  <c r="J1020" i="9"/>
  <c r="J1017" i="9"/>
  <c r="J276" i="9"/>
  <c r="J1160" i="9"/>
  <c r="J265" i="9"/>
  <c r="J1517" i="9"/>
  <c r="J1265" i="9"/>
  <c r="J259" i="9"/>
  <c r="J1496" i="9"/>
  <c r="J2151" i="9"/>
  <c r="J690" i="9"/>
  <c r="J220" i="9"/>
  <c r="J1950" i="9"/>
  <c r="J645" i="9"/>
  <c r="J180" i="9"/>
  <c r="J2227" i="9"/>
  <c r="J2164" i="9"/>
  <c r="J622" i="9"/>
  <c r="J1074" i="9"/>
  <c r="J1937" i="9"/>
  <c r="J1765" i="9"/>
  <c r="J721" i="9"/>
  <c r="J1057" i="9"/>
  <c r="J25" i="9"/>
  <c r="J367" i="9"/>
  <c r="J553" i="9"/>
  <c r="J556" i="9"/>
  <c r="J1840" i="9"/>
  <c r="J1839" i="9"/>
  <c r="J1838" i="9"/>
  <c r="J1109" i="9"/>
  <c r="J461" i="9"/>
  <c r="J547" i="9"/>
  <c r="J1935" i="9"/>
  <c r="J657" i="9"/>
  <c r="J1885" i="9"/>
  <c r="J1477" i="9"/>
  <c r="J1476" i="9"/>
  <c r="J2192" i="9"/>
  <c r="J2191" i="9"/>
  <c r="J2145" i="9"/>
  <c r="J1921" i="9"/>
  <c r="J1835" i="9"/>
  <c r="J633" i="9"/>
  <c r="J1773" i="9"/>
  <c r="J1887" i="9"/>
  <c r="J1644" i="9"/>
  <c r="J1693" i="9"/>
  <c r="J1688" i="9"/>
  <c r="J2326" i="9"/>
  <c r="J1003" i="9"/>
  <c r="J2327" i="9"/>
  <c r="J2325" i="9"/>
  <c r="J1005" i="9"/>
  <c r="J1627" i="9"/>
  <c r="J877" i="9"/>
  <c r="J990" i="9"/>
  <c r="J986" i="9"/>
  <c r="J984" i="9"/>
  <c r="J981" i="9"/>
  <c r="J979" i="9"/>
  <c r="J1675" i="9"/>
  <c r="J1660" i="9"/>
  <c r="J1667" i="9"/>
  <c r="J875" i="9"/>
  <c r="J874" i="9"/>
  <c r="J977" i="9"/>
  <c r="J748" i="9"/>
  <c r="J1611" i="9"/>
  <c r="J2071" i="9"/>
  <c r="J1668" i="9"/>
  <c r="J1666" i="9"/>
  <c r="J1653" i="9"/>
  <c r="J1617" i="9"/>
  <c r="J1615" i="9"/>
  <c r="J1613" i="9"/>
  <c r="J1610" i="9"/>
  <c r="J1609" i="9"/>
  <c r="J803" i="9"/>
  <c r="J758" i="9"/>
  <c r="J727" i="9"/>
  <c r="J2089" i="9"/>
  <c r="J2087" i="9"/>
  <c r="J2083" i="9"/>
  <c r="J811" i="9"/>
  <c r="J806" i="9"/>
  <c r="J744" i="9"/>
  <c r="J734" i="9"/>
  <c r="J733" i="9"/>
  <c r="J732" i="9"/>
  <c r="J731" i="9"/>
  <c r="J728" i="9"/>
  <c r="J810" i="9"/>
  <c r="J808" i="9"/>
  <c r="J807" i="9"/>
  <c r="J804" i="9"/>
  <c r="J967" i="9"/>
  <c r="J952" i="9"/>
  <c r="J951" i="9"/>
  <c r="J948" i="9"/>
  <c r="J2046" i="9"/>
  <c r="J845" i="9"/>
  <c r="J961" i="9"/>
  <c r="J918" i="9"/>
  <c r="J931" i="9"/>
  <c r="J65" i="9"/>
  <c r="J59" i="9"/>
  <c r="J56" i="9"/>
  <c r="J2056" i="9"/>
  <c r="J401" i="9"/>
  <c r="J2050" i="9"/>
  <c r="J2049" i="9"/>
  <c r="J2102" i="9"/>
  <c r="J826" i="9"/>
  <c r="J66" i="9"/>
  <c r="J64" i="9"/>
  <c r="J823" i="9"/>
  <c r="J821" i="9"/>
  <c r="J919" i="9"/>
  <c r="J889" i="9"/>
  <c r="J62" i="9"/>
  <c r="J1969" i="9"/>
  <c r="J898" i="9"/>
  <c r="J891" i="9"/>
  <c r="J890" i="9"/>
  <c r="J55" i="9"/>
  <c r="J679" i="9"/>
  <c r="J677" i="9"/>
  <c r="J214" i="9"/>
  <c r="J1531" i="9"/>
  <c r="J1188" i="9"/>
  <c r="J1767" i="9"/>
  <c r="J128" i="9"/>
  <c r="J1234" i="9"/>
  <c r="J1742" i="9"/>
  <c r="J1713" i="9"/>
  <c r="J1961" i="9"/>
  <c r="J1553" i="9"/>
  <c r="J1533" i="9"/>
  <c r="J111" i="9"/>
  <c r="J232" i="9"/>
  <c r="J2298" i="9"/>
  <c r="J1064" i="9"/>
  <c r="J1023" i="9"/>
  <c r="J1602" i="9"/>
  <c r="J1043" i="9"/>
  <c r="J325" i="9"/>
  <c r="J394" i="9"/>
  <c r="J1834" i="9"/>
  <c r="J520" i="9"/>
  <c r="J521" i="9"/>
  <c r="J1097" i="9"/>
  <c r="J142" i="9"/>
  <c r="J2021" i="9"/>
  <c r="J2032" i="9"/>
  <c r="J2067" i="9"/>
  <c r="J1006" i="9"/>
  <c r="J955" i="9"/>
  <c r="J1948" i="9"/>
  <c r="J2199" i="9"/>
  <c r="J223" i="9"/>
  <c r="J222" i="9"/>
  <c r="J344" i="9"/>
  <c r="J191" i="9"/>
  <c r="J1104" i="9"/>
  <c r="J48" i="9"/>
  <c r="J120" i="9"/>
  <c r="J113" i="9"/>
  <c r="J1047" i="9"/>
  <c r="J2025" i="9"/>
  <c r="J1405" i="9"/>
  <c r="J1503" i="9"/>
  <c r="J2023" i="9"/>
  <c r="J1979" i="9"/>
  <c r="J1974" i="9"/>
  <c r="J1972" i="9"/>
  <c r="J1087" i="9"/>
  <c r="J1131" i="9"/>
  <c r="J311" i="9"/>
  <c r="J310" i="9"/>
  <c r="J312" i="9"/>
  <c r="J924" i="9"/>
  <c r="J404" i="9"/>
  <c r="J403" i="9"/>
  <c r="J1184" i="9"/>
  <c r="J710" i="9"/>
  <c r="J20" i="9"/>
  <c r="J1400" i="9"/>
  <c r="J1383" i="9"/>
  <c r="J431" i="9"/>
  <c r="J432" i="9"/>
  <c r="J1387" i="9"/>
  <c r="J430" i="9"/>
  <c r="J433" i="9"/>
  <c r="J429" i="9"/>
  <c r="J424" i="9"/>
  <c r="J593" i="9"/>
  <c r="J583" i="9"/>
  <c r="J1279" i="9"/>
  <c r="J1274" i="9"/>
  <c r="J1273" i="9"/>
  <c r="J594" i="9"/>
  <c r="J569" i="9"/>
  <c r="J1245" i="9"/>
  <c r="J417" i="9"/>
  <c r="J389" i="9"/>
  <c r="J388" i="9"/>
  <c r="J426" i="9"/>
  <c r="J418" i="9"/>
  <c r="J1882" i="9"/>
  <c r="J1884" i="9"/>
  <c r="J1243" i="9"/>
  <c r="J1361" i="9"/>
  <c r="J1347" i="9"/>
  <c r="J1345" i="9"/>
  <c r="J503" i="9"/>
  <c r="J485" i="9"/>
  <c r="J1302" i="9"/>
  <c r="J1350" i="9"/>
  <c r="J489" i="9"/>
  <c r="J484" i="9"/>
  <c r="J478" i="9"/>
  <c r="J1294" i="9"/>
  <c r="J479" i="9"/>
  <c r="J475" i="9"/>
  <c r="J1293" i="9"/>
  <c r="J1292" i="9"/>
  <c r="J1291" i="9"/>
  <c r="J1351" i="9"/>
  <c r="J1340" i="9"/>
  <c r="J490" i="9"/>
  <c r="J486" i="9"/>
  <c r="J1741" i="9"/>
  <c r="J1607" i="9"/>
  <c r="J1604" i="9"/>
  <c r="J1744" i="9"/>
  <c r="J354" i="9"/>
  <c r="J247" i="9"/>
  <c r="J351" i="9"/>
  <c r="J1736" i="9"/>
  <c r="J1733" i="9"/>
  <c r="J1724" i="9"/>
  <c r="J295" i="9"/>
  <c r="J280" i="9"/>
  <c r="J1036" i="9"/>
  <c r="J1034" i="9"/>
  <c r="J116" i="9"/>
  <c r="J106" i="9"/>
  <c r="J2257" i="9"/>
  <c r="J1044" i="9"/>
  <c r="J1966" i="9"/>
  <c r="J1550" i="9"/>
  <c r="J1524" i="9"/>
  <c r="J2246" i="9"/>
  <c r="J1551" i="9"/>
  <c r="J110" i="9"/>
  <c r="J107" i="9"/>
  <c r="J1530" i="9"/>
  <c r="J791" i="9"/>
  <c r="J1031" i="9"/>
  <c r="J336" i="9"/>
  <c r="J781" i="9"/>
  <c r="J1021" i="9"/>
  <c r="J1520" i="9"/>
  <c r="J1032" i="9"/>
  <c r="J1171" i="9"/>
  <c r="J1161" i="9"/>
  <c r="J263" i="9"/>
  <c r="J1514" i="9"/>
  <c r="J696" i="9"/>
  <c r="J2308" i="9"/>
  <c r="J636" i="9"/>
  <c r="J635" i="9"/>
  <c r="J2216" i="9"/>
  <c r="J2210" i="9"/>
  <c r="J2215" i="9"/>
  <c r="J2219" i="9"/>
  <c r="J2206" i="9"/>
  <c r="J2205" i="9"/>
  <c r="J2203" i="9"/>
  <c r="J2213" i="9"/>
  <c r="J2207" i="9"/>
  <c r="J2204" i="9"/>
  <c r="J2209" i="9"/>
  <c r="J2214" i="9"/>
  <c r="J780" i="9"/>
  <c r="J2218" i="9"/>
  <c r="J718" i="9"/>
  <c r="J2113" i="9"/>
  <c r="J384" i="9"/>
  <c r="J393" i="9"/>
  <c r="J634" i="9"/>
  <c r="J1266" i="9"/>
  <c r="J1762" i="9"/>
  <c r="J1760" i="9"/>
  <c r="J1761" i="9"/>
  <c r="J1832" i="9"/>
  <c r="J1467" i="9"/>
  <c r="J1443" i="9"/>
  <c r="J1470" i="9"/>
  <c r="J172" i="9"/>
  <c r="J2187" i="9"/>
  <c r="J1504" i="9"/>
  <c r="J258" i="9"/>
  <c r="J171" i="9"/>
  <c r="J1442" i="9"/>
  <c r="J1462" i="9"/>
  <c r="J1493" i="9"/>
  <c r="J1492" i="9"/>
  <c r="J170" i="9"/>
  <c r="J169" i="9"/>
  <c r="J204" i="9"/>
  <c r="J449" i="9"/>
  <c r="J1906" i="9"/>
  <c r="J1440" i="9"/>
  <c r="J200" i="9"/>
  <c r="J1904" i="9"/>
  <c r="J1134" i="9"/>
  <c r="J1860" i="9"/>
  <c r="J1857" i="9"/>
  <c r="J1858" i="9"/>
  <c r="J684" i="9"/>
  <c r="J689" i="9"/>
  <c r="J1952" i="9"/>
  <c r="J1951" i="9"/>
  <c r="J218" i="9"/>
  <c r="J683" i="9"/>
  <c r="J681" i="9"/>
  <c r="J1484" i="9"/>
  <c r="J630" i="9"/>
  <c r="J1485" i="9"/>
  <c r="J179" i="9"/>
  <c r="J217" i="9"/>
  <c r="J1420" i="9"/>
  <c r="J1137" i="9"/>
  <c r="J1759" i="9"/>
  <c r="J467" i="9"/>
  <c r="J465" i="9"/>
  <c r="J1757" i="9"/>
  <c r="J717" i="9"/>
  <c r="J7" i="9"/>
  <c r="J5" i="9"/>
  <c r="J536" i="9"/>
  <c r="J386" i="9"/>
  <c r="J414" i="9"/>
  <c r="J2184" i="9"/>
  <c r="J302" i="9"/>
  <c r="J1203" i="9"/>
  <c r="J298" i="9"/>
  <c r="J2009" i="9"/>
  <c r="J1197" i="9"/>
  <c r="J530" i="9"/>
  <c r="J307" i="9"/>
  <c r="J306" i="9"/>
  <c r="J1769" i="9"/>
  <c r="J1766" i="9"/>
  <c r="J1200" i="9"/>
  <c r="J1198" i="9"/>
  <c r="J1196" i="9"/>
  <c r="J519" i="9"/>
  <c r="J21" i="9"/>
  <c r="J1132" i="9"/>
  <c r="J1126" i="9"/>
  <c r="J554" i="9"/>
  <c r="J560" i="9"/>
  <c r="J194" i="9"/>
  <c r="J1105" i="9"/>
  <c r="J659" i="9"/>
  <c r="J1929" i="9"/>
  <c r="J663" i="9"/>
  <c r="J661" i="9"/>
  <c r="J1922" i="9"/>
  <c r="J1069" i="9"/>
  <c r="J2196" i="9"/>
  <c r="J2197" i="9"/>
  <c r="J2195" i="9"/>
  <c r="J1833" i="9"/>
  <c r="J2146" i="9"/>
  <c r="J1854" i="9"/>
  <c r="J653" i="9"/>
  <c r="J652" i="9"/>
  <c r="J650" i="9"/>
  <c r="J651" i="9"/>
  <c r="J1944" i="9"/>
  <c r="J1943" i="9"/>
  <c r="J1940" i="9"/>
  <c r="J1635" i="9"/>
  <c r="J1636" i="9"/>
  <c r="J1690" i="9"/>
  <c r="J1689" i="9"/>
  <c r="J1002" i="9"/>
  <c r="J1638" i="9"/>
  <c r="J725" i="9"/>
  <c r="J763" i="9"/>
  <c r="J2142" i="9"/>
  <c r="J881" i="9"/>
  <c r="J1612" i="9"/>
  <c r="J1673" i="9"/>
  <c r="J882" i="9"/>
  <c r="J1661" i="9"/>
  <c r="J987" i="9"/>
  <c r="J1622" i="9"/>
  <c r="J2097" i="9"/>
  <c r="J2096" i="9"/>
  <c r="J965" i="9"/>
  <c r="J407" i="9"/>
  <c r="J2073" i="9"/>
  <c r="J956" i="9"/>
  <c r="J760" i="9"/>
  <c r="J2055" i="9"/>
  <c r="J2054" i="9"/>
  <c r="J2098" i="9"/>
  <c r="J2093" i="9"/>
  <c r="J2090" i="9"/>
  <c r="J848" i="9"/>
  <c r="J966" i="9"/>
  <c r="J943" i="9"/>
  <c r="J937" i="9"/>
  <c r="J927" i="9"/>
  <c r="J51" i="9"/>
  <c r="J2059" i="9"/>
  <c r="J2101" i="9"/>
  <c r="J2104" i="9"/>
  <c r="J2103" i="9"/>
  <c r="J2094" i="9"/>
  <c r="J2320" i="9"/>
  <c r="J832" i="9"/>
  <c r="J830" i="9"/>
  <c r="J945" i="9"/>
  <c r="J941" i="9"/>
  <c r="J2057" i="9"/>
  <c r="J2053" i="9"/>
  <c r="J2095" i="9"/>
  <c r="J2091" i="9"/>
  <c r="J839" i="9"/>
  <c r="J838" i="9"/>
  <c r="J863" i="9"/>
  <c r="J831" i="9"/>
  <c r="J829" i="9"/>
  <c r="J828" i="9"/>
  <c r="J825" i="9"/>
  <c r="J925" i="9"/>
  <c r="J1973" i="9"/>
  <c r="J1970" i="9"/>
  <c r="J907" i="9"/>
  <c r="J52" i="9"/>
  <c r="J1967" i="9"/>
  <c r="J894" i="9"/>
  <c r="J54" i="9"/>
  <c r="J53" i="9"/>
  <c r="J216" i="9"/>
  <c r="J1852" i="9"/>
  <c r="J1702" i="9"/>
  <c r="J1901" i="9"/>
  <c r="J2031" i="9"/>
  <c r="J2318" i="9"/>
  <c r="J1195" i="9"/>
  <c r="J1191" i="9"/>
  <c r="J385" i="9"/>
  <c r="J146" i="9"/>
  <c r="J147" i="9"/>
  <c r="J1189" i="9"/>
  <c r="J765" i="9"/>
  <c r="J409" i="9"/>
  <c r="J1190" i="9"/>
  <c r="J618" i="9"/>
  <c r="J619" i="9"/>
  <c r="J2313" i="9"/>
  <c r="J451" i="9"/>
  <c r="J2125" i="9"/>
  <c r="J1086" i="9"/>
  <c r="J369" i="9"/>
  <c r="J210" i="9"/>
  <c r="J209" i="9"/>
  <c r="J208" i="9"/>
  <c r="J207" i="9"/>
  <c r="J1011" i="9"/>
  <c r="J1010" i="9"/>
  <c r="J778" i="9"/>
  <c r="J1185" i="9"/>
  <c r="J513" i="9"/>
  <c r="J1898" i="9"/>
  <c r="J510" i="9"/>
  <c r="J131" i="9"/>
  <c r="J132" i="9"/>
  <c r="J2341" i="9"/>
  <c r="J2337" i="9"/>
  <c r="J2334" i="9"/>
  <c r="J2333" i="9"/>
  <c r="J2331" i="9"/>
  <c r="J1418" i="9"/>
  <c r="J2344" i="9"/>
  <c r="J2336" i="9"/>
  <c r="J2339" i="9"/>
  <c r="J1081" i="9"/>
  <c r="J1080" i="9"/>
  <c r="J2185" i="9"/>
  <c r="J533" i="9"/>
  <c r="J2006" i="9"/>
  <c r="J1597" i="9"/>
  <c r="J1734" i="9"/>
  <c r="J1428" i="9"/>
  <c r="J2261" i="9"/>
  <c r="J2020" i="9"/>
  <c r="J1680" i="9"/>
  <c r="J1094" i="9"/>
  <c r="J1896" i="9"/>
  <c r="J1895" i="9"/>
  <c r="J502" i="9"/>
  <c r="J238" i="9"/>
  <c r="J269" i="9"/>
  <c r="J1509" i="9"/>
  <c r="J1035" i="9"/>
  <c r="J267" i="9"/>
  <c r="J706" i="9"/>
  <c r="J2186" i="9"/>
  <c r="J1463" i="9"/>
  <c r="J2155" i="9"/>
  <c r="J1859" i="9"/>
  <c r="J648" i="9"/>
  <c r="J183" i="9"/>
  <c r="J185" i="9"/>
  <c r="J181" i="9"/>
  <c r="J667" i="9"/>
  <c r="J646" i="9"/>
  <c r="J1919" i="9"/>
  <c r="J610" i="9"/>
  <c r="J612" i="9"/>
  <c r="J196" i="9"/>
  <c r="J2016" i="9"/>
  <c r="J840" i="9"/>
  <c r="J366" i="9"/>
  <c r="J89" i="9"/>
  <c r="J1698" i="9"/>
  <c r="J1267" i="9"/>
  <c r="J1880" i="9"/>
  <c r="J1366" i="9"/>
  <c r="J508" i="9"/>
  <c r="J1749" i="9"/>
  <c r="J1590" i="9"/>
  <c r="J1571" i="9"/>
  <c r="J339" i="9"/>
  <c r="J1750" i="9"/>
  <c r="J1527" i="9"/>
  <c r="J1019" i="9"/>
  <c r="J1037" i="9"/>
  <c r="J198" i="9"/>
  <c r="J203" i="9"/>
  <c r="J201" i="9"/>
  <c r="J202" i="9"/>
  <c r="J1451" i="9"/>
  <c r="J1478" i="9"/>
  <c r="J49" i="9"/>
  <c r="J809" i="9"/>
  <c r="J50" i="9"/>
  <c r="J954" i="9"/>
  <c r="J892" i="9"/>
  <c r="J130" i="9"/>
  <c r="J322" i="9"/>
  <c r="J1587" i="9"/>
  <c r="J1586" i="9"/>
  <c r="J1564" i="9"/>
  <c r="J2239" i="9"/>
  <c r="J119" i="9"/>
  <c r="J703" i="9"/>
  <c r="J2116" i="9"/>
  <c r="J639" i="9"/>
  <c r="J1828" i="9"/>
  <c r="J1827" i="9"/>
  <c r="J1910" i="9"/>
  <c r="J277" i="9"/>
  <c r="J368" i="9"/>
  <c r="J1130" i="9"/>
  <c r="J39" i="9"/>
  <c r="J1707" i="9"/>
  <c r="J455" i="9"/>
  <c r="J1704" i="9"/>
  <c r="J1982" i="9"/>
  <c r="J1886" i="9"/>
  <c r="J143" i="9"/>
  <c r="J32" i="9"/>
  <c r="J77" i="9"/>
  <c r="J78" i="9"/>
  <c r="J2079" i="9"/>
  <c r="J861" i="9"/>
  <c r="J860" i="9"/>
  <c r="J26" i="9"/>
  <c r="J211" i="9"/>
  <c r="J17" i="9"/>
  <c r="J2173" i="9"/>
  <c r="J283" i="9"/>
  <c r="J16" i="9"/>
  <c r="J1083" i="9"/>
  <c r="J1438" i="9"/>
  <c r="J1739" i="9"/>
  <c r="J1029" i="9"/>
  <c r="J1914" i="9"/>
  <c r="J1850" i="9"/>
  <c r="J1873" i="9"/>
  <c r="J1988" i="9"/>
  <c r="J1705" i="9"/>
  <c r="J2017" i="9"/>
  <c r="J1398" i="9"/>
  <c r="J2030" i="9"/>
  <c r="J1751" i="9"/>
  <c r="J2297" i="9"/>
  <c r="J2247" i="9"/>
  <c r="J1149" i="9"/>
  <c r="J2200" i="9"/>
  <c r="J397" i="9"/>
  <c r="J1915" i="9"/>
  <c r="J1403" i="9"/>
  <c r="J2149" i="9"/>
  <c r="J1989" i="9"/>
  <c r="J1480" i="9"/>
  <c r="J2077" i="9"/>
  <c r="J1753" i="9"/>
  <c r="J1559" i="9"/>
  <c r="J675" i="9"/>
  <c r="J452" i="9"/>
  <c r="J1986" i="9"/>
  <c r="J1777" i="9"/>
  <c r="J1677" i="9"/>
  <c r="J960" i="9"/>
  <c r="J2074" i="9"/>
  <c r="J902" i="9"/>
  <c r="J900" i="9"/>
  <c r="J1978" i="9"/>
  <c r="J2174" i="9"/>
  <c r="J122" i="9"/>
  <c r="J596" i="9"/>
  <c r="J2260" i="9"/>
  <c r="J1252" i="9"/>
  <c r="J1881" i="9"/>
  <c r="J1303" i="9"/>
  <c r="J1298" i="9"/>
  <c r="J1358" i="9"/>
  <c r="J1737" i="9"/>
  <c r="J1965" i="9"/>
  <c r="J266" i="9"/>
  <c r="J155" i="9"/>
  <c r="J156" i="9"/>
  <c r="J10" i="9"/>
  <c r="J1816" i="9"/>
  <c r="J1916" i="9"/>
  <c r="J539" i="9"/>
  <c r="J538" i="9"/>
  <c r="J153" i="9"/>
  <c r="J410" i="9"/>
  <c r="J6" i="9"/>
  <c r="J1866" i="9"/>
  <c r="J379" i="9"/>
  <c r="J380" i="9"/>
  <c r="J2109" i="9"/>
  <c r="J2114" i="9"/>
  <c r="J632" i="9"/>
  <c r="J1908" i="9"/>
  <c r="J23" i="9"/>
  <c r="J317" i="9"/>
  <c r="J1934" i="9"/>
  <c r="J2177" i="9"/>
  <c r="J1856" i="9"/>
  <c r="J1928" i="9"/>
  <c r="J136" i="9"/>
  <c r="J138" i="9"/>
  <c r="J135" i="9"/>
  <c r="J770" i="9"/>
  <c r="J2012" i="9"/>
  <c r="J1626" i="9"/>
  <c r="J2157" i="9"/>
  <c r="J1458" i="9"/>
  <c r="J28" i="9"/>
  <c r="J446" i="9"/>
  <c r="J2202" i="9"/>
  <c r="J284" i="9"/>
  <c r="J129" i="9"/>
  <c r="J1079" i="9"/>
  <c r="J1949" i="9"/>
  <c r="J1588" i="9"/>
  <c r="J2263" i="9"/>
  <c r="J643" i="9"/>
  <c r="J1913" i="9"/>
  <c r="J1983" i="9"/>
  <c r="J1631" i="9"/>
  <c r="J1601" i="9"/>
  <c r="J1583" i="9"/>
  <c r="J1580" i="9"/>
  <c r="J251" i="9"/>
  <c r="J1747" i="9"/>
  <c r="J1567" i="9"/>
  <c r="J1566" i="9"/>
  <c r="J1562" i="9"/>
  <c r="J2295" i="9"/>
  <c r="J1164" i="9"/>
  <c r="J2242" i="9"/>
  <c r="J2237" i="9"/>
  <c r="J2234" i="9"/>
  <c r="J1521" i="9"/>
  <c r="J197" i="9"/>
  <c r="J186" i="9"/>
  <c r="J1997" i="9"/>
  <c r="J1987" i="9"/>
  <c r="J1782" i="9"/>
  <c r="J1999" i="9"/>
  <c r="J1991" i="9"/>
  <c r="J1984" i="9"/>
  <c r="J1781" i="9"/>
  <c r="J1992" i="9"/>
  <c r="J1091" i="9"/>
  <c r="J1643" i="9"/>
  <c r="J1632" i="9"/>
  <c r="J1630" i="9"/>
  <c r="J993" i="9"/>
  <c r="J969" i="9"/>
  <c r="J2048" i="9"/>
  <c r="J1977" i="9"/>
  <c r="J1407" i="9"/>
  <c r="J1894" i="9"/>
  <c r="J1826" i="9"/>
  <c r="J2003" i="9"/>
  <c r="J1853" i="9"/>
  <c r="J370" i="9"/>
  <c r="J1429" i="9"/>
  <c r="J1150" i="9"/>
  <c r="J702" i="9"/>
  <c r="J1823" i="9"/>
  <c r="J1829" i="9"/>
  <c r="J529" i="9"/>
  <c r="J2001" i="9"/>
  <c r="J1784" i="9"/>
  <c r="J1404" i="9"/>
  <c r="J2321" i="9"/>
  <c r="J199" i="9"/>
  <c r="J1448" i="9"/>
  <c r="J250" i="9"/>
  <c r="J1872" i="9"/>
  <c r="J1998" i="9"/>
  <c r="J541" i="9"/>
  <c r="J1783" i="9"/>
  <c r="J1681" i="9"/>
  <c r="J970" i="9"/>
  <c r="J705" i="9"/>
  <c r="J813" i="9"/>
  <c r="J1142" i="9"/>
  <c r="J1141" i="9"/>
  <c r="J1143" i="9"/>
  <c r="J1299" i="9"/>
  <c r="J1722" i="9"/>
  <c r="J1168" i="9"/>
  <c r="J1040" i="9"/>
  <c r="J1169" i="9"/>
  <c r="J1510" i="9"/>
  <c r="J2208" i="9"/>
  <c r="J1486" i="9"/>
  <c r="J187" i="9"/>
  <c r="J1136" i="9"/>
  <c r="J1133" i="9"/>
  <c r="J221" i="9"/>
  <c r="J546" i="9"/>
  <c r="J195" i="9"/>
  <c r="J753" i="9"/>
  <c r="J2060" i="9"/>
  <c r="J2058" i="9"/>
  <c r="J57" i="9"/>
  <c r="J1417" i="9"/>
  <c r="J133" i="9"/>
  <c r="J1465" i="9"/>
  <c r="J1706" i="9"/>
  <c r="J85" i="9"/>
  <c r="J2236" i="9"/>
  <c r="J1814" i="9"/>
  <c r="J598" i="9"/>
  <c r="J597" i="9"/>
  <c r="J2002" i="9"/>
  <c r="J1483" i="9"/>
  <c r="J34" i="9"/>
  <c r="J83" i="9"/>
  <c r="J1654" i="9"/>
  <c r="J816" i="9"/>
  <c r="J1980" i="9"/>
  <c r="J2072" i="9"/>
  <c r="J1406" i="9"/>
  <c r="J43" i="9"/>
  <c r="J382" i="9"/>
  <c r="J371" i="9"/>
  <c r="J447" i="9"/>
  <c r="J492" i="9"/>
  <c r="J793" i="9"/>
  <c r="J2312" i="9"/>
  <c r="J1135" i="9"/>
  <c r="J1367" i="9"/>
  <c r="J1619" i="9"/>
  <c r="J1235" i="9"/>
  <c r="J1714" i="9"/>
  <c r="J928" i="9"/>
  <c r="J1103" i="9"/>
  <c r="J2314" i="9"/>
  <c r="J926" i="9"/>
  <c r="J888" i="9"/>
  <c r="J1204" i="9"/>
  <c r="J189" i="9"/>
  <c r="J2225" i="9"/>
  <c r="J767" i="9"/>
  <c r="J766" i="9"/>
  <c r="J2047" i="9"/>
  <c r="J254" i="9"/>
  <c r="J1579" i="9"/>
  <c r="J1558" i="9"/>
  <c r="J1055" i="9"/>
  <c r="J2241" i="9"/>
  <c r="J44" i="9"/>
  <c r="J159" i="9"/>
  <c r="J323" i="9"/>
  <c r="J19" i="9"/>
  <c r="J2132" i="9"/>
  <c r="J2131" i="9"/>
  <c r="J381" i="9"/>
  <c r="J1323" i="9"/>
  <c r="J445" i="9"/>
  <c r="J1283" i="9"/>
  <c r="J437" i="9"/>
  <c r="J1414" i="9"/>
  <c r="J1413" i="9"/>
  <c r="J1397" i="9"/>
  <c r="J1392" i="9"/>
  <c r="J1371" i="9"/>
  <c r="J590" i="9"/>
  <c r="J1311" i="9"/>
  <c r="J441" i="9"/>
  <c r="J1410" i="9"/>
  <c r="J1409" i="9"/>
  <c r="J592" i="9"/>
  <c r="J591" i="9"/>
  <c r="J589" i="9"/>
  <c r="J587" i="9"/>
  <c r="J580" i="9"/>
  <c r="J416" i="9"/>
  <c r="J415" i="9"/>
  <c r="J577" i="9"/>
  <c r="J1878" i="9"/>
  <c r="J1221" i="9"/>
  <c r="J500" i="9"/>
  <c r="J1215" i="9"/>
  <c r="J501" i="9"/>
  <c r="J1216" i="9"/>
  <c r="J487" i="9"/>
  <c r="J1362" i="9"/>
  <c r="J567" i="9"/>
  <c r="J1600" i="9"/>
  <c r="J1591" i="9"/>
  <c r="J1577" i="9"/>
  <c r="J1720" i="9"/>
  <c r="J2277" i="9"/>
  <c r="J2276" i="9"/>
  <c r="J352" i="9"/>
  <c r="J350" i="9"/>
  <c r="J348" i="9"/>
  <c r="J347" i="9"/>
  <c r="J2281" i="9"/>
  <c r="J1732" i="9"/>
  <c r="J1962" i="9"/>
  <c r="J1039" i="9"/>
  <c r="J1038" i="9"/>
  <c r="J1963" i="9"/>
  <c r="J101" i="9"/>
  <c r="J1528" i="9"/>
  <c r="J2248" i="9"/>
  <c r="J787" i="9"/>
  <c r="J1543" i="9"/>
  <c r="J121" i="9"/>
  <c r="J118" i="9"/>
  <c r="J2259" i="9"/>
  <c r="J2252" i="9"/>
  <c r="J792" i="9"/>
  <c r="J303" i="9"/>
  <c r="J1166" i="9"/>
  <c r="J1162" i="9"/>
  <c r="J1560" i="9"/>
  <c r="J1546" i="9"/>
  <c r="J264" i="9"/>
  <c r="J699" i="9"/>
  <c r="J700" i="9"/>
  <c r="J701" i="9"/>
  <c r="J708" i="9"/>
  <c r="J709" i="9"/>
  <c r="J2310" i="9"/>
  <c r="J2309" i="9"/>
  <c r="J1172" i="9"/>
  <c r="J1170" i="9"/>
  <c r="J275" i="9"/>
  <c r="J274" i="9"/>
  <c r="J2307" i="9"/>
  <c r="J305" i="9"/>
  <c r="J2120" i="9"/>
  <c r="J2217" i="9"/>
  <c r="J2221" i="9"/>
  <c r="J2220" i="9"/>
  <c r="J154" i="9"/>
  <c r="J2105" i="9"/>
  <c r="J383" i="9"/>
  <c r="J1499" i="9"/>
  <c r="J1500" i="9"/>
  <c r="J1491" i="9"/>
  <c r="J168" i="9"/>
  <c r="J205" i="9"/>
  <c r="J1905" i="9"/>
  <c r="J463" i="9"/>
  <c r="J771" i="9"/>
  <c r="J673" i="9"/>
  <c r="J637" i="9"/>
  <c r="J671" i="9"/>
  <c r="J691" i="9"/>
  <c r="J1851" i="9"/>
  <c r="J178" i="9"/>
  <c r="J682" i="9"/>
  <c r="J537" i="9"/>
  <c r="J680" i="9"/>
  <c r="J687" i="9"/>
  <c r="J219" i="9"/>
  <c r="J184" i="9"/>
  <c r="J1075" i="9"/>
  <c r="J615" i="9"/>
  <c r="J613" i="9"/>
  <c r="J608" i="9"/>
  <c r="J609" i="9"/>
  <c r="J605" i="9"/>
  <c r="J466" i="9"/>
  <c r="J300" i="9"/>
  <c r="J527" i="9"/>
  <c r="J411" i="9"/>
  <c r="J24" i="9"/>
  <c r="J1870" i="9"/>
  <c r="J1869" i="9"/>
  <c r="J1125" i="9"/>
  <c r="J1129" i="9"/>
  <c r="J1457" i="9"/>
  <c r="J555" i="9"/>
  <c r="J562" i="9"/>
  <c r="J1110" i="9"/>
  <c r="J1107" i="9"/>
  <c r="J1106" i="9"/>
  <c r="J462" i="9"/>
  <c r="J1926" i="9"/>
  <c r="J1925" i="9"/>
  <c r="J1924" i="9"/>
  <c r="J1923" i="9"/>
  <c r="J1920" i="9"/>
  <c r="J1068" i="9"/>
  <c r="J1942" i="9"/>
  <c r="J2193" i="9"/>
  <c r="J175" i="9"/>
  <c r="J174" i="9"/>
  <c r="J315" i="9"/>
  <c r="J314" i="9"/>
  <c r="J456" i="9"/>
  <c r="J176" i="9"/>
  <c r="J165" i="9"/>
  <c r="J141" i="9"/>
  <c r="J2015" i="9"/>
  <c r="J2014" i="9"/>
  <c r="J1001" i="9"/>
  <c r="J80" i="9"/>
  <c r="J79" i="9"/>
  <c r="J997" i="9"/>
  <c r="J75" i="9"/>
  <c r="J1683" i="9"/>
  <c r="J1623" i="9"/>
  <c r="J1621" i="9"/>
  <c r="J876" i="9"/>
  <c r="J957" i="9"/>
  <c r="J1663" i="9"/>
  <c r="J1618" i="9"/>
  <c r="J2134" i="9"/>
  <c r="J1614" i="9"/>
  <c r="J1671" i="9"/>
  <c r="J1669" i="9"/>
  <c r="J1657" i="9"/>
  <c r="J886" i="9"/>
  <c r="J880" i="9"/>
  <c r="J873" i="9"/>
  <c r="J991" i="9"/>
  <c r="J989" i="9"/>
  <c r="J1676" i="9"/>
  <c r="J884" i="9"/>
  <c r="J565" i="9"/>
  <c r="J995" i="9"/>
  <c r="J985" i="9"/>
  <c r="J974" i="9"/>
  <c r="J1662" i="9"/>
  <c r="J1652" i="9"/>
  <c r="J857" i="9"/>
  <c r="J962" i="9"/>
  <c r="J756" i="9"/>
  <c r="J855" i="9"/>
  <c r="J851" i="9"/>
  <c r="J849" i="9"/>
  <c r="J973" i="9"/>
  <c r="J2078" i="9"/>
  <c r="J2052" i="9"/>
  <c r="J2076" i="9"/>
  <c r="J858" i="9"/>
  <c r="J854" i="9"/>
  <c r="J773" i="9"/>
  <c r="J74" i="9"/>
  <c r="J2066" i="9"/>
  <c r="J846" i="9"/>
  <c r="J822" i="9"/>
  <c r="J70" i="9"/>
  <c r="J69" i="9"/>
  <c r="J2068" i="9"/>
  <c r="J841" i="9"/>
  <c r="J836" i="9"/>
  <c r="J835" i="9"/>
  <c r="J909" i="9"/>
  <c r="J1976" i="9"/>
  <c r="J899" i="9"/>
  <c r="J897" i="9"/>
  <c r="J73" i="9"/>
  <c r="J72" i="9"/>
  <c r="J63" i="9"/>
  <c r="J676" i="9"/>
  <c r="J678" i="9"/>
  <c r="J164" i="9"/>
  <c r="J148" i="9"/>
  <c r="J1825" i="9"/>
  <c r="J30" i="9"/>
  <c r="J768" i="9"/>
  <c r="J544" i="9"/>
  <c r="J1805" i="9"/>
  <c r="J1804" i="9"/>
  <c r="J715" i="9"/>
  <c r="J716" i="9"/>
  <c r="J1089" i="9"/>
  <c r="J1186" i="9"/>
  <c r="J1140" i="9"/>
  <c r="J514" i="9"/>
  <c r="J1964" i="9"/>
  <c r="J1048" i="9"/>
  <c r="J1202" i="9"/>
  <c r="J1771" i="9"/>
  <c r="J616" i="9"/>
  <c r="J88" i="9"/>
  <c r="J412" i="9"/>
  <c r="J42" i="9"/>
  <c r="J2099" i="9"/>
  <c r="J215" i="9"/>
  <c r="J2343" i="9"/>
  <c r="J2005" i="9"/>
  <c r="J2292" i="9"/>
  <c r="J294" i="9"/>
  <c r="J292" i="9"/>
  <c r="J2240" i="9"/>
  <c r="J1515" i="9"/>
  <c r="J2117" i="9"/>
  <c r="J14" i="9"/>
  <c r="J1830" i="9"/>
  <c r="J1918" i="9"/>
  <c r="J662" i="9"/>
  <c r="J1945" i="9"/>
  <c r="J1996" i="9"/>
  <c r="J1990" i="9"/>
  <c r="J1008" i="9"/>
  <c r="J1646" i="9"/>
  <c r="J1063" i="9"/>
  <c r="J1758" i="9"/>
  <c r="J67" i="9"/>
  <c r="J1078" i="9"/>
  <c r="J1768" i="9"/>
  <c r="J595" i="9"/>
  <c r="J575" i="9"/>
  <c r="J570" i="9"/>
  <c r="J1297" i="9"/>
  <c r="J1359" i="9"/>
  <c r="J493" i="9"/>
  <c r="J1218" i="9"/>
  <c r="J1599" i="9"/>
  <c r="J297" i="9"/>
  <c r="J2290" i="9"/>
  <c r="J353" i="9"/>
  <c r="J1727" i="9"/>
  <c r="J285" i="9"/>
  <c r="J36" i="9"/>
  <c r="J1053" i="9"/>
  <c r="J240" i="9"/>
  <c r="J1735" i="9"/>
  <c r="J1526" i="9"/>
  <c r="J1042" i="9"/>
  <c r="J117" i="9"/>
  <c r="J1018" i="9"/>
  <c r="J236" i="9"/>
  <c r="J123" i="9"/>
  <c r="J2245" i="9"/>
  <c r="J2254" i="9"/>
  <c r="J1041" i="9"/>
  <c r="J1549" i="9"/>
  <c r="J2265" i="9"/>
  <c r="J783" i="9"/>
  <c r="J1165" i="9"/>
  <c r="J1812" i="9"/>
  <c r="J1070" i="9"/>
  <c r="J1469" i="9"/>
  <c r="J1502" i="9"/>
  <c r="J1497" i="9"/>
  <c r="J2171" i="9"/>
  <c r="J2169" i="9"/>
  <c r="J1820" i="9"/>
  <c r="J2226" i="9"/>
  <c r="J1794" i="9"/>
  <c r="J611" i="9"/>
  <c r="J373" i="9"/>
  <c r="J1763" i="9"/>
  <c r="J1060" i="9"/>
  <c r="J1201" i="9"/>
  <c r="J1194" i="9"/>
  <c r="J1193" i="9"/>
  <c r="J282" i="9"/>
  <c r="J1456" i="9"/>
  <c r="J1449" i="9"/>
  <c r="J1450" i="9"/>
  <c r="J2044" i="9"/>
  <c r="J723" i="9"/>
  <c r="J1640" i="9"/>
  <c r="J968" i="9"/>
  <c r="J812" i="9"/>
  <c r="J750" i="9"/>
  <c r="J2143" i="9"/>
  <c r="J741" i="9"/>
  <c r="J740" i="9"/>
  <c r="J405" i="9"/>
  <c r="J942" i="9"/>
  <c r="J68" i="9"/>
  <c r="J895" i="9"/>
  <c r="J31" i="9"/>
  <c r="J762" i="9"/>
  <c r="J757" i="9"/>
  <c r="J1183" i="9"/>
  <c r="J1699" i="9"/>
  <c r="J1419" i="9"/>
  <c r="J112" i="9"/>
  <c r="J2133" i="9"/>
  <c r="J2092" i="9"/>
  <c r="J1893" i="9"/>
  <c r="J1402" i="9"/>
  <c r="J391" i="9"/>
  <c r="J1223" i="9"/>
  <c r="J2028" i="9"/>
  <c r="J346" i="9"/>
  <c r="J1955" i="9"/>
  <c r="J1954" i="9"/>
  <c r="J272" i="9"/>
  <c r="J1513" i="9"/>
  <c r="J1028" i="9"/>
  <c r="J1167" i="9"/>
  <c r="J1911" i="9"/>
  <c r="J2111" i="9"/>
  <c r="J2108" i="9"/>
  <c r="J4" i="9"/>
  <c r="J3" i="9"/>
  <c r="J1466" i="9"/>
  <c r="J2154" i="9"/>
  <c r="J614" i="9"/>
  <c r="J1054" i="9"/>
  <c r="J304" i="9"/>
  <c r="J523" i="9"/>
  <c r="J278" i="9"/>
  <c r="J320" i="9"/>
  <c r="J1849" i="9"/>
  <c r="J1844" i="9"/>
  <c r="J1843" i="9"/>
  <c r="J1931" i="9"/>
  <c r="J2189" i="9"/>
  <c r="J1941" i="9"/>
  <c r="J1981" i="9"/>
  <c r="J377" i="9"/>
  <c r="J137" i="9"/>
  <c r="J1446" i="9"/>
  <c r="J2019" i="9"/>
  <c r="J1645" i="9"/>
  <c r="J724" i="9"/>
  <c r="J81" i="9"/>
  <c r="J76" i="9"/>
  <c r="J1651" i="9"/>
  <c r="J1685" i="9"/>
  <c r="J802" i="9"/>
  <c r="J1633" i="9"/>
  <c r="J887" i="9"/>
  <c r="J1629" i="9"/>
  <c r="J1628" i="9"/>
  <c r="J1682" i="9"/>
  <c r="J859" i="9"/>
  <c r="J817" i="9"/>
  <c r="J850" i="9"/>
  <c r="J61" i="9"/>
  <c r="J1971" i="9"/>
  <c r="J617" i="9"/>
  <c r="J1810" i="9"/>
  <c r="J375" i="9"/>
  <c r="J162" i="9"/>
  <c r="J387" i="9"/>
  <c r="J413" i="9"/>
  <c r="J27" i="9"/>
  <c r="J15" i="9"/>
  <c r="J2144" i="9"/>
  <c r="J543" i="9"/>
  <c r="J41" i="9"/>
  <c r="J542" i="9"/>
  <c r="J127" i="9"/>
  <c r="J150" i="9"/>
  <c r="J464" i="9"/>
  <c r="J149" i="9"/>
  <c r="J1947" i="9"/>
  <c r="J1187" i="9"/>
  <c r="J2317" i="9"/>
  <c r="J1695" i="9"/>
  <c r="J1415" i="9"/>
  <c r="J1584" i="9"/>
  <c r="J2294" i="9"/>
  <c r="J2300" i="9"/>
  <c r="J1182" i="9"/>
  <c r="J340" i="9"/>
  <c r="J2243" i="9"/>
  <c r="J1067" i="9"/>
  <c r="J642" i="9"/>
  <c r="J398" i="9"/>
  <c r="J664" i="9"/>
  <c r="J1473" i="9"/>
  <c r="J2229" i="9"/>
  <c r="J40" i="9"/>
  <c r="J1994" i="9"/>
  <c r="J1778" i="9"/>
  <c r="J1481" i="9"/>
  <c r="J1647" i="9"/>
  <c r="J1007" i="9"/>
  <c r="J1679" i="9"/>
  <c r="J853" i="9"/>
  <c r="J1752" i="9"/>
  <c r="J2291" i="9"/>
  <c r="J1770" i="9"/>
  <c r="J1563" i="9"/>
  <c r="J2244" i="9"/>
  <c r="J342" i="9"/>
  <c r="J1912" i="9"/>
  <c r="J395" i="9"/>
  <c r="J376" i="9"/>
  <c r="J1786" i="9"/>
  <c r="J82" i="9"/>
  <c r="J2138" i="9"/>
  <c r="J814" i="9"/>
  <c r="J862" i="9"/>
  <c r="J2061" i="9"/>
  <c r="J71" i="9"/>
  <c r="J1408" i="9"/>
  <c r="J901" i="9"/>
  <c r="J18" i="9"/>
  <c r="J242" i="9"/>
  <c r="J1065" i="9"/>
  <c r="J2119" i="9"/>
  <c r="J1993" i="9"/>
  <c r="J540" i="9"/>
  <c r="J33" i="9"/>
  <c r="J1678" i="9"/>
  <c r="J1684" i="9"/>
  <c r="J2065" i="9"/>
  <c r="J815" i="9"/>
  <c r="J774" i="9"/>
  <c r="I987" i="10"/>
  <c r="I988" i="10"/>
  <c r="I847" i="10"/>
  <c r="I846" i="10"/>
  <c r="I848" i="10"/>
  <c r="I845" i="10"/>
  <c r="I8" i="10"/>
  <c r="I7" i="10"/>
  <c r="I31" i="10"/>
  <c r="I35" i="10"/>
  <c r="I30" i="10"/>
  <c r="I27" i="10"/>
  <c r="I46" i="10"/>
  <c r="I45" i="10"/>
  <c r="I44" i="10"/>
  <c r="I43" i="10"/>
  <c r="I2" i="10"/>
  <c r="I6" i="10"/>
  <c r="I5" i="10"/>
  <c r="I4" i="10"/>
  <c r="I13" i="10"/>
  <c r="I12" i="10"/>
  <c r="I32" i="10"/>
  <c r="I26" i="10"/>
  <c r="I34" i="10"/>
  <c r="I33" i="10"/>
  <c r="I41" i="10"/>
  <c r="I29" i="10"/>
  <c r="I28" i="10"/>
  <c r="I51" i="10"/>
  <c r="I50" i="10"/>
  <c r="I42" i="10"/>
  <c r="I40" i="10"/>
  <c r="I52" i="10"/>
  <c r="I3" i="10"/>
  <c r="I9" i="10"/>
  <c r="I23" i="10"/>
  <c r="I22" i="10"/>
  <c r="I16" i="10"/>
  <c r="I14" i="10"/>
  <c r="I11" i="10"/>
  <c r="I39" i="10"/>
  <c r="I38" i="10"/>
  <c r="I790" i="10"/>
  <c r="I25" i="10"/>
  <c r="I24" i="10"/>
  <c r="I21" i="10"/>
  <c r="I20" i="10"/>
  <c r="I19" i="10"/>
  <c r="I18" i="10"/>
  <c r="I17" i="10"/>
  <c r="I15" i="10"/>
  <c r="I10" i="10"/>
  <c r="I37" i="10"/>
  <c r="I36" i="10"/>
  <c r="I49" i="10"/>
  <c r="I48" i="10"/>
  <c r="I47" i="10"/>
  <c r="I54" i="10"/>
  <c r="I53" i="10"/>
  <c r="I463" i="10"/>
  <c r="I384" i="10"/>
  <c r="I383" i="10"/>
  <c r="I382" i="10"/>
  <c r="I381" i="10"/>
  <c r="I380" i="10"/>
  <c r="I514" i="10"/>
  <c r="I377" i="10"/>
  <c r="I376" i="10"/>
  <c r="I378" i="10"/>
  <c r="I375" i="10"/>
  <c r="I374" i="10"/>
  <c r="I465" i="10"/>
  <c r="I464" i="10"/>
  <c r="I379" i="10"/>
  <c r="I940" i="10"/>
  <c r="I316" i="10"/>
  <c r="I317" i="10"/>
  <c r="I315" i="10"/>
  <c r="I288" i="10"/>
  <c r="I287" i="10"/>
  <c r="I975" i="10"/>
  <c r="I1066" i="10"/>
  <c r="I976" i="10"/>
  <c r="I985" i="10"/>
  <c r="I986" i="10"/>
  <c r="I984" i="10"/>
  <c r="I1067" i="10"/>
  <c r="I1068" i="10"/>
  <c r="I1030" i="10"/>
  <c r="I979" i="10"/>
  <c r="I977" i="10"/>
  <c r="I974" i="10"/>
  <c r="I973" i="10"/>
  <c r="I972" i="10"/>
  <c r="I971" i="10"/>
  <c r="I970" i="10"/>
  <c r="I1026" i="10"/>
  <c r="I1023" i="10"/>
  <c r="I1031" i="10"/>
  <c r="I983" i="10"/>
  <c r="I981" i="10"/>
  <c r="I1087" i="10"/>
  <c r="I978" i="10"/>
  <c r="I1075" i="10"/>
  <c r="I1076" i="10"/>
  <c r="I1113" i="10"/>
  <c r="I1020" i="10"/>
  <c r="I1025" i="10"/>
  <c r="I1024" i="10"/>
  <c r="I1022" i="10"/>
  <c r="I1021" i="10"/>
  <c r="I1086" i="10"/>
  <c r="I1083" i="10"/>
  <c r="I1074" i="10"/>
  <c r="I1073" i="10"/>
  <c r="I1082" i="10"/>
  <c r="I1079" i="10"/>
  <c r="I1080" i="10"/>
  <c r="I1078" i="10"/>
  <c r="I1071" i="10"/>
  <c r="I1070" i="10"/>
  <c r="I1125" i="10"/>
  <c r="I1119" i="10"/>
  <c r="I1118" i="10"/>
  <c r="I1117" i="10"/>
  <c r="I1115" i="10"/>
  <c r="I1114" i="10"/>
  <c r="I1112" i="10"/>
  <c r="I1027" i="10"/>
  <c r="I1033" i="10"/>
  <c r="I1081" i="10"/>
  <c r="I1077" i="10"/>
  <c r="I1072" i="10"/>
  <c r="I1110" i="10"/>
  <c r="I1111" i="10"/>
  <c r="I1047" i="10"/>
  <c r="I1046" i="10"/>
  <c r="I1045" i="10"/>
  <c r="I1036" i="10"/>
  <c r="I1029" i="10"/>
  <c r="I1028" i="10"/>
  <c r="I1085" i="10"/>
  <c r="I1035" i="10"/>
  <c r="I1053" i="10"/>
  <c r="I1048" i="10"/>
  <c r="I1043" i="10"/>
  <c r="I1040" i="10"/>
  <c r="I1041" i="10"/>
  <c r="I1034" i="10"/>
  <c r="I1032" i="10"/>
  <c r="I1084" i="10"/>
  <c r="I1120" i="10"/>
  <c r="I1049" i="10"/>
  <c r="I1007" i="10"/>
  <c r="I997" i="10"/>
  <c r="I996" i="10"/>
  <c r="I1109" i="10"/>
  <c r="I1116" i="10"/>
  <c r="I1051" i="10"/>
  <c r="I1050" i="10"/>
  <c r="I1039" i="10"/>
  <c r="I989" i="10"/>
  <c r="I1009" i="10"/>
  <c r="I1001" i="10"/>
  <c r="I994" i="10"/>
  <c r="I992" i="10"/>
  <c r="I1123" i="10"/>
  <c r="I1121" i="10"/>
  <c r="I1122" i="10"/>
  <c r="I1052" i="10"/>
  <c r="I1038" i="10"/>
  <c r="I1037" i="10"/>
  <c r="I1044" i="10"/>
  <c r="I1010" i="10"/>
  <c r="I1126" i="10"/>
  <c r="I1124" i="10"/>
  <c r="I1090" i="10"/>
  <c r="I1088" i="10"/>
  <c r="I1042" i="10"/>
  <c r="I1012" i="10"/>
  <c r="I999" i="10"/>
  <c r="I995" i="10"/>
  <c r="I993" i="10"/>
  <c r="I1018" i="10"/>
  <c r="I1006" i="10"/>
  <c r="I1005" i="10"/>
  <c r="I1004" i="10"/>
  <c r="I1003" i="10"/>
  <c r="I1002" i="10"/>
  <c r="I1000" i="10"/>
  <c r="I1094" i="10"/>
  <c r="I1091" i="10"/>
  <c r="I1089" i="10"/>
  <c r="I1108" i="10"/>
  <c r="I1101" i="10"/>
  <c r="I1100" i="10"/>
  <c r="I1098" i="10"/>
  <c r="I1054" i="10"/>
  <c r="I1057" i="10"/>
  <c r="I1013" i="10"/>
  <c r="I1017" i="10"/>
  <c r="I1016" i="10"/>
  <c r="I1015" i="10"/>
  <c r="I1014" i="10"/>
  <c r="I990" i="10"/>
  <c r="I991" i="10"/>
  <c r="I1097" i="10"/>
  <c r="I1096" i="10"/>
  <c r="I1095" i="10"/>
  <c r="I1093" i="10"/>
  <c r="I1092" i="10"/>
  <c r="I1107" i="10"/>
  <c r="I1099" i="10"/>
  <c r="I1064" i="10"/>
  <c r="I1063" i="10"/>
  <c r="I1062" i="10"/>
  <c r="I1055" i="10"/>
  <c r="I1056" i="10"/>
  <c r="I1065" i="10"/>
  <c r="I1011" i="10"/>
  <c r="I1008" i="10"/>
  <c r="I998" i="10"/>
  <c r="I1106" i="10"/>
  <c r="I1061" i="10"/>
  <c r="I1059" i="10"/>
  <c r="I1058" i="10"/>
  <c r="I1134" i="10"/>
  <c r="I1133" i="10"/>
  <c r="I1130" i="10"/>
  <c r="I1131" i="10"/>
  <c r="I1132" i="10"/>
  <c r="I1129" i="10"/>
  <c r="I1135" i="10"/>
  <c r="I1136" i="10"/>
  <c r="I1104" i="10"/>
  <c r="I1105" i="10"/>
  <c r="I1102" i="10"/>
  <c r="I1103" i="10"/>
  <c r="I1060" i="10"/>
  <c r="I969" i="10"/>
  <c r="I968" i="10"/>
  <c r="I967" i="10"/>
  <c r="I1128" i="10"/>
  <c r="I1137" i="10"/>
  <c r="I1138" i="10"/>
  <c r="I980" i="10"/>
  <c r="I982" i="10"/>
  <c r="I1127" i="10"/>
  <c r="I1019" i="10"/>
  <c r="I520" i="10"/>
  <c r="I519" i="10"/>
  <c r="I356" i="10"/>
  <c r="I355" i="10"/>
  <c r="I361" i="10"/>
  <c r="I461" i="10"/>
  <c r="I831" i="10"/>
  <c r="I829" i="10"/>
  <c r="I462" i="10"/>
  <c r="I557" i="10"/>
  <c r="I556" i="10"/>
  <c r="I540" i="10"/>
  <c r="I830" i="10"/>
  <c r="I488" i="10"/>
  <c r="I545" i="10"/>
  <c r="I543" i="10"/>
  <c r="I542" i="10"/>
  <c r="I535" i="10"/>
  <c r="I533" i="10"/>
  <c r="I531" i="10"/>
  <c r="I528" i="10"/>
  <c r="I523" i="10"/>
  <c r="I521" i="10"/>
  <c r="I522" i="10"/>
  <c r="I554" i="10"/>
  <c r="I943" i="10"/>
  <c r="I314" i="10"/>
  <c r="I760" i="10"/>
  <c r="I759" i="10"/>
  <c r="I750" i="10"/>
  <c r="I749" i="10"/>
  <c r="I746" i="10"/>
  <c r="I745" i="10"/>
  <c r="I744" i="10"/>
  <c r="I477" i="10"/>
  <c r="I563" i="10"/>
  <c r="I561" i="10"/>
  <c r="I537" i="10"/>
  <c r="I571" i="10"/>
  <c r="I570" i="10"/>
  <c r="I548" i="10"/>
  <c r="I534" i="10"/>
  <c r="I526" i="10"/>
  <c r="I525" i="10"/>
  <c r="I555" i="10"/>
  <c r="I536" i="10"/>
  <c r="I493" i="10"/>
  <c r="I771" i="10"/>
  <c r="I754" i="10"/>
  <c r="I789" i="10"/>
  <c r="I365" i="10"/>
  <c r="I363" i="10"/>
  <c r="I490" i="10"/>
  <c r="I483" i="10"/>
  <c r="I481" i="10"/>
  <c r="I476" i="10"/>
  <c r="I475" i="10"/>
  <c r="I474" i="10"/>
  <c r="I473" i="10"/>
  <c r="I469" i="10"/>
  <c r="I468" i="10"/>
  <c r="I487" i="10"/>
  <c r="I486" i="10"/>
  <c r="I485" i="10"/>
  <c r="I484" i="10"/>
  <c r="I482" i="10"/>
  <c r="I480" i="10"/>
  <c r="I479" i="10"/>
  <c r="I478" i="10"/>
  <c r="I471" i="10"/>
  <c r="I470" i="10"/>
  <c r="I491" i="10"/>
  <c r="I489" i="10"/>
  <c r="I532" i="10"/>
  <c r="I527" i="10"/>
  <c r="I572" i="10"/>
  <c r="I560" i="10"/>
  <c r="I559" i="10"/>
  <c r="I544" i="10"/>
  <c r="I530" i="10"/>
  <c r="I529" i="10"/>
  <c r="I575" i="10"/>
  <c r="I574" i="10"/>
  <c r="I567" i="10"/>
  <c r="I569" i="10"/>
  <c r="I568" i="10"/>
  <c r="I564" i="10"/>
  <c r="I562" i="10"/>
  <c r="I552" i="10"/>
  <c r="I551" i="10"/>
  <c r="I547" i="10"/>
  <c r="I546" i="10"/>
  <c r="I539" i="10"/>
  <c r="I538" i="10"/>
  <c r="I558" i="10"/>
  <c r="I766" i="10"/>
  <c r="I773" i="10"/>
  <c r="I765" i="10"/>
  <c r="I763" i="10"/>
  <c r="I761" i="10"/>
  <c r="I743" i="10"/>
  <c r="I742" i="10"/>
  <c r="I741" i="10"/>
  <c r="I740" i="10"/>
  <c r="I472" i="10"/>
  <c r="I466" i="10"/>
  <c r="I576" i="10"/>
  <c r="I553" i="10"/>
  <c r="I578" i="10"/>
  <c r="I762" i="10"/>
  <c r="I758" i="10"/>
  <c r="I747" i="10"/>
  <c r="I811" i="10"/>
  <c r="I385" i="10"/>
  <c r="I412" i="10"/>
  <c r="I410" i="10"/>
  <c r="I406" i="10"/>
  <c r="I403" i="10"/>
  <c r="I389" i="10"/>
  <c r="I387" i="10"/>
  <c r="I510" i="10"/>
  <c r="I499" i="10"/>
  <c r="I498" i="10"/>
  <c r="I494" i="10"/>
  <c r="I566" i="10"/>
  <c r="I549" i="10"/>
  <c r="I550" i="10"/>
  <c r="I573" i="10"/>
  <c r="I577" i="10"/>
  <c r="I774" i="10"/>
  <c r="I770" i="10"/>
  <c r="I769" i="10"/>
  <c r="I768" i="10"/>
  <c r="I767" i="10"/>
  <c r="I366" i="10"/>
  <c r="I402" i="10"/>
  <c r="I401" i="10"/>
  <c r="I390" i="10"/>
  <c r="I388" i="10"/>
  <c r="I386" i="10"/>
  <c r="I500" i="10"/>
  <c r="I495" i="10"/>
  <c r="I838" i="10"/>
  <c r="I839" i="10"/>
  <c r="I661" i="10"/>
  <c r="I707" i="10"/>
  <c r="I694" i="10"/>
  <c r="I691" i="10"/>
  <c r="I689" i="10"/>
  <c r="I686" i="10"/>
  <c r="I685" i="10"/>
  <c r="I662" i="10"/>
  <c r="I655" i="10"/>
  <c r="I860" i="10"/>
  <c r="I639" i="10"/>
  <c r="I622" i="10"/>
  <c r="I607" i="10"/>
  <c r="I869" i="10"/>
  <c r="I755" i="10"/>
  <c r="I748" i="10"/>
  <c r="I76" i="10"/>
  <c r="I396" i="10"/>
  <c r="I394" i="10"/>
  <c r="I392" i="10"/>
  <c r="I421" i="10"/>
  <c r="I413" i="10"/>
  <c r="I411" i="10"/>
  <c r="I399" i="10"/>
  <c r="I397" i="10"/>
  <c r="I398" i="10"/>
  <c r="I393" i="10"/>
  <c r="I391" i="10"/>
  <c r="I507" i="10"/>
  <c r="I636" i="10"/>
  <c r="I857" i="10"/>
  <c r="I633" i="10"/>
  <c r="I632" i="10"/>
  <c r="I612" i="10"/>
  <c r="I673" i="10"/>
  <c r="I672" i="10"/>
  <c r="I660" i="10"/>
  <c r="I658" i="10"/>
  <c r="I656" i="10"/>
  <c r="I643" i="10"/>
  <c r="I642" i="10"/>
  <c r="I640" i="10"/>
  <c r="I624" i="10"/>
  <c r="I623" i="10"/>
  <c r="I619" i="10"/>
  <c r="I616" i="10"/>
  <c r="I610" i="10"/>
  <c r="I611" i="10"/>
  <c r="I609" i="10"/>
  <c r="I608" i="10"/>
  <c r="I606" i="10"/>
  <c r="I605" i="10"/>
  <c r="I601" i="10"/>
  <c r="I602" i="10"/>
  <c r="I599" i="10"/>
  <c r="I596" i="10"/>
  <c r="I595" i="10"/>
  <c r="I594" i="10"/>
  <c r="I593" i="10"/>
  <c r="I589" i="10"/>
  <c r="I588" i="10"/>
  <c r="I756" i="10"/>
  <c r="I757" i="10"/>
  <c r="I752" i="10"/>
  <c r="I73" i="10"/>
  <c r="I71" i="10"/>
  <c r="I69" i="10"/>
  <c r="I813" i="10"/>
  <c r="I409" i="10"/>
  <c r="I395" i="10"/>
  <c r="I449" i="10"/>
  <c r="I450" i="10"/>
  <c r="I826" i="10"/>
  <c r="I440" i="10"/>
  <c r="I428" i="10"/>
  <c r="I426" i="10"/>
  <c r="I812" i="10"/>
  <c r="I404" i="10"/>
  <c r="I405" i="10"/>
  <c r="I400" i="10"/>
  <c r="I509" i="10"/>
  <c r="I508" i="10"/>
  <c r="I627" i="10"/>
  <c r="I709" i="10"/>
  <c r="I644" i="10"/>
  <c r="I859" i="10"/>
  <c r="I856" i="10"/>
  <c r="I597" i="10"/>
  <c r="I592" i="10"/>
  <c r="I851" i="10"/>
  <c r="I590" i="10"/>
  <c r="I591" i="10"/>
  <c r="I900" i="10"/>
  <c r="I708" i="10"/>
  <c r="I705" i="10"/>
  <c r="I704" i="10"/>
  <c r="I700" i="10"/>
  <c r="I699" i="10"/>
  <c r="I695" i="10"/>
  <c r="I692" i="10"/>
  <c r="I850" i="10"/>
  <c r="I861" i="10"/>
  <c r="I649" i="10"/>
  <c r="I638" i="10"/>
  <c r="I637" i="10"/>
  <c r="I629" i="10"/>
  <c r="I626" i="10"/>
  <c r="I625" i="10"/>
  <c r="I621" i="10"/>
  <c r="I620" i="10"/>
  <c r="I618" i="10"/>
  <c r="I617" i="10"/>
  <c r="I604" i="10"/>
  <c r="I603" i="10"/>
  <c r="I600" i="10"/>
  <c r="I598" i="10"/>
  <c r="I334" i="10"/>
  <c r="I331" i="10"/>
  <c r="I960" i="10"/>
  <c r="I959" i="10"/>
  <c r="I327" i="10"/>
  <c r="I786" i="10"/>
  <c r="I368" i="10"/>
  <c r="I364" i="10"/>
  <c r="I787" i="10"/>
  <c r="I359" i="10"/>
  <c r="I358" i="10"/>
  <c r="I95" i="10"/>
  <c r="I86" i="10"/>
  <c r="I82" i="10"/>
  <c r="I81" i="10"/>
  <c r="I78" i="10"/>
  <c r="I60" i="10"/>
  <c r="I58" i="10"/>
  <c r="I407" i="10"/>
  <c r="I444" i="10"/>
  <c r="I442" i="10"/>
  <c r="I824" i="10"/>
  <c r="I437" i="10"/>
  <c r="I438" i="10"/>
  <c r="I818" i="10"/>
  <c r="I819" i="10"/>
  <c r="I822" i="10"/>
  <c r="I820" i="10"/>
  <c r="I821" i="10"/>
  <c r="I430" i="10"/>
  <c r="I431" i="10"/>
  <c r="I435" i="10"/>
  <c r="I432" i="10"/>
  <c r="I433" i="10"/>
  <c r="I434" i="10"/>
  <c r="I427" i="10"/>
  <c r="I814" i="10"/>
  <c r="I815" i="10"/>
  <c r="I422" i="10"/>
  <c r="I423" i="10"/>
  <c r="I424" i="10"/>
  <c r="I418" i="10"/>
  <c r="I511" i="10"/>
  <c r="I504" i="10"/>
  <c r="I503" i="10"/>
  <c r="I496" i="10"/>
  <c r="I497" i="10"/>
  <c r="I630" i="10"/>
  <c r="I862" i="10"/>
  <c r="I641" i="10"/>
  <c r="I854" i="10"/>
  <c r="I614" i="10"/>
  <c r="I853" i="10"/>
  <c r="I613" i="10"/>
  <c r="I852" i="10"/>
  <c r="I718" i="10"/>
  <c r="I719" i="10"/>
  <c r="I713" i="10"/>
  <c r="I711" i="10"/>
  <c r="I702" i="10"/>
  <c r="I701" i="10"/>
  <c r="I698" i="10"/>
  <c r="I697" i="10"/>
  <c r="I874" i="10"/>
  <c r="I873" i="10"/>
  <c r="I680" i="10"/>
  <c r="I678" i="10"/>
  <c r="I668" i="10"/>
  <c r="I666" i="10"/>
  <c r="I654" i="10"/>
  <c r="I653" i="10"/>
  <c r="I650" i="10"/>
  <c r="I628" i="10"/>
  <c r="I849" i="10"/>
  <c r="I346" i="10"/>
  <c r="I328" i="10"/>
  <c r="I360" i="10"/>
  <c r="I367" i="10"/>
  <c r="I362" i="10"/>
  <c r="I84" i="10"/>
  <c r="I83" i="10"/>
  <c r="I64" i="10"/>
  <c r="I63" i="10"/>
  <c r="I97" i="10"/>
  <c r="I87" i="10"/>
  <c r="I79" i="10"/>
  <c r="I74" i="10"/>
  <c r="I75" i="10"/>
  <c r="I72" i="10"/>
  <c r="I68" i="10"/>
  <c r="I67" i="10"/>
  <c r="I66" i="10"/>
  <c r="I439" i="10"/>
  <c r="I420" i="10"/>
  <c r="I416" i="10"/>
  <c r="I417" i="10"/>
  <c r="I414" i="10"/>
  <c r="I415" i="10"/>
  <c r="I506" i="10"/>
  <c r="I505" i="10"/>
  <c r="I502" i="10"/>
  <c r="I501" i="10"/>
  <c r="I681" i="10"/>
  <c r="I676" i="10"/>
  <c r="I663" i="10"/>
  <c r="I635" i="10"/>
  <c r="I634" i="10"/>
  <c r="I615" i="10"/>
  <c r="I717" i="10"/>
  <c r="I716" i="10"/>
  <c r="I714" i="10"/>
  <c r="I712" i="10"/>
  <c r="I703" i="10"/>
  <c r="I696" i="10"/>
  <c r="I909" i="10"/>
  <c r="I908" i="10"/>
  <c r="I687" i="10"/>
  <c r="I684" i="10"/>
  <c r="I682" i="10"/>
  <c r="I907" i="10"/>
  <c r="I906" i="10"/>
  <c r="I675" i="10"/>
  <c r="I674" i="10"/>
  <c r="I671" i="10"/>
  <c r="I670" i="10"/>
  <c r="I665" i="10"/>
  <c r="I664" i="10"/>
  <c r="I867" i="10"/>
  <c r="I866" i="10"/>
  <c r="I864" i="10"/>
  <c r="I659" i="10"/>
  <c r="I657" i="10"/>
  <c r="I652" i="10"/>
  <c r="I651" i="10"/>
  <c r="I646" i="10"/>
  <c r="I647" i="10"/>
  <c r="I645" i="10"/>
  <c r="I858" i="10"/>
  <c r="I631" i="10"/>
  <c r="I956" i="10"/>
  <c r="I954" i="10"/>
  <c r="I351" i="10"/>
  <c r="I961" i="10"/>
  <c r="I957" i="10"/>
  <c r="I333" i="10"/>
  <c r="I341" i="10"/>
  <c r="I357" i="10"/>
  <c r="I354" i="10"/>
  <c r="I96" i="10"/>
  <c r="I80" i="10"/>
  <c r="I65" i="10"/>
  <c r="I77" i="10"/>
  <c r="I441" i="10"/>
  <c r="I825" i="10"/>
  <c r="I455" i="10"/>
  <c r="I454" i="10"/>
  <c r="I828" i="10"/>
  <c r="I452" i="10"/>
  <c r="I447" i="10"/>
  <c r="I443" i="10"/>
  <c r="I823" i="10"/>
  <c r="I436" i="10"/>
  <c r="I817" i="10"/>
  <c r="I429" i="10"/>
  <c r="I816" i="10"/>
  <c r="I425" i="10"/>
  <c r="I419" i="10"/>
  <c r="I453" i="10"/>
  <c r="I513" i="10"/>
  <c r="I512" i="10"/>
  <c r="I195" i="10"/>
  <c r="I168" i="10"/>
  <c r="I197" i="10"/>
  <c r="I198" i="10"/>
  <c r="I170" i="10"/>
  <c r="I166" i="10"/>
  <c r="I162" i="10"/>
  <c r="I727" i="10"/>
  <c r="I677" i="10"/>
  <c r="I885" i="10"/>
  <c r="I878" i="10"/>
  <c r="I876" i="10"/>
  <c r="I688" i="10"/>
  <c r="I875" i="10"/>
  <c r="I871" i="10"/>
  <c r="I679" i="10"/>
  <c r="I868" i="10"/>
  <c r="I865" i="10"/>
  <c r="I863" i="10"/>
  <c r="I919" i="10"/>
  <c r="I332" i="10"/>
  <c r="I953" i="10"/>
  <c r="I325" i="10"/>
  <c r="I339" i="10"/>
  <c r="I337" i="10"/>
  <c r="I336" i="10"/>
  <c r="I92" i="10"/>
  <c r="I91" i="10"/>
  <c r="I85" i="10"/>
  <c r="I70" i="10"/>
  <c r="I118" i="10"/>
  <c r="I459" i="10"/>
  <c r="I456" i="10"/>
  <c r="I827" i="10"/>
  <c r="I451" i="10"/>
  <c r="I445" i="10"/>
  <c r="I221" i="10"/>
  <c r="I219" i="10"/>
  <c r="I205" i="10"/>
  <c r="I204" i="10"/>
  <c r="I216" i="10"/>
  <c r="I842" i="10"/>
  <c r="I215" i="10"/>
  <c r="I841" i="10"/>
  <c r="I214" i="10"/>
  <c r="I211" i="10"/>
  <c r="I210" i="10"/>
  <c r="I208" i="10"/>
  <c r="I207" i="10"/>
  <c r="I201" i="10"/>
  <c r="I199" i="10"/>
  <c r="I194" i="10"/>
  <c r="I193" i="10"/>
  <c r="I191" i="10"/>
  <c r="I179" i="10"/>
  <c r="I178" i="10"/>
  <c r="I174" i="10"/>
  <c r="I175" i="10"/>
  <c r="I172" i="10"/>
  <c r="I171" i="10"/>
  <c r="I169" i="10"/>
  <c r="I165" i="10"/>
  <c r="I160" i="10"/>
  <c r="I159" i="10"/>
  <c r="I157" i="10"/>
  <c r="I158" i="10"/>
  <c r="I153" i="10"/>
  <c r="I152" i="10"/>
  <c r="I151" i="10"/>
  <c r="I150" i="10"/>
  <c r="I149" i="10"/>
  <c r="I148" i="10"/>
  <c r="I147" i="10"/>
  <c r="I146" i="10"/>
  <c r="I145" i="10"/>
  <c r="I144" i="10"/>
  <c r="I212" i="10"/>
  <c r="I903" i="10"/>
  <c r="I896" i="10"/>
  <c r="I706" i="10"/>
  <c r="I905" i="10"/>
  <c r="I904" i="10"/>
  <c r="I915" i="10"/>
  <c r="I916" i="10"/>
  <c r="I720" i="10"/>
  <c r="I912" i="10"/>
  <c r="I913" i="10"/>
  <c r="I891" i="10"/>
  <c r="I890" i="10"/>
  <c r="I888" i="10"/>
  <c r="I889" i="10"/>
  <c r="I882" i="10"/>
  <c r="I881" i="10"/>
  <c r="I872" i="10"/>
  <c r="I669" i="10"/>
  <c r="I667" i="10"/>
  <c r="I964" i="10"/>
  <c r="I344" i="10"/>
  <c r="I353" i="10"/>
  <c r="I952" i="10"/>
  <c r="I950" i="10"/>
  <c r="I350" i="10"/>
  <c r="I373" i="10"/>
  <c r="I137" i="10"/>
  <c r="I136" i="10"/>
  <c r="I127" i="10"/>
  <c r="I125" i="10"/>
  <c r="I124" i="10"/>
  <c r="I121" i="10"/>
  <c r="I120" i="10"/>
  <c r="I119" i="10"/>
  <c r="I448" i="10"/>
  <c r="I446" i="10"/>
  <c r="I206" i="10"/>
  <c r="I203" i="10"/>
  <c r="I184" i="10"/>
  <c r="I840" i="10"/>
  <c r="I218" i="10"/>
  <c r="I217" i="10"/>
  <c r="I209" i="10"/>
  <c r="I202" i="10"/>
  <c r="I200" i="10"/>
  <c r="I196" i="10"/>
  <c r="I192" i="10"/>
  <c r="I180" i="10"/>
  <c r="I176" i="10"/>
  <c r="I164" i="10"/>
  <c r="I161" i="10"/>
  <c r="I156" i="10"/>
  <c r="I901" i="10"/>
  <c r="I892" i="10"/>
  <c r="I715" i="10"/>
  <c r="I911" i="10"/>
  <c r="I897" i="10"/>
  <c r="I726" i="10"/>
  <c r="I724" i="10"/>
  <c r="I725" i="10"/>
  <c r="I894" i="10"/>
  <c r="I893" i="10"/>
  <c r="I886" i="10"/>
  <c r="I884" i="10"/>
  <c r="I880" i="10"/>
  <c r="I879" i="10"/>
  <c r="I877" i="10"/>
  <c r="I693" i="10"/>
  <c r="I690" i="10"/>
  <c r="I917" i="10"/>
  <c r="I324" i="10"/>
  <c r="I323" i="10"/>
  <c r="I318" i="10"/>
  <c r="I949" i="10"/>
  <c r="I966" i="10"/>
  <c r="I372" i="10"/>
  <c r="I371" i="10"/>
  <c r="I370" i="10"/>
  <c r="I134" i="10"/>
  <c r="I133" i="10"/>
  <c r="I132" i="10"/>
  <c r="I131" i="10"/>
  <c r="I130" i="10"/>
  <c r="I128" i="10"/>
  <c r="I123" i="10"/>
  <c r="I122" i="10"/>
  <c r="I458" i="10"/>
  <c r="I457" i="10"/>
  <c r="I226" i="10"/>
  <c r="I190" i="10"/>
  <c r="I189" i="10"/>
  <c r="I181" i="10"/>
  <c r="I177" i="10"/>
  <c r="I227" i="10"/>
  <c r="I225" i="10"/>
  <c r="I224" i="10"/>
  <c r="I220" i="10"/>
  <c r="I188" i="10"/>
  <c r="I187" i="10"/>
  <c r="I186" i="10"/>
  <c r="I185" i="10"/>
  <c r="I183" i="10"/>
  <c r="I182" i="10"/>
  <c r="I173" i="10"/>
  <c r="I167" i="10"/>
  <c r="I163" i="10"/>
  <c r="I155" i="10"/>
  <c r="I154" i="10"/>
  <c r="I143" i="10"/>
  <c r="I222" i="10"/>
  <c r="I223" i="10"/>
  <c r="I733" i="10"/>
  <c r="I732" i="10"/>
  <c r="I731" i="10"/>
  <c r="I729" i="10"/>
  <c r="I728" i="10"/>
  <c r="I723" i="10"/>
  <c r="I721" i="10"/>
  <c r="I887" i="10"/>
  <c r="I883" i="10"/>
  <c r="I710" i="10"/>
  <c r="I730" i="10"/>
  <c r="I902" i="10"/>
  <c r="I899" i="10"/>
  <c r="I898" i="10"/>
  <c r="I895" i="10"/>
  <c r="I722" i="10"/>
  <c r="I914" i="10"/>
  <c r="I275" i="10"/>
  <c r="I274" i="10"/>
  <c r="I947" i="10"/>
  <c r="I946" i="10"/>
  <c r="I945" i="10"/>
  <c r="I322" i="10"/>
  <c r="I321" i="10"/>
  <c r="I319" i="10"/>
  <c r="I320" i="10"/>
  <c r="I565" i="10"/>
  <c r="I541" i="10"/>
  <c r="I788" i="10"/>
  <c r="I524" i="10"/>
  <c r="I778" i="10"/>
  <c r="I492" i="10"/>
  <c r="I772" i="10"/>
  <c r="I467" i="10"/>
  <c r="I764" i="10"/>
  <c r="I408" i="10"/>
  <c r="I870" i="10"/>
  <c r="I369" i="10"/>
  <c r="I648" i="10"/>
  <c r="I683" i="10"/>
  <c r="I338" i="10"/>
  <c r="I329" i="10"/>
  <c r="I330" i="10"/>
  <c r="I955" i="10"/>
  <c r="I61" i="10"/>
  <c r="I855" i="10"/>
  <c r="I962" i="10"/>
  <c r="I347" i="10"/>
  <c r="I345" i="10"/>
  <c r="I343" i="10"/>
  <c r="I342" i="10"/>
  <c r="I326" i="10"/>
  <c r="I910" i="10"/>
  <c r="I965" i="10"/>
  <c r="I352" i="10"/>
  <c r="I348" i="10"/>
  <c r="I349" i="10"/>
  <c r="I963" i="10"/>
  <c r="I958" i="10"/>
  <c r="I335" i="10"/>
  <c r="I88" i="10"/>
  <c r="I340" i="10"/>
  <c r="I213" i="10"/>
  <c r="I951" i="10"/>
  <c r="I918" i="10"/>
  <c r="I948" i="10"/>
  <c r="I103" i="10"/>
  <c r="I277" i="10"/>
  <c r="I228" i="10"/>
  <c r="I278" i="10"/>
  <c r="I112" i="10"/>
  <c r="I267" i="10"/>
  <c r="I276" i="10"/>
  <c r="I55" i="10"/>
  <c r="I271" i="10"/>
  <c r="I268" i="10"/>
  <c r="I89" i="10"/>
  <c r="I241" i="10"/>
  <c r="I239" i="10"/>
  <c r="I242" i="10"/>
  <c r="I240" i="10"/>
  <c r="I253" i="10"/>
  <c r="I254" i="10"/>
  <c r="I266" i="10"/>
  <c r="I247" i="10"/>
  <c r="I248" i="10"/>
  <c r="I235" i="10"/>
  <c r="I230" i="10"/>
  <c r="I94" i="10"/>
  <c r="I93" i="10"/>
  <c r="I232" i="10"/>
  <c r="I231" i="10"/>
  <c r="I304" i="10"/>
  <c r="I296" i="10"/>
  <c r="I297" i="10"/>
  <c r="I293" i="10"/>
  <c r="I59" i="10"/>
  <c r="I57" i="10"/>
  <c r="I56" i="10"/>
  <c r="I251" i="10"/>
  <c r="I250" i="10"/>
  <c r="I234" i="10"/>
  <c r="I299" i="10"/>
  <c r="I298" i="10"/>
  <c r="I294" i="10"/>
  <c r="I941" i="10"/>
  <c r="I302" i="10"/>
  <c r="I303" i="10"/>
  <c r="I62" i="10"/>
  <c r="I1144" i="10"/>
  <c r="I249" i="10"/>
  <c r="I246" i="10"/>
  <c r="I245" i="10"/>
  <c r="I243" i="10"/>
  <c r="I244" i="10"/>
  <c r="I236" i="10"/>
  <c r="I237" i="10"/>
  <c r="I238" i="10"/>
  <c r="I257" i="10"/>
  <c r="I255" i="10"/>
  <c r="I307" i="10"/>
  <c r="I295" i="10"/>
  <c r="I289" i="10"/>
  <c r="I308" i="10"/>
  <c r="I309" i="10"/>
  <c r="I117" i="10"/>
  <c r="I114" i="10"/>
  <c r="I115" i="10"/>
  <c r="I113" i="10"/>
  <c r="I129" i="10"/>
  <c r="I252" i="10"/>
  <c r="I229" i="10"/>
  <c r="I301" i="10"/>
  <c r="I942" i="10"/>
  <c r="I300" i="10"/>
  <c r="I291" i="10"/>
  <c r="I107" i="10"/>
  <c r="I259" i="10"/>
  <c r="I260" i="10"/>
  <c r="I292" i="10"/>
  <c r="I290" i="10"/>
  <c r="I305" i="10"/>
  <c r="I306" i="10"/>
  <c r="I135" i="10"/>
  <c r="I261" i="10"/>
  <c r="I111" i="10"/>
  <c r="I108" i="10"/>
  <c r="I272" i="10"/>
  <c r="I270" i="10"/>
  <c r="I269" i="10"/>
  <c r="I90" i="10"/>
  <c r="I273" i="10"/>
  <c r="I258" i="10"/>
  <c r="I256" i="10"/>
  <c r="I262" i="10"/>
  <c r="I141" i="10"/>
  <c r="I142" i="10"/>
  <c r="I834" i="10"/>
  <c r="I832" i="10"/>
  <c r="I833" i="10"/>
  <c r="I835" i="10"/>
  <c r="I836" i="10"/>
  <c r="I837" i="10"/>
  <c r="I99" i="10"/>
  <c r="I98" i="10"/>
  <c r="I279" i="10"/>
  <c r="I110" i="10"/>
  <c r="I109" i="10"/>
  <c r="I106" i="10"/>
  <c r="I105" i="10"/>
  <c r="I104" i="10"/>
  <c r="I102" i="10"/>
  <c r="I100" i="10"/>
  <c r="I460" i="10"/>
  <c r="I286" i="10"/>
  <c r="I285" i="10"/>
  <c r="I284" i="10"/>
  <c r="I140" i="10"/>
  <c r="I101" i="10"/>
  <c r="I233" i="10"/>
  <c r="I282" i="10"/>
  <c r="I281" i="10"/>
  <c r="I280" i="10"/>
  <c r="I139" i="10"/>
  <c r="I138" i="10"/>
  <c r="I283" i="10"/>
  <c r="I587" i="10"/>
  <c r="I586" i="10"/>
  <c r="I585" i="10"/>
  <c r="I584" i="10"/>
  <c r="I583" i="10"/>
  <c r="I581" i="10"/>
  <c r="I844" i="10"/>
  <c r="I843" i="10"/>
  <c r="I582" i="10"/>
  <c r="I580" i="10"/>
  <c r="I579" i="10"/>
  <c r="I776" i="10"/>
  <c r="I791" i="10"/>
  <c r="I803" i="10"/>
  <c r="I801" i="10"/>
  <c r="I800" i="10"/>
  <c r="I1069" i="10"/>
  <c r="I797" i="10"/>
  <c r="I796" i="10"/>
  <c r="I795" i="10"/>
  <c r="I792" i="10"/>
  <c r="I799" i="10"/>
  <c r="I809" i="10"/>
  <c r="I798" i="10"/>
  <c r="I793" i="10"/>
  <c r="I794" i="10"/>
  <c r="I116" i="10"/>
  <c r="I920" i="10"/>
  <c r="I810" i="10"/>
  <c r="I802" i="10"/>
  <c r="I934" i="10"/>
  <c r="I933" i="10"/>
  <c r="I932" i="10"/>
  <c r="I931" i="10"/>
  <c r="I921" i="10"/>
  <c r="I926" i="10"/>
  <c r="I925" i="10"/>
  <c r="I937" i="10"/>
  <c r="I936" i="10"/>
  <c r="I935" i="10"/>
  <c r="I923" i="10"/>
  <c r="I922" i="10"/>
  <c r="I808" i="10"/>
  <c r="I807" i="10"/>
  <c r="I806" i="10"/>
  <c r="I805" i="10"/>
  <c r="I804" i="10"/>
  <c r="I126" i="10"/>
  <c r="I939" i="10"/>
  <c r="I924" i="10"/>
  <c r="I938" i="10"/>
  <c r="I930" i="10"/>
  <c r="I929" i="10"/>
  <c r="I928" i="10"/>
  <c r="I927" i="10"/>
  <c r="I775" i="10"/>
  <c r="I777" i="10"/>
  <c r="I311" i="10"/>
  <c r="I310" i="10"/>
  <c r="I313" i="10"/>
  <c r="I312" i="10"/>
  <c r="I263" i="10"/>
  <c r="I265" i="10"/>
  <c r="I264" i="10"/>
  <c r="I518" i="10"/>
  <c r="I516" i="10"/>
  <c r="I517" i="10"/>
  <c r="I515" i="10"/>
  <c r="I736" i="10"/>
  <c r="I738" i="10"/>
  <c r="I737" i="10"/>
  <c r="I735" i="10"/>
  <c r="I734" i="10"/>
  <c r="I1139" i="10"/>
  <c r="I1142" i="10"/>
  <c r="I1140" i="10"/>
  <c r="I1141" i="10"/>
  <c r="I1143" i="10"/>
  <c r="I780" i="10"/>
  <c r="I781" i="10"/>
  <c r="I784" i="10"/>
  <c r="I785" i="10"/>
  <c r="I782" i="10"/>
  <c r="I783" i="10"/>
  <c r="I779" i="10"/>
  <c r="I753" i="10"/>
  <c r="I751" i="10"/>
  <c r="I739" i="10"/>
  <c r="I944" i="10"/>
  <c r="I1146" i="10"/>
  <c r="I1145" i="10"/>
  <c r="I1066" i="9"/>
  <c r="H987" i="10"/>
  <c r="H988" i="10"/>
  <c r="H847" i="10"/>
  <c r="H846" i="10"/>
  <c r="H848" i="10"/>
  <c r="H845" i="10"/>
  <c r="H8" i="10"/>
  <c r="H7" i="10"/>
  <c r="H31" i="10"/>
  <c r="H35" i="10"/>
  <c r="H30" i="10"/>
  <c r="H27" i="10"/>
  <c r="H46" i="10"/>
  <c r="H45" i="10"/>
  <c r="H44" i="10"/>
  <c r="H43" i="10"/>
  <c r="H2" i="10"/>
  <c r="H6" i="10"/>
  <c r="H5" i="10"/>
  <c r="H4" i="10"/>
  <c r="H13" i="10"/>
  <c r="H12" i="10"/>
  <c r="H32" i="10"/>
  <c r="H26" i="10"/>
  <c r="H34" i="10"/>
  <c r="H33" i="10"/>
  <c r="H41" i="10"/>
  <c r="H29" i="10"/>
  <c r="H28" i="10"/>
  <c r="H51" i="10"/>
  <c r="H50" i="10"/>
  <c r="H42" i="10"/>
  <c r="H40" i="10"/>
  <c r="H52" i="10"/>
  <c r="H3" i="10"/>
  <c r="H9" i="10"/>
  <c r="H23" i="10"/>
  <c r="H22" i="10"/>
  <c r="H16" i="10"/>
  <c r="H14" i="10"/>
  <c r="H11" i="10"/>
  <c r="H39" i="10"/>
  <c r="H38" i="10"/>
  <c r="H790" i="10"/>
  <c r="H25" i="10"/>
  <c r="H24" i="10"/>
  <c r="H21" i="10"/>
  <c r="H20" i="10"/>
  <c r="H19" i="10"/>
  <c r="H18" i="10"/>
  <c r="H17" i="10"/>
  <c r="H15" i="10"/>
  <c r="H10" i="10"/>
  <c r="H37" i="10"/>
  <c r="H36" i="10"/>
  <c r="H49" i="10"/>
  <c r="H48" i="10"/>
  <c r="H47" i="10"/>
  <c r="H54" i="10"/>
  <c r="H53" i="10"/>
  <c r="H463" i="10"/>
  <c r="H384" i="10"/>
  <c r="H383" i="10"/>
  <c r="H382" i="10"/>
  <c r="H381" i="10"/>
  <c r="H380" i="10"/>
  <c r="H514" i="10"/>
  <c r="H377" i="10"/>
  <c r="H376" i="10"/>
  <c r="H378" i="10"/>
  <c r="H375" i="10"/>
  <c r="H374" i="10"/>
  <c r="H465" i="10"/>
  <c r="H464" i="10"/>
  <c r="H379" i="10"/>
  <c r="H940" i="10"/>
  <c r="H316" i="10"/>
  <c r="H317" i="10"/>
  <c r="H315" i="10"/>
  <c r="H288" i="10"/>
  <c r="H287" i="10"/>
  <c r="H975" i="10"/>
  <c r="H1066" i="10"/>
  <c r="H976" i="10"/>
  <c r="H985" i="10"/>
  <c r="H986" i="10"/>
  <c r="H984" i="10"/>
  <c r="H1067" i="10"/>
  <c r="H1068" i="10"/>
  <c r="H1030" i="10"/>
  <c r="H979" i="10"/>
  <c r="H977" i="10"/>
  <c r="H974" i="10"/>
  <c r="H973" i="10"/>
  <c r="H972" i="10"/>
  <c r="H971" i="10"/>
  <c r="H970" i="10"/>
  <c r="H1026" i="10"/>
  <c r="H1023" i="10"/>
  <c r="H1031" i="10"/>
  <c r="H983" i="10"/>
  <c r="H981" i="10"/>
  <c r="H1087" i="10"/>
  <c r="H978" i="10"/>
  <c r="H1075" i="10"/>
  <c r="H1076" i="10"/>
  <c r="H1113" i="10"/>
  <c r="H1020" i="10"/>
  <c r="H1025" i="10"/>
  <c r="H1024" i="10"/>
  <c r="H1022" i="10"/>
  <c r="H1021" i="10"/>
  <c r="H1086" i="10"/>
  <c r="H1083" i="10"/>
  <c r="H1074" i="10"/>
  <c r="H1073" i="10"/>
  <c r="H1082" i="10"/>
  <c r="H1079" i="10"/>
  <c r="H1080" i="10"/>
  <c r="H1078" i="10"/>
  <c r="H1071" i="10"/>
  <c r="H1070" i="10"/>
  <c r="H1125" i="10"/>
  <c r="H1119" i="10"/>
  <c r="H1118" i="10"/>
  <c r="H1117" i="10"/>
  <c r="H1115" i="10"/>
  <c r="H1114" i="10"/>
  <c r="H1112" i="10"/>
  <c r="H1027" i="10"/>
  <c r="H1033" i="10"/>
  <c r="H1081" i="10"/>
  <c r="H1077" i="10"/>
  <c r="H1072" i="10"/>
  <c r="H1110" i="10"/>
  <c r="H1111" i="10"/>
  <c r="H1047" i="10"/>
  <c r="H1046" i="10"/>
  <c r="H1045" i="10"/>
  <c r="H1036" i="10"/>
  <c r="H1029" i="10"/>
  <c r="H1028" i="10"/>
  <c r="H1085" i="10"/>
  <c r="H1035" i="10"/>
  <c r="H1053" i="10"/>
  <c r="H1048" i="10"/>
  <c r="H1043" i="10"/>
  <c r="H1040" i="10"/>
  <c r="H1041" i="10"/>
  <c r="H1034" i="10"/>
  <c r="H1032" i="10"/>
  <c r="H1084" i="10"/>
  <c r="H1120" i="10"/>
  <c r="H1049" i="10"/>
  <c r="H1007" i="10"/>
  <c r="H997" i="10"/>
  <c r="H996" i="10"/>
  <c r="H1109" i="10"/>
  <c r="H1116" i="10"/>
  <c r="H1051" i="10"/>
  <c r="H1050" i="10"/>
  <c r="H1039" i="10"/>
  <c r="H989" i="10"/>
  <c r="H1009" i="10"/>
  <c r="H1001" i="10"/>
  <c r="H994" i="10"/>
  <c r="H992" i="10"/>
  <c r="H1123" i="10"/>
  <c r="H1121" i="10"/>
  <c r="H1122" i="10"/>
  <c r="H1052" i="10"/>
  <c r="H1038" i="10"/>
  <c r="H1037" i="10"/>
  <c r="H1044" i="10"/>
  <c r="H1010" i="10"/>
  <c r="H1126" i="10"/>
  <c r="H1124" i="10"/>
  <c r="H1090" i="10"/>
  <c r="H1088" i="10"/>
  <c r="H1042" i="10"/>
  <c r="H1012" i="10"/>
  <c r="H999" i="10"/>
  <c r="H995" i="10"/>
  <c r="H993" i="10"/>
  <c r="H1018" i="10"/>
  <c r="H1006" i="10"/>
  <c r="H1005" i="10"/>
  <c r="H1004" i="10"/>
  <c r="H1003" i="10"/>
  <c r="H1002" i="10"/>
  <c r="H1000" i="10"/>
  <c r="H1094" i="10"/>
  <c r="H1091" i="10"/>
  <c r="H1089" i="10"/>
  <c r="H1108" i="10"/>
  <c r="H1101" i="10"/>
  <c r="H1100" i="10"/>
  <c r="H1098" i="10"/>
  <c r="H1054" i="10"/>
  <c r="H1057" i="10"/>
  <c r="H1013" i="10"/>
  <c r="H1017" i="10"/>
  <c r="H1016" i="10"/>
  <c r="H1015" i="10"/>
  <c r="H1014" i="10"/>
  <c r="H990" i="10"/>
  <c r="H991" i="10"/>
  <c r="H1097" i="10"/>
  <c r="H1096" i="10"/>
  <c r="H1095" i="10"/>
  <c r="H1093" i="10"/>
  <c r="H1092" i="10"/>
  <c r="H1107" i="10"/>
  <c r="H1099" i="10"/>
  <c r="H1064" i="10"/>
  <c r="H1063" i="10"/>
  <c r="H1062" i="10"/>
  <c r="H1055" i="10"/>
  <c r="H1056" i="10"/>
  <c r="H1065" i="10"/>
  <c r="H1011" i="10"/>
  <c r="H1008" i="10"/>
  <c r="H998" i="10"/>
  <c r="H1106" i="10"/>
  <c r="H1061" i="10"/>
  <c r="H1059" i="10"/>
  <c r="H1058" i="10"/>
  <c r="H1134" i="10"/>
  <c r="H1133" i="10"/>
  <c r="H1130" i="10"/>
  <c r="H1131" i="10"/>
  <c r="H1132" i="10"/>
  <c r="H1129" i="10"/>
  <c r="H1135" i="10"/>
  <c r="H1136" i="10"/>
  <c r="H1104" i="10"/>
  <c r="H1105" i="10"/>
  <c r="H1102" i="10"/>
  <c r="H1103" i="10"/>
  <c r="H1060" i="10"/>
  <c r="H969" i="10"/>
  <c r="H968" i="10"/>
  <c r="H967" i="10"/>
  <c r="H1128" i="10"/>
  <c r="H1137" i="10"/>
  <c r="H1138" i="10"/>
  <c r="H980" i="10"/>
  <c r="H982" i="10"/>
  <c r="H1127" i="10"/>
  <c r="H1019" i="10"/>
  <c r="H520" i="10"/>
  <c r="H519" i="10"/>
  <c r="H356" i="10"/>
  <c r="H355" i="10"/>
  <c r="H361" i="10"/>
  <c r="H461" i="10"/>
  <c r="H831" i="10"/>
  <c r="H829" i="10"/>
  <c r="H462" i="10"/>
  <c r="H557" i="10"/>
  <c r="H556" i="10"/>
  <c r="H540" i="10"/>
  <c r="H830" i="10"/>
  <c r="H488" i="10"/>
  <c r="H545" i="10"/>
  <c r="H543" i="10"/>
  <c r="H542" i="10"/>
  <c r="H535" i="10"/>
  <c r="H533" i="10"/>
  <c r="H531" i="10"/>
  <c r="H528" i="10"/>
  <c r="H523" i="10"/>
  <c r="H521" i="10"/>
  <c r="H522" i="10"/>
  <c r="H554" i="10"/>
  <c r="H943" i="10"/>
  <c r="H314" i="10"/>
  <c r="H760" i="10"/>
  <c r="H759" i="10"/>
  <c r="H750" i="10"/>
  <c r="H749" i="10"/>
  <c r="H746" i="10"/>
  <c r="H745" i="10"/>
  <c r="H744" i="10"/>
  <c r="H477" i="10"/>
  <c r="H563" i="10"/>
  <c r="H561" i="10"/>
  <c r="H537" i="10"/>
  <c r="H571" i="10"/>
  <c r="H570" i="10"/>
  <c r="H548" i="10"/>
  <c r="H534" i="10"/>
  <c r="H526" i="10"/>
  <c r="H525" i="10"/>
  <c r="H555" i="10"/>
  <c r="H536" i="10"/>
  <c r="H493" i="10"/>
  <c r="H771" i="10"/>
  <c r="H754" i="10"/>
  <c r="H789" i="10"/>
  <c r="H365" i="10"/>
  <c r="H363" i="10"/>
  <c r="H490" i="10"/>
  <c r="H483" i="10"/>
  <c r="H481" i="10"/>
  <c r="H476" i="10"/>
  <c r="H475" i="10"/>
  <c r="H474" i="10"/>
  <c r="H473" i="10"/>
  <c r="H469" i="10"/>
  <c r="H468" i="10"/>
  <c r="H487" i="10"/>
  <c r="H486" i="10"/>
  <c r="H485" i="10"/>
  <c r="H484" i="10"/>
  <c r="H482" i="10"/>
  <c r="H480" i="10"/>
  <c r="H479" i="10"/>
  <c r="H478" i="10"/>
  <c r="H471" i="10"/>
  <c r="H470" i="10"/>
  <c r="H491" i="10"/>
  <c r="H489" i="10"/>
  <c r="H532" i="10"/>
  <c r="H527" i="10"/>
  <c r="H572" i="10"/>
  <c r="H560" i="10"/>
  <c r="H559" i="10"/>
  <c r="H544" i="10"/>
  <c r="H530" i="10"/>
  <c r="H529" i="10"/>
  <c r="H575" i="10"/>
  <c r="H574" i="10"/>
  <c r="H567" i="10"/>
  <c r="H569" i="10"/>
  <c r="H568" i="10"/>
  <c r="H564" i="10"/>
  <c r="H562" i="10"/>
  <c r="H552" i="10"/>
  <c r="H551" i="10"/>
  <c r="H547" i="10"/>
  <c r="H546" i="10"/>
  <c r="H539" i="10"/>
  <c r="H538" i="10"/>
  <c r="H558" i="10"/>
  <c r="H766" i="10"/>
  <c r="H773" i="10"/>
  <c r="H765" i="10"/>
  <c r="H763" i="10"/>
  <c r="H761" i="10"/>
  <c r="H743" i="10"/>
  <c r="H742" i="10"/>
  <c r="H741" i="10"/>
  <c r="H740" i="10"/>
  <c r="H472" i="10"/>
  <c r="H466" i="10"/>
  <c r="H576" i="10"/>
  <c r="H553" i="10"/>
  <c r="H578" i="10"/>
  <c r="H762" i="10"/>
  <c r="H758" i="10"/>
  <c r="H747" i="10"/>
  <c r="H811" i="10"/>
  <c r="H385" i="10"/>
  <c r="H412" i="10"/>
  <c r="H410" i="10"/>
  <c r="H406" i="10"/>
  <c r="H403" i="10"/>
  <c r="H389" i="10"/>
  <c r="H387" i="10"/>
  <c r="H510" i="10"/>
  <c r="H499" i="10"/>
  <c r="H498" i="10"/>
  <c r="H494" i="10"/>
  <c r="H566" i="10"/>
  <c r="H549" i="10"/>
  <c r="H550" i="10"/>
  <c r="H573" i="10"/>
  <c r="H577" i="10"/>
  <c r="H774" i="10"/>
  <c r="H770" i="10"/>
  <c r="H769" i="10"/>
  <c r="H768" i="10"/>
  <c r="H767" i="10"/>
  <c r="H366" i="10"/>
  <c r="H402" i="10"/>
  <c r="H401" i="10"/>
  <c r="H390" i="10"/>
  <c r="H388" i="10"/>
  <c r="H386" i="10"/>
  <c r="H500" i="10"/>
  <c r="H495" i="10"/>
  <c r="H838" i="10"/>
  <c r="H839" i="10"/>
  <c r="H661" i="10"/>
  <c r="H707" i="10"/>
  <c r="H694" i="10"/>
  <c r="H691" i="10"/>
  <c r="H689" i="10"/>
  <c r="H686" i="10"/>
  <c r="H685" i="10"/>
  <c r="H662" i="10"/>
  <c r="H655" i="10"/>
  <c r="H860" i="10"/>
  <c r="H639" i="10"/>
  <c r="H622" i="10"/>
  <c r="H607" i="10"/>
  <c r="H869" i="10"/>
  <c r="H755" i="10"/>
  <c r="H748" i="10"/>
  <c r="H76" i="10"/>
  <c r="H396" i="10"/>
  <c r="H394" i="10"/>
  <c r="H392" i="10"/>
  <c r="H421" i="10"/>
  <c r="H413" i="10"/>
  <c r="H411" i="10"/>
  <c r="H399" i="10"/>
  <c r="H397" i="10"/>
  <c r="H398" i="10"/>
  <c r="H393" i="10"/>
  <c r="H391" i="10"/>
  <c r="H507" i="10"/>
  <c r="H636" i="10"/>
  <c r="H857" i="10"/>
  <c r="H633" i="10"/>
  <c r="H632" i="10"/>
  <c r="H612" i="10"/>
  <c r="H673" i="10"/>
  <c r="H672" i="10"/>
  <c r="H660" i="10"/>
  <c r="H658" i="10"/>
  <c r="H656" i="10"/>
  <c r="H643" i="10"/>
  <c r="H642" i="10"/>
  <c r="H640" i="10"/>
  <c r="H624" i="10"/>
  <c r="H623" i="10"/>
  <c r="H619" i="10"/>
  <c r="H616" i="10"/>
  <c r="H610" i="10"/>
  <c r="H611" i="10"/>
  <c r="H609" i="10"/>
  <c r="H608" i="10"/>
  <c r="H606" i="10"/>
  <c r="H605" i="10"/>
  <c r="H601" i="10"/>
  <c r="H602" i="10"/>
  <c r="H599" i="10"/>
  <c r="H596" i="10"/>
  <c r="H595" i="10"/>
  <c r="H594" i="10"/>
  <c r="H593" i="10"/>
  <c r="H589" i="10"/>
  <c r="H588" i="10"/>
  <c r="H756" i="10"/>
  <c r="H757" i="10"/>
  <c r="H752" i="10"/>
  <c r="H73" i="10"/>
  <c r="H71" i="10"/>
  <c r="H69" i="10"/>
  <c r="H813" i="10"/>
  <c r="H409" i="10"/>
  <c r="H395" i="10"/>
  <c r="H449" i="10"/>
  <c r="H450" i="10"/>
  <c r="H826" i="10"/>
  <c r="H440" i="10"/>
  <c r="H428" i="10"/>
  <c r="H426" i="10"/>
  <c r="H812" i="10"/>
  <c r="H404" i="10"/>
  <c r="H405" i="10"/>
  <c r="H400" i="10"/>
  <c r="H509" i="10"/>
  <c r="H508" i="10"/>
  <c r="H627" i="10"/>
  <c r="H709" i="10"/>
  <c r="H644" i="10"/>
  <c r="H859" i="10"/>
  <c r="H856" i="10"/>
  <c r="H597" i="10"/>
  <c r="H592" i="10"/>
  <c r="H851" i="10"/>
  <c r="H590" i="10"/>
  <c r="H591" i="10"/>
  <c r="H900" i="10"/>
  <c r="H708" i="10"/>
  <c r="H705" i="10"/>
  <c r="H704" i="10"/>
  <c r="H700" i="10"/>
  <c r="H699" i="10"/>
  <c r="H695" i="10"/>
  <c r="H692" i="10"/>
  <c r="H850" i="10"/>
  <c r="H861" i="10"/>
  <c r="H649" i="10"/>
  <c r="H638" i="10"/>
  <c r="H637" i="10"/>
  <c r="H629" i="10"/>
  <c r="H626" i="10"/>
  <c r="H625" i="10"/>
  <c r="H621" i="10"/>
  <c r="H620" i="10"/>
  <c r="H618" i="10"/>
  <c r="H617" i="10"/>
  <c r="H604" i="10"/>
  <c r="H603" i="10"/>
  <c r="H600" i="10"/>
  <c r="H598" i="10"/>
  <c r="H334" i="10"/>
  <c r="H331" i="10"/>
  <c r="H960" i="10"/>
  <c r="H959" i="10"/>
  <c r="H327" i="10"/>
  <c r="H786" i="10"/>
  <c r="H368" i="10"/>
  <c r="H364" i="10"/>
  <c r="H787" i="10"/>
  <c r="H359" i="10"/>
  <c r="H358" i="10"/>
  <c r="H95" i="10"/>
  <c r="H86" i="10"/>
  <c r="H82" i="10"/>
  <c r="H81" i="10"/>
  <c r="H78" i="10"/>
  <c r="H60" i="10"/>
  <c r="H58" i="10"/>
  <c r="H407" i="10"/>
  <c r="H444" i="10"/>
  <c r="H442" i="10"/>
  <c r="H824" i="10"/>
  <c r="H437" i="10"/>
  <c r="H438" i="10"/>
  <c r="H818" i="10"/>
  <c r="H819" i="10"/>
  <c r="H822" i="10"/>
  <c r="H820" i="10"/>
  <c r="H821" i="10"/>
  <c r="H430" i="10"/>
  <c r="H431" i="10"/>
  <c r="H435" i="10"/>
  <c r="H432" i="10"/>
  <c r="H433" i="10"/>
  <c r="H434" i="10"/>
  <c r="H427" i="10"/>
  <c r="H814" i="10"/>
  <c r="H815" i="10"/>
  <c r="H422" i="10"/>
  <c r="H423" i="10"/>
  <c r="H424" i="10"/>
  <c r="H418" i="10"/>
  <c r="H511" i="10"/>
  <c r="H504" i="10"/>
  <c r="H503" i="10"/>
  <c r="H496" i="10"/>
  <c r="H497" i="10"/>
  <c r="H630" i="10"/>
  <c r="H862" i="10"/>
  <c r="H641" i="10"/>
  <c r="H854" i="10"/>
  <c r="H614" i="10"/>
  <c r="H853" i="10"/>
  <c r="H613" i="10"/>
  <c r="H852" i="10"/>
  <c r="H718" i="10"/>
  <c r="H719" i="10"/>
  <c r="H713" i="10"/>
  <c r="H711" i="10"/>
  <c r="H702" i="10"/>
  <c r="H701" i="10"/>
  <c r="H698" i="10"/>
  <c r="H697" i="10"/>
  <c r="H874" i="10"/>
  <c r="H873" i="10"/>
  <c r="H680" i="10"/>
  <c r="H678" i="10"/>
  <c r="H668" i="10"/>
  <c r="H666" i="10"/>
  <c r="H654" i="10"/>
  <c r="H653" i="10"/>
  <c r="H650" i="10"/>
  <c r="H628" i="10"/>
  <c r="H849" i="10"/>
  <c r="H346" i="10"/>
  <c r="H328" i="10"/>
  <c r="H360" i="10"/>
  <c r="H367" i="10"/>
  <c r="H362" i="10"/>
  <c r="H84" i="10"/>
  <c r="H83" i="10"/>
  <c r="H64" i="10"/>
  <c r="H63" i="10"/>
  <c r="H97" i="10"/>
  <c r="H87" i="10"/>
  <c r="H79" i="10"/>
  <c r="H74" i="10"/>
  <c r="H75" i="10"/>
  <c r="H72" i="10"/>
  <c r="H68" i="10"/>
  <c r="H67" i="10"/>
  <c r="H66" i="10"/>
  <c r="H439" i="10"/>
  <c r="H420" i="10"/>
  <c r="H416" i="10"/>
  <c r="H417" i="10"/>
  <c r="H414" i="10"/>
  <c r="H415" i="10"/>
  <c r="H506" i="10"/>
  <c r="H505" i="10"/>
  <c r="H502" i="10"/>
  <c r="H501" i="10"/>
  <c r="H681" i="10"/>
  <c r="H676" i="10"/>
  <c r="H663" i="10"/>
  <c r="H635" i="10"/>
  <c r="H634" i="10"/>
  <c r="H615" i="10"/>
  <c r="H717" i="10"/>
  <c r="H716" i="10"/>
  <c r="H714" i="10"/>
  <c r="H712" i="10"/>
  <c r="H703" i="10"/>
  <c r="H696" i="10"/>
  <c r="H909" i="10"/>
  <c r="H908" i="10"/>
  <c r="H687" i="10"/>
  <c r="H684" i="10"/>
  <c r="H682" i="10"/>
  <c r="H907" i="10"/>
  <c r="H906" i="10"/>
  <c r="H675" i="10"/>
  <c r="H674" i="10"/>
  <c r="H671" i="10"/>
  <c r="H670" i="10"/>
  <c r="H665" i="10"/>
  <c r="H664" i="10"/>
  <c r="H867" i="10"/>
  <c r="H866" i="10"/>
  <c r="H864" i="10"/>
  <c r="H659" i="10"/>
  <c r="H657" i="10"/>
  <c r="H652" i="10"/>
  <c r="H651" i="10"/>
  <c r="H646" i="10"/>
  <c r="H647" i="10"/>
  <c r="H645" i="10"/>
  <c r="H858" i="10"/>
  <c r="H631" i="10"/>
  <c r="H956" i="10"/>
  <c r="H954" i="10"/>
  <c r="H351" i="10"/>
  <c r="H961" i="10"/>
  <c r="H957" i="10"/>
  <c r="H333" i="10"/>
  <c r="H341" i="10"/>
  <c r="H357" i="10"/>
  <c r="H354" i="10"/>
  <c r="H96" i="10"/>
  <c r="H80" i="10"/>
  <c r="H65" i="10"/>
  <c r="H77" i="10"/>
  <c r="H441" i="10"/>
  <c r="H825" i="10"/>
  <c r="H455" i="10"/>
  <c r="H454" i="10"/>
  <c r="H828" i="10"/>
  <c r="H452" i="10"/>
  <c r="H447" i="10"/>
  <c r="H443" i="10"/>
  <c r="H823" i="10"/>
  <c r="H436" i="10"/>
  <c r="H817" i="10"/>
  <c r="H429" i="10"/>
  <c r="H816" i="10"/>
  <c r="H425" i="10"/>
  <c r="H419" i="10"/>
  <c r="H453" i="10"/>
  <c r="H513" i="10"/>
  <c r="H512" i="10"/>
  <c r="H195" i="10"/>
  <c r="H168" i="10"/>
  <c r="H197" i="10"/>
  <c r="H198" i="10"/>
  <c r="H170" i="10"/>
  <c r="H166" i="10"/>
  <c r="H162" i="10"/>
  <c r="H727" i="10"/>
  <c r="H677" i="10"/>
  <c r="H885" i="10"/>
  <c r="H878" i="10"/>
  <c r="H876" i="10"/>
  <c r="H688" i="10"/>
  <c r="H875" i="10"/>
  <c r="H871" i="10"/>
  <c r="H679" i="10"/>
  <c r="H868" i="10"/>
  <c r="H865" i="10"/>
  <c r="H863" i="10"/>
  <c r="H919" i="10"/>
  <c r="H332" i="10"/>
  <c r="H953" i="10"/>
  <c r="H325" i="10"/>
  <c r="H339" i="10"/>
  <c r="H337" i="10"/>
  <c r="H336" i="10"/>
  <c r="H92" i="10"/>
  <c r="H91" i="10"/>
  <c r="H85" i="10"/>
  <c r="H70" i="10"/>
  <c r="H118" i="10"/>
  <c r="H459" i="10"/>
  <c r="H456" i="10"/>
  <c r="H827" i="10"/>
  <c r="H451" i="10"/>
  <c r="H445" i="10"/>
  <c r="H221" i="10"/>
  <c r="H219" i="10"/>
  <c r="H205" i="10"/>
  <c r="H204" i="10"/>
  <c r="H216" i="10"/>
  <c r="H842" i="10"/>
  <c r="H215" i="10"/>
  <c r="H841" i="10"/>
  <c r="H214" i="10"/>
  <c r="H211" i="10"/>
  <c r="H210" i="10"/>
  <c r="H208" i="10"/>
  <c r="H207" i="10"/>
  <c r="H201" i="10"/>
  <c r="H199" i="10"/>
  <c r="H194" i="10"/>
  <c r="H193" i="10"/>
  <c r="H191" i="10"/>
  <c r="H179" i="10"/>
  <c r="H178" i="10"/>
  <c r="H174" i="10"/>
  <c r="H175" i="10"/>
  <c r="H172" i="10"/>
  <c r="H171" i="10"/>
  <c r="H169" i="10"/>
  <c r="H165" i="10"/>
  <c r="H160" i="10"/>
  <c r="H159" i="10"/>
  <c r="H157" i="10"/>
  <c r="H158" i="10"/>
  <c r="H153" i="10"/>
  <c r="H152" i="10"/>
  <c r="H151" i="10"/>
  <c r="H150" i="10"/>
  <c r="H149" i="10"/>
  <c r="H148" i="10"/>
  <c r="H147" i="10"/>
  <c r="H146" i="10"/>
  <c r="H145" i="10"/>
  <c r="H144" i="10"/>
  <c r="H212" i="10"/>
  <c r="H903" i="10"/>
  <c r="H896" i="10"/>
  <c r="H706" i="10"/>
  <c r="H905" i="10"/>
  <c r="H904" i="10"/>
  <c r="H915" i="10"/>
  <c r="H916" i="10"/>
  <c r="H720" i="10"/>
  <c r="H912" i="10"/>
  <c r="H913" i="10"/>
  <c r="H891" i="10"/>
  <c r="H890" i="10"/>
  <c r="H888" i="10"/>
  <c r="H889" i="10"/>
  <c r="H882" i="10"/>
  <c r="H881" i="10"/>
  <c r="H872" i="10"/>
  <c r="H669" i="10"/>
  <c r="H667" i="10"/>
  <c r="H964" i="10"/>
  <c r="H344" i="10"/>
  <c r="H353" i="10"/>
  <c r="H952" i="10"/>
  <c r="H950" i="10"/>
  <c r="H350" i="10"/>
  <c r="H373" i="10"/>
  <c r="H137" i="10"/>
  <c r="H136" i="10"/>
  <c r="H127" i="10"/>
  <c r="H125" i="10"/>
  <c r="H124" i="10"/>
  <c r="H121" i="10"/>
  <c r="H120" i="10"/>
  <c r="H119" i="10"/>
  <c r="H448" i="10"/>
  <c r="H446" i="10"/>
  <c r="H206" i="10"/>
  <c r="H203" i="10"/>
  <c r="H184" i="10"/>
  <c r="H840" i="10"/>
  <c r="H218" i="10"/>
  <c r="H217" i="10"/>
  <c r="H209" i="10"/>
  <c r="H202" i="10"/>
  <c r="H200" i="10"/>
  <c r="H196" i="10"/>
  <c r="H192" i="10"/>
  <c r="H180" i="10"/>
  <c r="H176" i="10"/>
  <c r="H164" i="10"/>
  <c r="H161" i="10"/>
  <c r="H156" i="10"/>
  <c r="H901" i="10"/>
  <c r="H892" i="10"/>
  <c r="H715" i="10"/>
  <c r="H911" i="10"/>
  <c r="H897" i="10"/>
  <c r="H726" i="10"/>
  <c r="H724" i="10"/>
  <c r="H725" i="10"/>
  <c r="H894" i="10"/>
  <c r="H893" i="10"/>
  <c r="H886" i="10"/>
  <c r="H884" i="10"/>
  <c r="H880" i="10"/>
  <c r="H879" i="10"/>
  <c r="H877" i="10"/>
  <c r="H693" i="10"/>
  <c r="H690" i="10"/>
  <c r="H917" i="10"/>
  <c r="H324" i="10"/>
  <c r="H323" i="10"/>
  <c r="H318" i="10"/>
  <c r="H949" i="10"/>
  <c r="H966" i="10"/>
  <c r="H372" i="10"/>
  <c r="H371" i="10"/>
  <c r="H370" i="10"/>
  <c r="H134" i="10"/>
  <c r="H133" i="10"/>
  <c r="H132" i="10"/>
  <c r="H131" i="10"/>
  <c r="H130" i="10"/>
  <c r="H128" i="10"/>
  <c r="H123" i="10"/>
  <c r="H122" i="10"/>
  <c r="H458" i="10"/>
  <c r="H457" i="10"/>
  <c r="H226" i="10"/>
  <c r="H190" i="10"/>
  <c r="H189" i="10"/>
  <c r="H181" i="10"/>
  <c r="H177" i="10"/>
  <c r="H227" i="10"/>
  <c r="H225" i="10"/>
  <c r="H224" i="10"/>
  <c r="H220" i="10"/>
  <c r="H188" i="10"/>
  <c r="H187" i="10"/>
  <c r="H186" i="10"/>
  <c r="H185" i="10"/>
  <c r="H183" i="10"/>
  <c r="H182" i="10"/>
  <c r="H173" i="10"/>
  <c r="H167" i="10"/>
  <c r="H163" i="10"/>
  <c r="H155" i="10"/>
  <c r="H154" i="10"/>
  <c r="H143" i="10"/>
  <c r="H222" i="10"/>
  <c r="H223" i="10"/>
  <c r="H733" i="10"/>
  <c r="H732" i="10"/>
  <c r="H731" i="10"/>
  <c r="H729" i="10"/>
  <c r="H728" i="10"/>
  <c r="H723" i="10"/>
  <c r="H721" i="10"/>
  <c r="H887" i="10"/>
  <c r="H883" i="10"/>
  <c r="H710" i="10"/>
  <c r="H730" i="10"/>
  <c r="H902" i="10"/>
  <c r="H899" i="10"/>
  <c r="H898" i="10"/>
  <c r="H895" i="10"/>
  <c r="H722" i="10"/>
  <c r="H914" i="10"/>
  <c r="H275" i="10"/>
  <c r="H274" i="10"/>
  <c r="H947" i="10"/>
  <c r="H946" i="10"/>
  <c r="H945" i="10"/>
  <c r="H322" i="10"/>
  <c r="H321" i="10"/>
  <c r="H319" i="10"/>
  <c r="H320" i="10"/>
  <c r="H565" i="10"/>
  <c r="H541" i="10"/>
  <c r="H788" i="10"/>
  <c r="H524" i="10"/>
  <c r="H778" i="10"/>
  <c r="H492" i="10"/>
  <c r="H772" i="10"/>
  <c r="H467" i="10"/>
  <c r="H764" i="10"/>
  <c r="H408" i="10"/>
  <c r="H870" i="10"/>
  <c r="H369" i="10"/>
  <c r="H648" i="10"/>
  <c r="H683" i="10"/>
  <c r="H338" i="10"/>
  <c r="H329" i="10"/>
  <c r="H330" i="10"/>
  <c r="H955" i="10"/>
  <c r="H61" i="10"/>
  <c r="H855" i="10"/>
  <c r="H962" i="10"/>
  <c r="H347" i="10"/>
  <c r="H345" i="10"/>
  <c r="H343" i="10"/>
  <c r="H342" i="10"/>
  <c r="H326" i="10"/>
  <c r="H910" i="10"/>
  <c r="H965" i="10"/>
  <c r="H352" i="10"/>
  <c r="H348" i="10"/>
  <c r="H349" i="10"/>
  <c r="H963" i="10"/>
  <c r="H958" i="10"/>
  <c r="H335" i="10"/>
  <c r="H88" i="10"/>
  <c r="H340" i="10"/>
  <c r="H213" i="10"/>
  <c r="H951" i="10"/>
  <c r="H918" i="10"/>
  <c r="H948" i="10"/>
  <c r="H103" i="10"/>
  <c r="H277" i="10"/>
  <c r="H228" i="10"/>
  <c r="H278" i="10"/>
  <c r="H112" i="10"/>
  <c r="H267" i="10"/>
  <c r="H276" i="10"/>
  <c r="H55" i="10"/>
  <c r="H271" i="10"/>
  <c r="H268" i="10"/>
  <c r="H89" i="10"/>
  <c r="H241" i="10"/>
  <c r="H239" i="10"/>
  <c r="H242" i="10"/>
  <c r="H240" i="10"/>
  <c r="H253" i="10"/>
  <c r="H254" i="10"/>
  <c r="H266" i="10"/>
  <c r="H247" i="10"/>
  <c r="H248" i="10"/>
  <c r="H235" i="10"/>
  <c r="H230" i="10"/>
  <c r="H94" i="10"/>
  <c r="H93" i="10"/>
  <c r="H232" i="10"/>
  <c r="H231" i="10"/>
  <c r="H304" i="10"/>
  <c r="H296" i="10"/>
  <c r="H297" i="10"/>
  <c r="H293" i="10"/>
  <c r="H59" i="10"/>
  <c r="H57" i="10"/>
  <c r="H56" i="10"/>
  <c r="H251" i="10"/>
  <c r="H250" i="10"/>
  <c r="H234" i="10"/>
  <c r="H299" i="10"/>
  <c r="H298" i="10"/>
  <c r="H294" i="10"/>
  <c r="H941" i="10"/>
  <c r="H302" i="10"/>
  <c r="H303" i="10"/>
  <c r="H62" i="10"/>
  <c r="H1144" i="10"/>
  <c r="H249" i="10"/>
  <c r="H246" i="10"/>
  <c r="H245" i="10"/>
  <c r="H243" i="10"/>
  <c r="H244" i="10"/>
  <c r="H236" i="10"/>
  <c r="H237" i="10"/>
  <c r="H238" i="10"/>
  <c r="H257" i="10"/>
  <c r="H255" i="10"/>
  <c r="H307" i="10"/>
  <c r="H295" i="10"/>
  <c r="H289" i="10"/>
  <c r="H308" i="10"/>
  <c r="H309" i="10"/>
  <c r="H117" i="10"/>
  <c r="H114" i="10"/>
  <c r="H115" i="10"/>
  <c r="H113" i="10"/>
  <c r="H129" i="10"/>
  <c r="H252" i="10"/>
  <c r="H229" i="10"/>
  <c r="H301" i="10"/>
  <c r="H942" i="10"/>
  <c r="H300" i="10"/>
  <c r="H291" i="10"/>
  <c r="H107" i="10"/>
  <c r="H259" i="10"/>
  <c r="H260" i="10"/>
  <c r="H292" i="10"/>
  <c r="H290" i="10"/>
  <c r="H305" i="10"/>
  <c r="H306" i="10"/>
  <c r="H135" i="10"/>
  <c r="H261" i="10"/>
  <c r="H111" i="10"/>
  <c r="H108" i="10"/>
  <c r="H272" i="10"/>
  <c r="H270" i="10"/>
  <c r="H269" i="10"/>
  <c r="H90" i="10"/>
  <c r="H273" i="10"/>
  <c r="H258" i="10"/>
  <c r="H256" i="10"/>
  <c r="H262" i="10"/>
  <c r="H141" i="10"/>
  <c r="H142" i="10"/>
  <c r="H834" i="10"/>
  <c r="H832" i="10"/>
  <c r="H833" i="10"/>
  <c r="H835" i="10"/>
  <c r="H836" i="10"/>
  <c r="H837" i="10"/>
  <c r="H99" i="10"/>
  <c r="H98" i="10"/>
  <c r="H279" i="10"/>
  <c r="H110" i="10"/>
  <c r="H109" i="10"/>
  <c r="H106" i="10"/>
  <c r="H105" i="10"/>
  <c r="H104" i="10"/>
  <c r="H102" i="10"/>
  <c r="H100" i="10"/>
  <c r="H460" i="10"/>
  <c r="H286" i="10"/>
  <c r="H285" i="10"/>
  <c r="H284" i="10"/>
  <c r="H140" i="10"/>
  <c r="H101" i="10"/>
  <c r="H233" i="10"/>
  <c r="H282" i="10"/>
  <c r="H281" i="10"/>
  <c r="H280" i="10"/>
  <c r="H139" i="10"/>
  <c r="H138" i="10"/>
  <c r="H283" i="10"/>
  <c r="H587" i="10"/>
  <c r="H586" i="10"/>
  <c r="H585" i="10"/>
  <c r="H584" i="10"/>
  <c r="H583" i="10"/>
  <c r="H581" i="10"/>
  <c r="H844" i="10"/>
  <c r="H843" i="10"/>
  <c r="H582" i="10"/>
  <c r="H580" i="10"/>
  <c r="H579" i="10"/>
  <c r="H776" i="10"/>
  <c r="H791" i="10"/>
  <c r="H803" i="10"/>
  <c r="H801" i="10"/>
  <c r="H800" i="10"/>
  <c r="H1069" i="10"/>
  <c r="H797" i="10"/>
  <c r="H796" i="10"/>
  <c r="H795" i="10"/>
  <c r="H792" i="10"/>
  <c r="H799" i="10"/>
  <c r="H809" i="10"/>
  <c r="H798" i="10"/>
  <c r="H793" i="10"/>
  <c r="H794" i="10"/>
  <c r="H116" i="10"/>
  <c r="H920" i="10"/>
  <c r="H810" i="10"/>
  <c r="H802" i="10"/>
  <c r="H934" i="10"/>
  <c r="H933" i="10"/>
  <c r="H932" i="10"/>
  <c r="H931" i="10"/>
  <c r="H921" i="10"/>
  <c r="H926" i="10"/>
  <c r="H925" i="10"/>
  <c r="H937" i="10"/>
  <c r="H936" i="10"/>
  <c r="H935" i="10"/>
  <c r="H923" i="10"/>
  <c r="H922" i="10"/>
  <c r="H808" i="10"/>
  <c r="H807" i="10"/>
  <c r="H806" i="10"/>
  <c r="H805" i="10"/>
  <c r="H804" i="10"/>
  <c r="H126" i="10"/>
  <c r="H939" i="10"/>
  <c r="H924" i="10"/>
  <c r="H938" i="10"/>
  <c r="H930" i="10"/>
  <c r="H929" i="10"/>
  <c r="H928" i="10"/>
  <c r="H927" i="10"/>
  <c r="H775" i="10"/>
  <c r="H777" i="10"/>
  <c r="H311" i="10"/>
  <c r="H310" i="10"/>
  <c r="H313" i="10"/>
  <c r="H312" i="10"/>
  <c r="H263" i="10"/>
  <c r="H265" i="10"/>
  <c r="H264" i="10"/>
  <c r="H518" i="10"/>
  <c r="H516" i="10"/>
  <c r="H517" i="10"/>
  <c r="H515" i="10"/>
  <c r="H736" i="10"/>
  <c r="H738" i="10"/>
  <c r="H737" i="10"/>
  <c r="H735" i="10"/>
  <c r="H734" i="10"/>
  <c r="H1139" i="10"/>
  <c r="H1142" i="10"/>
  <c r="H1140" i="10"/>
  <c r="H1141" i="10"/>
  <c r="H1143" i="10"/>
  <c r="H780" i="10"/>
  <c r="H781" i="10"/>
  <c r="H784" i="10"/>
  <c r="H785" i="10"/>
  <c r="H782" i="10"/>
  <c r="H783" i="10"/>
  <c r="H779" i="10"/>
  <c r="H753" i="10"/>
  <c r="H751" i="10"/>
  <c r="H739" i="10"/>
  <c r="H944" i="10"/>
  <c r="H1146" i="10"/>
  <c r="H1145" i="10"/>
  <c r="H1066" i="9"/>
  <c r="H192" i="9"/>
  <c r="H1315" i="9"/>
  <c r="H1743" i="9"/>
  <c r="H1015" i="9"/>
  <c r="H2150" i="9"/>
  <c r="H1818" i="9"/>
  <c r="H188" i="9"/>
  <c r="H720" i="9"/>
  <c r="H1842" i="9"/>
  <c r="H2069" i="9"/>
  <c r="H872" i="9"/>
  <c r="H1561" i="9"/>
  <c r="H507" i="9"/>
  <c r="H1594" i="9"/>
  <c r="H1593" i="9"/>
  <c r="H1578" i="9"/>
  <c r="H1568" i="9"/>
  <c r="H2342" i="9"/>
  <c r="H249" i="9"/>
  <c r="H1289" i="9"/>
  <c r="H1287" i="9"/>
  <c r="H1396" i="9"/>
  <c r="H1377" i="9"/>
  <c r="H248" i="9"/>
  <c r="H246" i="9"/>
  <c r="H245" i="9"/>
  <c r="H244" i="9"/>
  <c r="H2230" i="9"/>
  <c r="H1728" i="9"/>
  <c r="H1711" i="9"/>
  <c r="H1718" i="9"/>
  <c r="H1731" i="9"/>
  <c r="H1576" i="9"/>
  <c r="H1575" i="9"/>
  <c r="H1573" i="9"/>
  <c r="H1574" i="9"/>
  <c r="H1570" i="9"/>
  <c r="H227" i="9"/>
  <c r="H1958" i="9"/>
  <c r="H1540" i="9"/>
  <c r="H1049" i="9"/>
  <c r="H94" i="9"/>
  <c r="H2286" i="9"/>
  <c r="H2287" i="9"/>
  <c r="H2231" i="9"/>
  <c r="H1723" i="9"/>
  <c r="H1712" i="9"/>
  <c r="H1721" i="9"/>
  <c r="H1715" i="9"/>
  <c r="H1444" i="9"/>
  <c r="H1441" i="9"/>
  <c r="H1439" i="9"/>
  <c r="H1461" i="9"/>
  <c r="H1460" i="9"/>
  <c r="H1459" i="9"/>
  <c r="H2172" i="9"/>
  <c r="H1845" i="9"/>
  <c r="H1846" i="9"/>
  <c r="H1455" i="9"/>
  <c r="H1454" i="9"/>
  <c r="H2042" i="9"/>
  <c r="H1639" i="9"/>
  <c r="H1691" i="9"/>
  <c r="H2039" i="9"/>
  <c r="H2037" i="9"/>
  <c r="H2038" i="9"/>
  <c r="H1009" i="9"/>
  <c r="H2034" i="9"/>
  <c r="H84" i="9"/>
  <c r="H2323" i="9"/>
  <c r="H2322" i="9"/>
  <c r="H864" i="9"/>
  <c r="H978" i="9"/>
  <c r="H2070" i="9"/>
  <c r="H2324" i="9"/>
  <c r="H998" i="9"/>
  <c r="H976" i="9"/>
  <c r="H975" i="9"/>
  <c r="H1301" i="9"/>
  <c r="H160" i="9"/>
  <c r="H1412" i="9"/>
  <c r="H1411" i="9"/>
  <c r="H1295" i="9"/>
  <c r="H2029" i="9"/>
  <c r="H1754" i="9"/>
  <c r="H255" i="9"/>
  <c r="H257" i="9"/>
  <c r="H253" i="9"/>
  <c r="H2293" i="9"/>
  <c r="H256" i="9"/>
  <c r="H252" i="9"/>
  <c r="H1748" i="9"/>
  <c r="H358" i="9"/>
  <c r="H1592" i="9"/>
  <c r="H1589" i="9"/>
  <c r="H1585" i="9"/>
  <c r="H281" i="9"/>
  <c r="H293" i="9"/>
  <c r="H290" i="9"/>
  <c r="H1960" i="9"/>
  <c r="H1430" i="9"/>
  <c r="H1045" i="9"/>
  <c r="H2267" i="9"/>
  <c r="H1431" i="9"/>
  <c r="H2299" i="9"/>
  <c r="H789" i="9"/>
  <c r="H1151" i="9"/>
  <c r="H704" i="9"/>
  <c r="H309" i="9"/>
  <c r="H1522" i="9"/>
  <c r="H1518" i="9"/>
  <c r="H1813" i="9"/>
  <c r="H2118" i="9"/>
  <c r="H1824" i="9"/>
  <c r="H1821" i="9"/>
  <c r="H638" i="9"/>
  <c r="H666" i="9"/>
  <c r="H1917" i="9"/>
  <c r="H396" i="9"/>
  <c r="H173" i="9"/>
  <c r="H321" i="9"/>
  <c r="H1822" i="9"/>
  <c r="H2198" i="9"/>
  <c r="H1946" i="9"/>
  <c r="H1808" i="9"/>
  <c r="H1775" i="9"/>
  <c r="H545" i="9"/>
  <c r="H1776" i="9"/>
  <c r="H1709" i="9"/>
  <c r="H1995" i="9"/>
  <c r="H454" i="9"/>
  <c r="H2106" i="9"/>
  <c r="H1708" i="9"/>
  <c r="H1779" i="9"/>
  <c r="H1482" i="9"/>
  <c r="H8" i="9"/>
  <c r="H2018" i="9"/>
  <c r="H2011" i="9"/>
  <c r="H2013" i="9"/>
  <c r="H1649" i="9"/>
  <c r="H1648" i="9"/>
  <c r="H996" i="9"/>
  <c r="H2139" i="9"/>
  <c r="H1867" i="9"/>
  <c r="H1670" i="9"/>
  <c r="H2064" i="9"/>
  <c r="H2022" i="9"/>
  <c r="H915" i="9"/>
  <c r="H917" i="9"/>
  <c r="H90" i="9"/>
  <c r="H144" i="9"/>
  <c r="H1324" i="9"/>
  <c r="H1084" i="9"/>
  <c r="H779" i="9"/>
  <c r="H134" i="9"/>
  <c r="H1863" i="9"/>
  <c r="H357" i="9"/>
  <c r="H2266" i="9"/>
  <c r="H124" i="9"/>
  <c r="H2235" i="9"/>
  <c r="H1806" i="9"/>
  <c r="H1426" i="9"/>
  <c r="H2183" i="9"/>
  <c r="H1985" i="9"/>
  <c r="H378" i="9"/>
  <c r="H971" i="9"/>
  <c r="H1138" i="9"/>
  <c r="H1085" i="9"/>
  <c r="H316" i="9"/>
  <c r="H448" i="9"/>
  <c r="H1700" i="9"/>
  <c r="H1696" i="9"/>
  <c r="H1807" i="9"/>
  <c r="H695" i="9"/>
  <c r="H1390" i="9"/>
  <c r="H1286" i="9"/>
  <c r="H1285" i="9"/>
  <c r="H1276" i="9"/>
  <c r="H1275" i="9"/>
  <c r="H1385" i="9"/>
  <c r="H1379" i="9"/>
  <c r="H444" i="9"/>
  <c r="H443" i="9"/>
  <c r="H435" i="9"/>
  <c r="H1391" i="9"/>
  <c r="H434" i="9"/>
  <c r="H1401" i="9"/>
  <c r="H1395" i="9"/>
  <c r="H1372" i="9"/>
  <c r="H425" i="9"/>
  <c r="H419" i="9"/>
  <c r="H588" i="9"/>
  <c r="H578" i="9"/>
  <c r="H1288" i="9"/>
  <c r="H1277" i="9"/>
  <c r="H1270" i="9"/>
  <c r="H1375" i="9"/>
  <c r="H1374" i="9"/>
  <c r="H1373" i="9"/>
  <c r="H1369" i="9"/>
  <c r="H1365" i="9"/>
  <c r="H1363" i="9"/>
  <c r="H428" i="9"/>
  <c r="H586" i="9"/>
  <c r="H1260" i="9"/>
  <c r="H1259" i="9"/>
  <c r="H1258" i="9"/>
  <c r="H1257" i="9"/>
  <c r="H1321" i="9"/>
  <c r="H1320" i="9"/>
  <c r="H1318" i="9"/>
  <c r="H1317" i="9"/>
  <c r="H1316" i="9"/>
  <c r="H1313" i="9"/>
  <c r="H1309" i="9"/>
  <c r="H1304" i="9"/>
  <c r="H584" i="9"/>
  <c r="H1264" i="9"/>
  <c r="H1263" i="9"/>
  <c r="H1262" i="9"/>
  <c r="H1255" i="9"/>
  <c r="H1308" i="9"/>
  <c r="H1306" i="9"/>
  <c r="H488" i="9"/>
  <c r="H1244" i="9"/>
  <c r="H1241" i="9"/>
  <c r="H1230" i="9"/>
  <c r="H1312" i="9"/>
  <c r="H506" i="9"/>
  <c r="H504" i="9"/>
  <c r="H579" i="9"/>
  <c r="H574" i="9"/>
  <c r="H421" i="9"/>
  <c r="H568" i="9"/>
  <c r="H1876" i="9"/>
  <c r="H1237" i="9"/>
  <c r="H494" i="9"/>
  <c r="H775" i="9"/>
  <c r="H1239" i="9"/>
  <c r="H1238" i="9"/>
  <c r="H1290" i="9"/>
  <c r="H1353" i="9"/>
  <c r="H1352" i="9"/>
  <c r="H1330" i="9"/>
  <c r="H505" i="9"/>
  <c r="H470" i="9"/>
  <c r="H1226" i="9"/>
  <c r="H1214" i="9"/>
  <c r="H1357" i="9"/>
  <c r="H1356" i="9"/>
  <c r="H1331" i="9"/>
  <c r="H499" i="9"/>
  <c r="H495" i="9"/>
  <c r="H473" i="9"/>
  <c r="H472" i="9"/>
  <c r="H468" i="9"/>
  <c r="H1224" i="9"/>
  <c r="H1211" i="9"/>
  <c r="H1889" i="9"/>
  <c r="H1890" i="9"/>
  <c r="H152" i="9"/>
  <c r="H1332" i="9"/>
  <c r="H1328" i="9"/>
  <c r="H496" i="9"/>
  <c r="H481" i="9"/>
  <c r="H1877" i="9"/>
  <c r="H1875" i="9"/>
  <c r="H1874" i="9"/>
  <c r="H1883" i="9"/>
  <c r="H1892" i="9"/>
  <c r="H1891" i="9"/>
  <c r="H1296" i="9"/>
  <c r="H1336" i="9"/>
  <c r="H1329" i="9"/>
  <c r="H1327" i="9"/>
  <c r="H1326" i="9"/>
  <c r="H471" i="9"/>
  <c r="H566" i="9"/>
  <c r="H1598" i="9"/>
  <c r="H2026" i="9"/>
  <c r="H2285" i="9"/>
  <c r="H1772" i="9"/>
  <c r="H1745" i="9"/>
  <c r="H1738" i="9"/>
  <c r="H2288" i="9"/>
  <c r="H1740" i="9"/>
  <c r="H1581" i="9"/>
  <c r="H2284" i="9"/>
  <c r="H2282" i="9"/>
  <c r="H2280" i="9"/>
  <c r="H2273" i="9"/>
  <c r="H1569" i="9"/>
  <c r="H2283" i="9"/>
  <c r="H1716" i="9"/>
  <c r="H2272" i="9"/>
  <c r="H349" i="9"/>
  <c r="H1050" i="9"/>
  <c r="H102" i="9"/>
  <c r="H2251" i="9"/>
  <c r="H1014" i="9"/>
  <c r="H2305" i="9"/>
  <c r="H2304" i="9"/>
  <c r="H2303" i="9"/>
  <c r="H2302" i="9"/>
  <c r="H103" i="9"/>
  <c r="H95" i="9"/>
  <c r="H241" i="9"/>
  <c r="H1541" i="9"/>
  <c r="H108" i="9"/>
  <c r="H98" i="9"/>
  <c r="H97" i="9"/>
  <c r="H96" i="9"/>
  <c r="H1523" i="9"/>
  <c r="H332" i="9"/>
  <c r="H327" i="9"/>
  <c r="H237" i="9"/>
  <c r="H234" i="9"/>
  <c r="H233" i="9"/>
  <c r="H231" i="9"/>
  <c r="H228" i="9"/>
  <c r="H226" i="9"/>
  <c r="H225" i="9"/>
  <c r="H243" i="9"/>
  <c r="H1545" i="9"/>
  <c r="H1535" i="9"/>
  <c r="H1534" i="9"/>
  <c r="H1529" i="9"/>
  <c r="H790" i="9"/>
  <c r="H343" i="9"/>
  <c r="H2311" i="9"/>
  <c r="H1158" i="9"/>
  <c r="H1155" i="9"/>
  <c r="H1152" i="9"/>
  <c r="H1862" i="9"/>
  <c r="H104" i="9"/>
  <c r="H1181" i="9"/>
  <c r="H1173" i="9"/>
  <c r="H782" i="9"/>
  <c r="H328" i="9"/>
  <c r="H1157" i="9"/>
  <c r="H1156" i="9"/>
  <c r="H1178" i="9"/>
  <c r="H1177" i="9"/>
  <c r="H1175" i="9"/>
  <c r="H1174" i="9"/>
  <c r="H698" i="9"/>
  <c r="H324" i="9"/>
  <c r="H270" i="9"/>
  <c r="H2024" i="9"/>
  <c r="H707" i="9"/>
  <c r="H697" i="9"/>
  <c r="H2211" i="9"/>
  <c r="H2212" i="9"/>
  <c r="H719" i="9"/>
  <c r="H1095" i="9"/>
  <c r="H1468" i="9"/>
  <c r="H1501" i="9"/>
  <c r="H1494" i="9"/>
  <c r="H1506" i="9"/>
  <c r="H206" i="9"/>
  <c r="H1903" i="9"/>
  <c r="H1495" i="9"/>
  <c r="H167" i="9"/>
  <c r="H1490" i="9"/>
  <c r="H1489" i="9"/>
  <c r="H1487" i="9"/>
  <c r="H166" i="9"/>
  <c r="H1488" i="9"/>
  <c r="H1909" i="9"/>
  <c r="H1902" i="9"/>
  <c r="H2170" i="9"/>
  <c r="H670" i="9"/>
  <c r="H669" i="9"/>
  <c r="H668" i="9"/>
  <c r="H1819" i="9"/>
  <c r="H1790" i="9"/>
  <c r="H1789" i="9"/>
  <c r="H531" i="9"/>
  <c r="H1791" i="9"/>
  <c r="H625" i="9"/>
  <c r="H1795" i="9"/>
  <c r="H1788" i="9"/>
  <c r="H2165" i="9"/>
  <c r="H2222" i="9"/>
  <c r="H2166" i="9"/>
  <c r="H629" i="9"/>
  <c r="H526" i="9"/>
  <c r="H624" i="9"/>
  <c r="H628" i="9"/>
  <c r="H623" i="9"/>
  <c r="H627" i="9"/>
  <c r="H1793" i="9"/>
  <c r="H1792" i="9"/>
  <c r="H2224" i="9"/>
  <c r="H2162" i="9"/>
  <c r="H2160" i="9"/>
  <c r="H1787" i="9"/>
  <c r="H2223" i="9"/>
  <c r="H2163" i="9"/>
  <c r="H2161" i="9"/>
  <c r="H2159" i="9"/>
  <c r="H2158" i="9"/>
  <c r="H621" i="9"/>
  <c r="H626" i="9"/>
  <c r="H620" i="9"/>
  <c r="H1797" i="9"/>
  <c r="H515" i="9"/>
  <c r="H1425" i="9"/>
  <c r="H1077" i="9"/>
  <c r="H1073" i="9"/>
  <c r="H1072" i="9"/>
  <c r="H518" i="9"/>
  <c r="H516" i="9"/>
  <c r="H517" i="9"/>
  <c r="H1803" i="9"/>
  <c r="H1071" i="9"/>
  <c r="H1076" i="9"/>
  <c r="H1802" i="9"/>
  <c r="H606" i="9"/>
  <c r="H604" i="9"/>
  <c r="H1424" i="9"/>
  <c r="H1423" i="9"/>
  <c r="H1422" i="9"/>
  <c r="H1421" i="9"/>
  <c r="H1452" i="9"/>
  <c r="H603" i="9"/>
  <c r="H776" i="9"/>
  <c r="H1936" i="9"/>
  <c r="H599" i="9"/>
  <c r="H601" i="9"/>
  <c r="H777" i="9"/>
  <c r="H1801" i="9"/>
  <c r="H1800" i="9"/>
  <c r="H1799" i="9"/>
  <c r="H1798" i="9"/>
  <c r="H600" i="9"/>
  <c r="H607" i="9"/>
  <c r="H602" i="9"/>
  <c r="H1756" i="9"/>
  <c r="H1755" i="9"/>
  <c r="H301" i="9"/>
  <c r="H525" i="9"/>
  <c r="H524" i="9"/>
  <c r="H22" i="9"/>
  <c r="H1831" i="9"/>
  <c r="H564" i="9"/>
  <c r="H563" i="9"/>
  <c r="H319" i="9"/>
  <c r="H318" i="9"/>
  <c r="H1868" i="9"/>
  <c r="H1118" i="9"/>
  <c r="H1128" i="9"/>
  <c r="H1127" i="9"/>
  <c r="H1123" i="9"/>
  <c r="H1121" i="9"/>
  <c r="H1119" i="9"/>
  <c r="H1120" i="9"/>
  <c r="H1117" i="9"/>
  <c r="H1116" i="9"/>
  <c r="H1115" i="9"/>
  <c r="H557" i="9"/>
  <c r="H1847" i="9"/>
  <c r="H552" i="9"/>
  <c r="H1836" i="9"/>
  <c r="H1113" i="9"/>
  <c r="H1114" i="9"/>
  <c r="H1112" i="9"/>
  <c r="H550" i="9"/>
  <c r="H549" i="9"/>
  <c r="H548" i="9"/>
  <c r="H1101" i="9"/>
  <c r="H1100" i="9"/>
  <c r="H1096" i="9"/>
  <c r="H551" i="9"/>
  <c r="H1837" i="9"/>
  <c r="H1102" i="9"/>
  <c r="H1098" i="9"/>
  <c r="H193" i="9"/>
  <c r="H1099" i="9"/>
  <c r="H459" i="9"/>
  <c r="H457" i="9"/>
  <c r="H2179" i="9"/>
  <c r="H1855" i="9"/>
  <c r="H1472" i="9"/>
  <c r="H2194" i="9"/>
  <c r="H460" i="9"/>
  <c r="H458" i="9"/>
  <c r="H1634" i="9"/>
  <c r="H1687" i="9"/>
  <c r="H923" i="9"/>
  <c r="H922" i="9"/>
  <c r="H921" i="9"/>
  <c r="H920" i="9"/>
  <c r="H1637" i="9"/>
  <c r="H795" i="9"/>
  <c r="H794" i="9"/>
  <c r="H798" i="9"/>
  <c r="H797" i="9"/>
  <c r="H2329" i="9"/>
  <c r="H2328" i="9"/>
  <c r="H2033" i="9"/>
  <c r="H799" i="9"/>
  <c r="H1000" i="9"/>
  <c r="H999" i="9"/>
  <c r="H1625" i="9"/>
  <c r="H1624" i="9"/>
  <c r="H1620" i="9"/>
  <c r="H983" i="9"/>
  <c r="H982" i="9"/>
  <c r="H980" i="9"/>
  <c r="H1616" i="9"/>
  <c r="H1686" i="9"/>
  <c r="H885" i="9"/>
  <c r="H883" i="9"/>
  <c r="H879" i="9"/>
  <c r="H878" i="9"/>
  <c r="H870" i="9"/>
  <c r="H869" i="9"/>
  <c r="H868" i="9"/>
  <c r="H865" i="9"/>
  <c r="H1658" i="9"/>
  <c r="H1656" i="9"/>
  <c r="H867" i="9"/>
  <c r="H866" i="9"/>
  <c r="H963" i="9"/>
  <c r="H959" i="9"/>
  <c r="H958" i="9"/>
  <c r="H953" i="9"/>
  <c r="H2141" i="9"/>
  <c r="H742" i="9"/>
  <c r="H1659" i="9"/>
  <c r="H1655" i="9"/>
  <c r="H769" i="9"/>
  <c r="H751" i="9"/>
  <c r="H746" i="9"/>
  <c r="H729" i="9"/>
  <c r="H2140" i="9"/>
  <c r="H805" i="9"/>
  <c r="H938" i="9"/>
  <c r="H754" i="9"/>
  <c r="H752" i="9"/>
  <c r="H749" i="9"/>
  <c r="H747" i="9"/>
  <c r="H745" i="9"/>
  <c r="H739" i="9"/>
  <c r="H738" i="9"/>
  <c r="H737" i="9"/>
  <c r="H735" i="9"/>
  <c r="H726" i="9"/>
  <c r="H2082" i="9"/>
  <c r="H736" i="9"/>
  <c r="H730" i="9"/>
  <c r="H406" i="9"/>
  <c r="H2088" i="9"/>
  <c r="H2086" i="9"/>
  <c r="H2084" i="9"/>
  <c r="H939" i="9"/>
  <c r="H950" i="9"/>
  <c r="H949" i="9"/>
  <c r="H947" i="9"/>
  <c r="H946" i="9"/>
  <c r="H933" i="9"/>
  <c r="H2085" i="9"/>
  <c r="H2081" i="9"/>
  <c r="H936" i="9"/>
  <c r="H935" i="9"/>
  <c r="H932" i="9"/>
  <c r="H930" i="9"/>
  <c r="H944" i="9"/>
  <c r="H929" i="9"/>
  <c r="H46" i="9"/>
  <c r="H45" i="9"/>
  <c r="H2045" i="9"/>
  <c r="H2080" i="9"/>
  <c r="H833" i="9"/>
  <c r="H824" i="9"/>
  <c r="H772" i="9"/>
  <c r="H913" i="9"/>
  <c r="H912" i="9"/>
  <c r="H911" i="9"/>
  <c r="H910" i="9"/>
  <c r="H896" i="9"/>
  <c r="H940" i="9"/>
  <c r="H934" i="9"/>
  <c r="H60" i="9"/>
  <c r="H1975" i="9"/>
  <c r="H1968" i="9"/>
  <c r="H843" i="9"/>
  <c r="H837" i="9"/>
  <c r="H827" i="9"/>
  <c r="H903" i="9"/>
  <c r="H47" i="9"/>
  <c r="H844" i="9"/>
  <c r="H820" i="9"/>
  <c r="H819" i="9"/>
  <c r="H818" i="9"/>
  <c r="H908" i="9"/>
  <c r="H87" i="9"/>
  <c r="H212" i="9"/>
  <c r="H213" i="9"/>
  <c r="H1092" i="9"/>
  <c r="H1437" i="9"/>
  <c r="H1436" i="9"/>
  <c r="H450" i="9"/>
  <c r="H2347" i="9"/>
  <c r="H2346" i="9"/>
  <c r="H2345" i="9"/>
  <c r="H2330" i="9"/>
  <c r="H2112" i="9"/>
  <c r="H2110" i="9"/>
  <c r="H1381" i="9"/>
  <c r="H279" i="9"/>
  <c r="H1124" i="9"/>
  <c r="H759" i="9"/>
  <c r="H1192" i="9"/>
  <c r="H2232" i="9"/>
  <c r="H1254" i="9"/>
  <c r="H182" i="9"/>
  <c r="H1811" i="9"/>
  <c r="H2147" i="9"/>
  <c r="H2180" i="9"/>
  <c r="H761" i="9"/>
  <c r="H11" i="9"/>
  <c r="H1697" i="9"/>
  <c r="H714" i="9"/>
  <c r="H532" i="9"/>
  <c r="H1256" i="9"/>
  <c r="H509" i="9"/>
  <c r="H1046" i="9"/>
  <c r="H692" i="9"/>
  <c r="H1930" i="9"/>
  <c r="H313" i="9"/>
  <c r="H1217" i="9"/>
  <c r="H1213" i="9"/>
  <c r="H1325" i="9"/>
  <c r="H1582" i="9"/>
  <c r="H355" i="9"/>
  <c r="H1565" i="9"/>
  <c r="H99" i="9"/>
  <c r="H1427" i="9"/>
  <c r="H1056" i="9"/>
  <c r="H2264" i="9"/>
  <c r="H2296" i="9"/>
  <c r="H2233" i="9"/>
  <c r="H2301" i="9"/>
  <c r="H337" i="9"/>
  <c r="H308" i="9"/>
  <c r="H1148" i="9"/>
  <c r="H12" i="9"/>
  <c r="H13" i="9"/>
  <c r="H37" i="9"/>
  <c r="H641" i="9"/>
  <c r="H640" i="9"/>
  <c r="H665" i="9"/>
  <c r="H2008" i="9"/>
  <c r="H399" i="9"/>
  <c r="H2228" i="9"/>
  <c r="H1848" i="9"/>
  <c r="H674" i="9"/>
  <c r="H157" i="9"/>
  <c r="H38" i="9"/>
  <c r="H1785" i="9"/>
  <c r="H522" i="9"/>
  <c r="H1780" i="9"/>
  <c r="H453" i="9"/>
  <c r="H1817" i="9"/>
  <c r="H1093" i="9"/>
  <c r="H2000" i="9"/>
  <c r="H374" i="9"/>
  <c r="H91" i="9"/>
  <c r="H1815" i="9"/>
  <c r="H1447" i="9"/>
  <c r="H1694" i="9"/>
  <c r="H796" i="9"/>
  <c r="H2040" i="9"/>
  <c r="H2035" i="9"/>
  <c r="H2319" i="9"/>
  <c r="H656" i="9"/>
  <c r="H994" i="9"/>
  <c r="H2137" i="9"/>
  <c r="H1650" i="9"/>
  <c r="H852" i="9"/>
  <c r="H2136" i="9"/>
  <c r="H2063" i="9"/>
  <c r="H2062" i="9"/>
  <c r="H2075" i="9"/>
  <c r="H2100" i="9"/>
  <c r="H904" i="9"/>
  <c r="H842" i="9"/>
  <c r="H916" i="9"/>
  <c r="H905" i="9"/>
  <c r="H1082" i="9"/>
  <c r="H1871" i="9"/>
  <c r="H2004" i="9"/>
  <c r="H1088" i="9"/>
  <c r="H2201" i="9"/>
  <c r="H158" i="9"/>
  <c r="H1432" i="9"/>
  <c r="H1433" i="9"/>
  <c r="H712" i="9"/>
  <c r="H711" i="9"/>
  <c r="H2130" i="9"/>
  <c r="H2129" i="9"/>
  <c r="H2128" i="9"/>
  <c r="H581" i="9"/>
  <c r="H1269" i="9"/>
  <c r="H1251" i="9"/>
  <c r="H1219" i="9"/>
  <c r="H1220" i="9"/>
  <c r="H2027" i="9"/>
  <c r="H1608" i="9"/>
  <c r="H1603" i="9"/>
  <c r="H364" i="9"/>
  <c r="H363" i="9"/>
  <c r="H1596" i="9"/>
  <c r="H362" i="9"/>
  <c r="H1572" i="9"/>
  <c r="H2289" i="9"/>
  <c r="H360" i="9"/>
  <c r="H361" i="9"/>
  <c r="H359" i="9"/>
  <c r="H2274" i="9"/>
  <c r="H291" i="9"/>
  <c r="H1746" i="9"/>
  <c r="H1725" i="9"/>
  <c r="H365" i="9"/>
  <c r="H296" i="9"/>
  <c r="H288" i="9"/>
  <c r="H287" i="9"/>
  <c r="H35" i="9"/>
  <c r="H1033" i="9"/>
  <c r="H1959" i="9"/>
  <c r="H2255" i="9"/>
  <c r="H239" i="9"/>
  <c r="H1557" i="9"/>
  <c r="H1525" i="9"/>
  <c r="H2256" i="9"/>
  <c r="H788" i="9"/>
  <c r="H1163" i="9"/>
  <c r="H268" i="9"/>
  <c r="H785" i="9"/>
  <c r="H784" i="9"/>
  <c r="H271" i="9"/>
  <c r="H786" i="9"/>
  <c r="H333" i="9"/>
  <c r="H1512" i="9"/>
  <c r="H1511" i="9"/>
  <c r="H1508" i="9"/>
  <c r="H145" i="9"/>
  <c r="H1435" i="9"/>
  <c r="H2107" i="9"/>
  <c r="H392" i="9"/>
  <c r="H1090" i="9"/>
  <c r="H260" i="9"/>
  <c r="H1445" i="9"/>
  <c r="H261" i="9"/>
  <c r="H2188" i="9"/>
  <c r="H1464" i="9"/>
  <c r="H1498" i="9"/>
  <c r="H1907" i="9"/>
  <c r="H2168" i="9"/>
  <c r="H1938" i="9"/>
  <c r="H1939" i="9"/>
  <c r="H2153" i="9"/>
  <c r="H672" i="9"/>
  <c r="H2167" i="9"/>
  <c r="H647" i="9"/>
  <c r="H190" i="9"/>
  <c r="H688" i="9"/>
  <c r="H2152" i="9"/>
  <c r="H177" i="9"/>
  <c r="H686" i="9"/>
  <c r="H685" i="9"/>
  <c r="H1953" i="9"/>
  <c r="H1764" i="9"/>
  <c r="H631" i="9"/>
  <c r="H644" i="9"/>
  <c r="H1453" i="9"/>
  <c r="H1809" i="9"/>
  <c r="H535" i="9"/>
  <c r="H534" i="9"/>
  <c r="H372" i="9"/>
  <c r="H2124" i="9"/>
  <c r="H1061" i="9"/>
  <c r="H1059" i="9"/>
  <c r="H299" i="9"/>
  <c r="H1199" i="9"/>
  <c r="H528" i="9"/>
  <c r="H1058" i="9"/>
  <c r="H1710" i="9"/>
  <c r="H561" i="9"/>
  <c r="H559" i="9"/>
  <c r="H558" i="9"/>
  <c r="H1108" i="9"/>
  <c r="H1933" i="9"/>
  <c r="H1932" i="9"/>
  <c r="H2181" i="9"/>
  <c r="H2178" i="9"/>
  <c r="H1475" i="9"/>
  <c r="H1474" i="9"/>
  <c r="H2176" i="9"/>
  <c r="H2175" i="9"/>
  <c r="H1927" i="9"/>
  <c r="H654" i="9"/>
  <c r="H655" i="9"/>
  <c r="H2156" i="9"/>
  <c r="H1774" i="9"/>
  <c r="H1888" i="9"/>
  <c r="H2010" i="9"/>
  <c r="H1692" i="9"/>
  <c r="H1642" i="9"/>
  <c r="H86" i="9"/>
  <c r="H2043" i="9"/>
  <c r="H722" i="9"/>
  <c r="H1004" i="9"/>
  <c r="H2041" i="9"/>
  <c r="H1641" i="9"/>
  <c r="H801" i="9"/>
  <c r="H800" i="9"/>
  <c r="H1674" i="9"/>
  <c r="H1672" i="9"/>
  <c r="H871" i="9"/>
  <c r="H988" i="9"/>
  <c r="H972" i="9"/>
  <c r="H992" i="9"/>
  <c r="H755" i="9"/>
  <c r="H847" i="9"/>
  <c r="H964" i="9"/>
  <c r="H743" i="9"/>
  <c r="H856" i="9"/>
  <c r="H2051" i="9"/>
  <c r="H408" i="9"/>
  <c r="H402" i="9"/>
  <c r="H58" i="9"/>
  <c r="H2135" i="9"/>
  <c r="H906" i="9"/>
  <c r="H834" i="9"/>
  <c r="H914" i="9"/>
  <c r="H893" i="9"/>
  <c r="H2" i="9"/>
  <c r="H1900" i="9"/>
  <c r="H400" i="9"/>
  <c r="H1861" i="9"/>
  <c r="H1532" i="9"/>
  <c r="H2123" i="9"/>
  <c r="H2126" i="9"/>
  <c r="H161" i="9"/>
  <c r="H2122" i="9"/>
  <c r="H2121" i="9"/>
  <c r="H1434" i="9"/>
  <c r="H764" i="9"/>
  <c r="H151" i="9"/>
  <c r="H2007" i="9"/>
  <c r="H2316" i="9"/>
  <c r="H2315" i="9"/>
  <c r="H2115" i="9"/>
  <c r="H1147" i="9"/>
  <c r="H1146" i="9"/>
  <c r="H1145" i="9"/>
  <c r="H1144" i="9"/>
  <c r="H1897" i="9"/>
  <c r="H1899" i="9"/>
  <c r="H512" i="9"/>
  <c r="H511" i="9"/>
  <c r="H2335" i="9"/>
  <c r="H2332" i="9"/>
  <c r="H2338" i="9"/>
  <c r="H2340" i="9"/>
  <c r="H2238" i="9"/>
  <c r="H1519" i="9"/>
  <c r="H163" i="9"/>
  <c r="H1796" i="9"/>
  <c r="H1284" i="9"/>
  <c r="H694" i="9"/>
  <c r="H693" i="9"/>
  <c r="H1399" i="9"/>
  <c r="H1394" i="9"/>
  <c r="H442" i="9"/>
  <c r="H1282" i="9"/>
  <c r="H1281" i="9"/>
  <c r="H1280" i="9"/>
  <c r="H1382" i="9"/>
  <c r="H1278" i="9"/>
  <c r="H440" i="9"/>
  <c r="H1386" i="9"/>
  <c r="H438" i="9"/>
  <c r="H1272" i="9"/>
  <c r="H1378" i="9"/>
  <c r="H1248" i="9"/>
  <c r="H1319" i="9"/>
  <c r="H1247" i="9"/>
  <c r="H1246" i="9"/>
  <c r="H1364" i="9"/>
  <c r="H1225" i="9"/>
  <c r="H326" i="9"/>
  <c r="H1865" i="9"/>
  <c r="H1864" i="9"/>
  <c r="H1471" i="9"/>
  <c r="H1505" i="9"/>
  <c r="H2148" i="9"/>
  <c r="H1062" i="9"/>
  <c r="H1122" i="9"/>
  <c r="H1841" i="9"/>
  <c r="H1111" i="9"/>
  <c r="H658" i="9"/>
  <c r="H2190" i="9"/>
  <c r="H1479" i="9"/>
  <c r="H660" i="9"/>
  <c r="H2182" i="9"/>
  <c r="H649" i="9"/>
  <c r="H9" i="9"/>
  <c r="H2036" i="9"/>
  <c r="H1664" i="9"/>
  <c r="H1665" i="9"/>
  <c r="H1703" i="9"/>
  <c r="H1701" i="9"/>
  <c r="H1139" i="9"/>
  <c r="H713" i="9"/>
  <c r="H1024" i="9"/>
  <c r="H140" i="9"/>
  <c r="H139" i="9"/>
  <c r="H29" i="9"/>
  <c r="H2127" i="9"/>
  <c r="H1322" i="9"/>
  <c r="H1393" i="9"/>
  <c r="H1389" i="9"/>
  <c r="H1388" i="9"/>
  <c r="H1380" i="9"/>
  <c r="H1370" i="9"/>
  <c r="H1416" i="9"/>
  <c r="H1368" i="9"/>
  <c r="H1268" i="9"/>
  <c r="H1384" i="9"/>
  <c r="H1376" i="9"/>
  <c r="H439" i="9"/>
  <c r="H436" i="9"/>
  <c r="H427" i="9"/>
  <c r="H423" i="9"/>
  <c r="H422" i="9"/>
  <c r="H585" i="9"/>
  <c r="H582" i="9"/>
  <c r="H1271" i="9"/>
  <c r="H1300" i="9"/>
  <c r="H1250" i="9"/>
  <c r="H498" i="9"/>
  <c r="H1249" i="9"/>
  <c r="H1261" i="9"/>
  <c r="H1240" i="9"/>
  <c r="H1305" i="9"/>
  <c r="H576" i="9"/>
  <c r="H572" i="9"/>
  <c r="H571" i="9"/>
  <c r="H1253" i="9"/>
  <c r="H1242" i="9"/>
  <c r="H1233" i="9"/>
  <c r="H1314" i="9"/>
  <c r="H1310" i="9"/>
  <c r="H1307" i="9"/>
  <c r="H420" i="9"/>
  <c r="H573" i="9"/>
  <c r="H390" i="9"/>
  <c r="H1236" i="9"/>
  <c r="H1232" i="9"/>
  <c r="H1231" i="9"/>
  <c r="H1229" i="9"/>
  <c r="H1228" i="9"/>
  <c r="H1227" i="9"/>
  <c r="H1346" i="9"/>
  <c r="H1339" i="9"/>
  <c r="H497" i="9"/>
  <c r="H491" i="9"/>
  <c r="H483" i="9"/>
  <c r="H482" i="9"/>
  <c r="H480" i="9"/>
  <c r="H1222" i="9"/>
  <c r="H1209" i="9"/>
  <c r="H1208" i="9"/>
  <c r="H1207" i="9"/>
  <c r="H1206" i="9"/>
  <c r="H1342" i="9"/>
  <c r="H1212" i="9"/>
  <c r="H1210" i="9"/>
  <c r="H1355" i="9"/>
  <c r="H1354" i="9"/>
  <c r="H1349" i="9"/>
  <c r="H1344" i="9"/>
  <c r="H1338" i="9"/>
  <c r="H1337" i="9"/>
  <c r="H1335" i="9"/>
  <c r="H1334" i="9"/>
  <c r="H477" i="9"/>
  <c r="H476" i="9"/>
  <c r="H469" i="9"/>
  <c r="H1879" i="9"/>
  <c r="H1205" i="9"/>
  <c r="H1360" i="9"/>
  <c r="H1348" i="9"/>
  <c r="H1343" i="9"/>
  <c r="H1341" i="9"/>
  <c r="H1333" i="9"/>
  <c r="H474" i="9"/>
  <c r="H2268" i="9"/>
  <c r="H1606" i="9"/>
  <c r="H1605" i="9"/>
  <c r="H1595" i="9"/>
  <c r="H1729" i="9"/>
  <c r="H356" i="9"/>
  <c r="H1730" i="9"/>
  <c r="H1726" i="9"/>
  <c r="H289" i="9"/>
  <c r="H286" i="9"/>
  <c r="H345" i="9"/>
  <c r="H1719" i="9"/>
  <c r="H1717" i="9"/>
  <c r="H2279" i="9"/>
  <c r="H2278" i="9"/>
  <c r="H2275" i="9"/>
  <c r="H235" i="9"/>
  <c r="H230" i="9"/>
  <c r="H1556" i="9"/>
  <c r="H1555" i="9"/>
  <c r="H1548" i="9"/>
  <c r="H1547" i="9"/>
  <c r="H1537" i="9"/>
  <c r="H105" i="9"/>
  <c r="H125" i="9"/>
  <c r="H1052" i="9"/>
  <c r="H1016" i="9"/>
  <c r="H1051" i="9"/>
  <c r="H1552" i="9"/>
  <c r="H1544" i="9"/>
  <c r="H1542" i="9"/>
  <c r="H1536" i="9"/>
  <c r="H100" i="9"/>
  <c r="H2270" i="9"/>
  <c r="H2249" i="9"/>
  <c r="H2269" i="9"/>
  <c r="H1027" i="9"/>
  <c r="H1022" i="9"/>
  <c r="H1013" i="9"/>
  <c r="H1012" i="9"/>
  <c r="H329" i="9"/>
  <c r="H1957" i="9"/>
  <c r="H1956" i="9"/>
  <c r="H126" i="9"/>
  <c r="H2250" i="9"/>
  <c r="H331" i="9"/>
  <c r="H229" i="9"/>
  <c r="H224" i="9"/>
  <c r="H1159" i="9"/>
  <c r="H1554" i="9"/>
  <c r="H1538" i="9"/>
  <c r="H115" i="9"/>
  <c r="H114" i="9"/>
  <c r="H109" i="9"/>
  <c r="H1179" i="9"/>
  <c r="H93" i="9"/>
  <c r="H92" i="9"/>
  <c r="H1030" i="9"/>
  <c r="H334" i="9"/>
  <c r="H330" i="9"/>
  <c r="H1153" i="9"/>
  <c r="H1539" i="9"/>
  <c r="H1180" i="9"/>
  <c r="H1176" i="9"/>
  <c r="H1507" i="9"/>
  <c r="H2262" i="9"/>
  <c r="H2258" i="9"/>
  <c r="H2253" i="9"/>
  <c r="H2271" i="9"/>
  <c r="H341" i="9"/>
  <c r="H338" i="9"/>
  <c r="H335" i="9"/>
  <c r="H273" i="9"/>
  <c r="H2306" i="9"/>
  <c r="H1154" i="9"/>
  <c r="H262" i="9"/>
  <c r="H1516" i="9"/>
  <c r="H1026" i="9"/>
  <c r="H1025" i="9"/>
  <c r="H1020" i="9"/>
  <c r="H1017" i="9"/>
  <c r="H276" i="9"/>
  <c r="H1160" i="9"/>
  <c r="H265" i="9"/>
  <c r="H1517" i="9"/>
  <c r="H1265" i="9"/>
  <c r="H259" i="9"/>
  <c r="H1496" i="9"/>
  <c r="H2151" i="9"/>
  <c r="H690" i="9"/>
  <c r="H220" i="9"/>
  <c r="H1950" i="9"/>
  <c r="H645" i="9"/>
  <c r="H180" i="9"/>
  <c r="H2227" i="9"/>
  <c r="H2164" i="9"/>
  <c r="H622" i="9"/>
  <c r="H1074" i="9"/>
  <c r="H1937" i="9"/>
  <c r="H1765" i="9"/>
  <c r="H721" i="9"/>
  <c r="H1057" i="9"/>
  <c r="H25" i="9"/>
  <c r="H367" i="9"/>
  <c r="H553" i="9"/>
  <c r="H556" i="9"/>
  <c r="H1840" i="9"/>
  <c r="H1839" i="9"/>
  <c r="H1838" i="9"/>
  <c r="H1109" i="9"/>
  <c r="H461" i="9"/>
  <c r="H547" i="9"/>
  <c r="H1935" i="9"/>
  <c r="H657" i="9"/>
  <c r="H1885" i="9"/>
  <c r="H1477" i="9"/>
  <c r="H1476" i="9"/>
  <c r="H2192" i="9"/>
  <c r="H2191" i="9"/>
  <c r="H2145" i="9"/>
  <c r="H1921" i="9"/>
  <c r="H1835" i="9"/>
  <c r="H633" i="9"/>
  <c r="H1773" i="9"/>
  <c r="H1887" i="9"/>
  <c r="H1644" i="9"/>
  <c r="H1693" i="9"/>
  <c r="H1688" i="9"/>
  <c r="H2326" i="9"/>
  <c r="H1003" i="9"/>
  <c r="H2327" i="9"/>
  <c r="H2325" i="9"/>
  <c r="H1005" i="9"/>
  <c r="H1627" i="9"/>
  <c r="H877" i="9"/>
  <c r="H990" i="9"/>
  <c r="H986" i="9"/>
  <c r="H984" i="9"/>
  <c r="H981" i="9"/>
  <c r="H979" i="9"/>
  <c r="H1675" i="9"/>
  <c r="H1660" i="9"/>
  <c r="H1667" i="9"/>
  <c r="H875" i="9"/>
  <c r="H874" i="9"/>
  <c r="H977" i="9"/>
  <c r="H748" i="9"/>
  <c r="H1611" i="9"/>
  <c r="H2071" i="9"/>
  <c r="H1668" i="9"/>
  <c r="H1666" i="9"/>
  <c r="H1653" i="9"/>
  <c r="H1617" i="9"/>
  <c r="H1615" i="9"/>
  <c r="H1613" i="9"/>
  <c r="H1610" i="9"/>
  <c r="H1609" i="9"/>
  <c r="H803" i="9"/>
  <c r="H758" i="9"/>
  <c r="H727" i="9"/>
  <c r="H2089" i="9"/>
  <c r="H2087" i="9"/>
  <c r="H2083" i="9"/>
  <c r="H811" i="9"/>
  <c r="H806" i="9"/>
  <c r="H744" i="9"/>
  <c r="H734" i="9"/>
  <c r="H733" i="9"/>
  <c r="H732" i="9"/>
  <c r="H731" i="9"/>
  <c r="H728" i="9"/>
  <c r="H810" i="9"/>
  <c r="H808" i="9"/>
  <c r="H807" i="9"/>
  <c r="H804" i="9"/>
  <c r="H967" i="9"/>
  <c r="H952" i="9"/>
  <c r="H951" i="9"/>
  <c r="H948" i="9"/>
  <c r="H2046" i="9"/>
  <c r="H845" i="9"/>
  <c r="H961" i="9"/>
  <c r="H918" i="9"/>
  <c r="H931" i="9"/>
  <c r="H65" i="9"/>
  <c r="H59" i="9"/>
  <c r="H56" i="9"/>
  <c r="H2056" i="9"/>
  <c r="H401" i="9"/>
  <c r="H2050" i="9"/>
  <c r="H2049" i="9"/>
  <c r="H2102" i="9"/>
  <c r="H826" i="9"/>
  <c r="H66" i="9"/>
  <c r="H64" i="9"/>
  <c r="H823" i="9"/>
  <c r="H821" i="9"/>
  <c r="H919" i="9"/>
  <c r="H889" i="9"/>
  <c r="H62" i="9"/>
  <c r="H1969" i="9"/>
  <c r="H898" i="9"/>
  <c r="H891" i="9"/>
  <c r="H890" i="9"/>
  <c r="H55" i="9"/>
  <c r="H679" i="9"/>
  <c r="H677" i="9"/>
  <c r="H214" i="9"/>
  <c r="H1531" i="9"/>
  <c r="H1188" i="9"/>
  <c r="H1767" i="9"/>
  <c r="H128" i="9"/>
  <c r="H1234" i="9"/>
  <c r="H1742" i="9"/>
  <c r="H1713" i="9"/>
  <c r="H1961" i="9"/>
  <c r="H1553" i="9"/>
  <c r="H1533" i="9"/>
  <c r="H111" i="9"/>
  <c r="H232" i="9"/>
  <c r="H2298" i="9"/>
  <c r="H1064" i="9"/>
  <c r="H1023" i="9"/>
  <c r="H1602" i="9"/>
  <c r="H1043" i="9"/>
  <c r="H325" i="9"/>
  <c r="H394" i="9"/>
  <c r="H1834" i="9"/>
  <c r="H520" i="9"/>
  <c r="H521" i="9"/>
  <c r="H1097" i="9"/>
  <c r="H142" i="9"/>
  <c r="H2021" i="9"/>
  <c r="H2032" i="9"/>
  <c r="H2067" i="9"/>
  <c r="H1006" i="9"/>
  <c r="H955" i="9"/>
  <c r="H1948" i="9"/>
  <c r="H2199" i="9"/>
  <c r="H223" i="9"/>
  <c r="H222" i="9"/>
  <c r="H344" i="9"/>
  <c r="H191" i="9"/>
  <c r="H1104" i="9"/>
  <c r="H48" i="9"/>
  <c r="H120" i="9"/>
  <c r="H113" i="9"/>
  <c r="H1047" i="9"/>
  <c r="H2025" i="9"/>
  <c r="H1405" i="9"/>
  <c r="H1503" i="9"/>
  <c r="H2023" i="9"/>
  <c r="H1979" i="9"/>
  <c r="H1974" i="9"/>
  <c r="H1972" i="9"/>
  <c r="H1087" i="9"/>
  <c r="H1131" i="9"/>
  <c r="H311" i="9"/>
  <c r="H310" i="9"/>
  <c r="H312" i="9"/>
  <c r="H924" i="9"/>
  <c r="H404" i="9"/>
  <c r="H403" i="9"/>
  <c r="H1184" i="9"/>
  <c r="H710" i="9"/>
  <c r="H20" i="9"/>
  <c r="H1400" i="9"/>
  <c r="H1383" i="9"/>
  <c r="H431" i="9"/>
  <c r="H432" i="9"/>
  <c r="H1387" i="9"/>
  <c r="H430" i="9"/>
  <c r="H433" i="9"/>
  <c r="H429" i="9"/>
  <c r="H424" i="9"/>
  <c r="H593" i="9"/>
  <c r="H583" i="9"/>
  <c r="H1279" i="9"/>
  <c r="H1274" i="9"/>
  <c r="H1273" i="9"/>
  <c r="H594" i="9"/>
  <c r="H569" i="9"/>
  <c r="H1245" i="9"/>
  <c r="H417" i="9"/>
  <c r="H389" i="9"/>
  <c r="H388" i="9"/>
  <c r="H426" i="9"/>
  <c r="H418" i="9"/>
  <c r="H1882" i="9"/>
  <c r="H1884" i="9"/>
  <c r="H1243" i="9"/>
  <c r="H1361" i="9"/>
  <c r="H1347" i="9"/>
  <c r="H1345" i="9"/>
  <c r="H503" i="9"/>
  <c r="H485" i="9"/>
  <c r="H1302" i="9"/>
  <c r="H1350" i="9"/>
  <c r="H489" i="9"/>
  <c r="H484" i="9"/>
  <c r="H478" i="9"/>
  <c r="H1294" i="9"/>
  <c r="H479" i="9"/>
  <c r="H475" i="9"/>
  <c r="H1293" i="9"/>
  <c r="H1292" i="9"/>
  <c r="H1291" i="9"/>
  <c r="H1351" i="9"/>
  <c r="H1340" i="9"/>
  <c r="H490" i="9"/>
  <c r="H486" i="9"/>
  <c r="H1741" i="9"/>
  <c r="H1607" i="9"/>
  <c r="H1604" i="9"/>
  <c r="H1744" i="9"/>
  <c r="H354" i="9"/>
  <c r="H247" i="9"/>
  <c r="H351" i="9"/>
  <c r="H1736" i="9"/>
  <c r="H1733" i="9"/>
  <c r="H1724" i="9"/>
  <c r="H295" i="9"/>
  <c r="H280" i="9"/>
  <c r="H1036" i="9"/>
  <c r="H1034" i="9"/>
  <c r="H116" i="9"/>
  <c r="H106" i="9"/>
  <c r="H2257" i="9"/>
  <c r="H1044" i="9"/>
  <c r="H1966" i="9"/>
  <c r="H1550" i="9"/>
  <c r="H1524" i="9"/>
  <c r="H2246" i="9"/>
  <c r="H1551" i="9"/>
  <c r="H110" i="9"/>
  <c r="H107" i="9"/>
  <c r="H1530" i="9"/>
  <c r="H791" i="9"/>
  <c r="H1031" i="9"/>
  <c r="H336" i="9"/>
  <c r="H781" i="9"/>
  <c r="H1021" i="9"/>
  <c r="H1520" i="9"/>
  <c r="H1032" i="9"/>
  <c r="H1171" i="9"/>
  <c r="H1161" i="9"/>
  <c r="H263" i="9"/>
  <c r="H1514" i="9"/>
  <c r="H696" i="9"/>
  <c r="H2308" i="9"/>
  <c r="H636" i="9"/>
  <c r="H635" i="9"/>
  <c r="H2216" i="9"/>
  <c r="H2210" i="9"/>
  <c r="H2215" i="9"/>
  <c r="H2219" i="9"/>
  <c r="H2206" i="9"/>
  <c r="H2205" i="9"/>
  <c r="H2203" i="9"/>
  <c r="H2213" i="9"/>
  <c r="H2207" i="9"/>
  <c r="H2204" i="9"/>
  <c r="H2209" i="9"/>
  <c r="H2214" i="9"/>
  <c r="H780" i="9"/>
  <c r="H2218" i="9"/>
  <c r="H718" i="9"/>
  <c r="H2113" i="9"/>
  <c r="H384" i="9"/>
  <c r="H393" i="9"/>
  <c r="H634" i="9"/>
  <c r="H1266" i="9"/>
  <c r="H1762" i="9"/>
  <c r="H1760" i="9"/>
  <c r="H1761" i="9"/>
  <c r="H1832" i="9"/>
  <c r="H1467" i="9"/>
  <c r="H1443" i="9"/>
  <c r="H1470" i="9"/>
  <c r="H172" i="9"/>
  <c r="H2187" i="9"/>
  <c r="H1504" i="9"/>
  <c r="H258" i="9"/>
  <c r="H171" i="9"/>
  <c r="H1442" i="9"/>
  <c r="H1462" i="9"/>
  <c r="H1493" i="9"/>
  <c r="H1492" i="9"/>
  <c r="H170" i="9"/>
  <c r="H169" i="9"/>
  <c r="H204" i="9"/>
  <c r="H449" i="9"/>
  <c r="H1906" i="9"/>
  <c r="H1440" i="9"/>
  <c r="H200" i="9"/>
  <c r="H1904" i="9"/>
  <c r="H1134" i="9"/>
  <c r="H1860" i="9"/>
  <c r="H1857" i="9"/>
  <c r="H1858" i="9"/>
  <c r="H684" i="9"/>
  <c r="H689" i="9"/>
  <c r="H1952" i="9"/>
  <c r="H1951" i="9"/>
  <c r="H218" i="9"/>
  <c r="H683" i="9"/>
  <c r="H681" i="9"/>
  <c r="H1484" i="9"/>
  <c r="H630" i="9"/>
  <c r="H1485" i="9"/>
  <c r="H179" i="9"/>
  <c r="H217" i="9"/>
  <c r="H1420" i="9"/>
  <c r="H1137" i="9"/>
  <c r="H1759" i="9"/>
  <c r="H467" i="9"/>
  <c r="H465" i="9"/>
  <c r="H1757" i="9"/>
  <c r="H717" i="9"/>
  <c r="H7" i="9"/>
  <c r="H5" i="9"/>
  <c r="H536" i="9"/>
  <c r="H386" i="9"/>
  <c r="H414" i="9"/>
  <c r="H2184" i="9"/>
  <c r="H302" i="9"/>
  <c r="H1203" i="9"/>
  <c r="H298" i="9"/>
  <c r="H2009" i="9"/>
  <c r="H1197" i="9"/>
  <c r="H530" i="9"/>
  <c r="H307" i="9"/>
  <c r="H306" i="9"/>
  <c r="H1769" i="9"/>
  <c r="H1766" i="9"/>
  <c r="H1200" i="9"/>
  <c r="H1198" i="9"/>
  <c r="H1196" i="9"/>
  <c r="H519" i="9"/>
  <c r="H21" i="9"/>
  <c r="H1132" i="9"/>
  <c r="H1126" i="9"/>
  <c r="H554" i="9"/>
  <c r="H560" i="9"/>
  <c r="H194" i="9"/>
  <c r="H1105" i="9"/>
  <c r="H659" i="9"/>
  <c r="H1929" i="9"/>
  <c r="H663" i="9"/>
  <c r="H661" i="9"/>
  <c r="H1922" i="9"/>
  <c r="H1069" i="9"/>
  <c r="H2196" i="9"/>
  <c r="H2197" i="9"/>
  <c r="H2195" i="9"/>
  <c r="H1833" i="9"/>
  <c r="H2146" i="9"/>
  <c r="H1854" i="9"/>
  <c r="H653" i="9"/>
  <c r="H652" i="9"/>
  <c r="H650" i="9"/>
  <c r="H651" i="9"/>
  <c r="H1944" i="9"/>
  <c r="H1943" i="9"/>
  <c r="H1940" i="9"/>
  <c r="H1635" i="9"/>
  <c r="H1636" i="9"/>
  <c r="H1690" i="9"/>
  <c r="H1689" i="9"/>
  <c r="H1002" i="9"/>
  <c r="H1638" i="9"/>
  <c r="H725" i="9"/>
  <c r="H763" i="9"/>
  <c r="H2142" i="9"/>
  <c r="H881" i="9"/>
  <c r="H1612" i="9"/>
  <c r="H1673" i="9"/>
  <c r="H882" i="9"/>
  <c r="H1661" i="9"/>
  <c r="H987" i="9"/>
  <c r="H1622" i="9"/>
  <c r="H2097" i="9"/>
  <c r="H2096" i="9"/>
  <c r="H965" i="9"/>
  <c r="H407" i="9"/>
  <c r="H2073" i="9"/>
  <c r="H956" i="9"/>
  <c r="H760" i="9"/>
  <c r="H2055" i="9"/>
  <c r="H2054" i="9"/>
  <c r="H2098" i="9"/>
  <c r="H2093" i="9"/>
  <c r="H2090" i="9"/>
  <c r="H848" i="9"/>
  <c r="H966" i="9"/>
  <c r="H943" i="9"/>
  <c r="H937" i="9"/>
  <c r="H927" i="9"/>
  <c r="H51" i="9"/>
  <c r="H2059" i="9"/>
  <c r="H2101" i="9"/>
  <c r="H2104" i="9"/>
  <c r="H2103" i="9"/>
  <c r="H2094" i="9"/>
  <c r="H2320" i="9"/>
  <c r="H832" i="9"/>
  <c r="H830" i="9"/>
  <c r="H945" i="9"/>
  <c r="H941" i="9"/>
  <c r="H2057" i="9"/>
  <c r="H2053" i="9"/>
  <c r="H2095" i="9"/>
  <c r="H2091" i="9"/>
  <c r="H839" i="9"/>
  <c r="H838" i="9"/>
  <c r="H863" i="9"/>
  <c r="H831" i="9"/>
  <c r="H829" i="9"/>
  <c r="H828" i="9"/>
  <c r="H825" i="9"/>
  <c r="H925" i="9"/>
  <c r="H1973" i="9"/>
  <c r="H1970" i="9"/>
  <c r="H907" i="9"/>
  <c r="H52" i="9"/>
  <c r="H1967" i="9"/>
  <c r="H894" i="9"/>
  <c r="H54" i="9"/>
  <c r="H53" i="9"/>
  <c r="H216" i="9"/>
  <c r="H1852" i="9"/>
  <c r="H1702" i="9"/>
  <c r="H1901" i="9"/>
  <c r="H2031" i="9"/>
  <c r="H2318" i="9"/>
  <c r="H1195" i="9"/>
  <c r="H1191" i="9"/>
  <c r="H385" i="9"/>
  <c r="H146" i="9"/>
  <c r="H147" i="9"/>
  <c r="H1189" i="9"/>
  <c r="H765" i="9"/>
  <c r="H409" i="9"/>
  <c r="H1190" i="9"/>
  <c r="H618" i="9"/>
  <c r="H619" i="9"/>
  <c r="H2313" i="9"/>
  <c r="H451" i="9"/>
  <c r="H2125" i="9"/>
  <c r="H1086" i="9"/>
  <c r="H369" i="9"/>
  <c r="H210" i="9"/>
  <c r="H209" i="9"/>
  <c r="H208" i="9"/>
  <c r="H207" i="9"/>
  <c r="H1011" i="9"/>
  <c r="H1010" i="9"/>
  <c r="H778" i="9"/>
  <c r="H1185" i="9"/>
  <c r="H513" i="9"/>
  <c r="H1898" i="9"/>
  <c r="H510" i="9"/>
  <c r="H131" i="9"/>
  <c r="H132" i="9"/>
  <c r="H2341" i="9"/>
  <c r="H2337" i="9"/>
  <c r="H2334" i="9"/>
  <c r="H2333" i="9"/>
  <c r="H2331" i="9"/>
  <c r="H1418" i="9"/>
  <c r="H2344" i="9"/>
  <c r="H2336" i="9"/>
  <c r="H2339" i="9"/>
  <c r="H1081" i="9"/>
  <c r="H1080" i="9"/>
  <c r="H2185" i="9"/>
  <c r="H533" i="9"/>
  <c r="H2006" i="9"/>
  <c r="H1597" i="9"/>
  <c r="H1734" i="9"/>
  <c r="H1428" i="9"/>
  <c r="H2261" i="9"/>
  <c r="H2020" i="9"/>
  <c r="H1680" i="9"/>
  <c r="H1094" i="9"/>
  <c r="H1896" i="9"/>
  <c r="H1895" i="9"/>
  <c r="H502" i="9"/>
  <c r="H238" i="9"/>
  <c r="H269" i="9"/>
  <c r="H1509" i="9"/>
  <c r="H1035" i="9"/>
  <c r="H267" i="9"/>
  <c r="H706" i="9"/>
  <c r="H2186" i="9"/>
  <c r="H1463" i="9"/>
  <c r="H2155" i="9"/>
  <c r="H1859" i="9"/>
  <c r="H648" i="9"/>
  <c r="H183" i="9"/>
  <c r="H185" i="9"/>
  <c r="H181" i="9"/>
  <c r="H667" i="9"/>
  <c r="H646" i="9"/>
  <c r="H1919" i="9"/>
  <c r="H610" i="9"/>
  <c r="H612" i="9"/>
  <c r="H196" i="9"/>
  <c r="H2016" i="9"/>
  <c r="H840" i="9"/>
  <c r="H366" i="9"/>
  <c r="H89" i="9"/>
  <c r="H1698" i="9"/>
  <c r="H1267" i="9"/>
  <c r="H1880" i="9"/>
  <c r="H1366" i="9"/>
  <c r="H508" i="9"/>
  <c r="H1749" i="9"/>
  <c r="H1590" i="9"/>
  <c r="H1571" i="9"/>
  <c r="H339" i="9"/>
  <c r="H1750" i="9"/>
  <c r="H1527" i="9"/>
  <c r="H1019" i="9"/>
  <c r="H1037" i="9"/>
  <c r="H198" i="9"/>
  <c r="H203" i="9"/>
  <c r="H201" i="9"/>
  <c r="H202" i="9"/>
  <c r="H1451" i="9"/>
  <c r="H1478" i="9"/>
  <c r="H49" i="9"/>
  <c r="H809" i="9"/>
  <c r="H50" i="9"/>
  <c r="H954" i="9"/>
  <c r="H892" i="9"/>
  <c r="H130" i="9"/>
  <c r="H322" i="9"/>
  <c r="H1587" i="9"/>
  <c r="H1586" i="9"/>
  <c r="H1564" i="9"/>
  <c r="H2239" i="9"/>
  <c r="H119" i="9"/>
  <c r="H703" i="9"/>
  <c r="H2116" i="9"/>
  <c r="H639" i="9"/>
  <c r="H1828" i="9"/>
  <c r="H1827" i="9"/>
  <c r="H1910" i="9"/>
  <c r="H277" i="9"/>
  <c r="H368" i="9"/>
  <c r="H1130" i="9"/>
  <c r="H39" i="9"/>
  <c r="H1707" i="9"/>
  <c r="H455" i="9"/>
  <c r="H1704" i="9"/>
  <c r="H1982" i="9"/>
  <c r="H1886" i="9"/>
  <c r="H143" i="9"/>
  <c r="H32" i="9"/>
  <c r="H77" i="9"/>
  <c r="H78" i="9"/>
  <c r="H2079" i="9"/>
  <c r="H861" i="9"/>
  <c r="H860" i="9"/>
  <c r="H26" i="9"/>
  <c r="H211" i="9"/>
  <c r="H17" i="9"/>
  <c r="H2173" i="9"/>
  <c r="H283" i="9"/>
  <c r="H16" i="9"/>
  <c r="H1083" i="9"/>
  <c r="H1438" i="9"/>
  <c r="H1739" i="9"/>
  <c r="H1029" i="9"/>
  <c r="H1914" i="9"/>
  <c r="H1850" i="9"/>
  <c r="H1873" i="9"/>
  <c r="H1988" i="9"/>
  <c r="H1705" i="9"/>
  <c r="H2017" i="9"/>
  <c r="H1398" i="9"/>
  <c r="H2030" i="9"/>
  <c r="H1751" i="9"/>
  <c r="H2297" i="9"/>
  <c r="H2247" i="9"/>
  <c r="H1149" i="9"/>
  <c r="H2200" i="9"/>
  <c r="H397" i="9"/>
  <c r="H1915" i="9"/>
  <c r="H1403" i="9"/>
  <c r="H2149" i="9"/>
  <c r="H1989" i="9"/>
  <c r="H1480" i="9"/>
  <c r="H2077" i="9"/>
  <c r="H1753" i="9"/>
  <c r="H1559" i="9"/>
  <c r="H675" i="9"/>
  <c r="H452" i="9"/>
  <c r="H1986" i="9"/>
  <c r="H1777" i="9"/>
  <c r="H1677" i="9"/>
  <c r="H960" i="9"/>
  <c r="H2074" i="9"/>
  <c r="H902" i="9"/>
  <c r="H900" i="9"/>
  <c r="H1978" i="9"/>
  <c r="H2174" i="9"/>
  <c r="H122" i="9"/>
  <c r="H596" i="9"/>
  <c r="H2260" i="9"/>
  <c r="H1252" i="9"/>
  <c r="H1881" i="9"/>
  <c r="H1303" i="9"/>
  <c r="H1298" i="9"/>
  <c r="H1358" i="9"/>
  <c r="H1737" i="9"/>
  <c r="H1965" i="9"/>
  <c r="H266" i="9"/>
  <c r="H155" i="9"/>
  <c r="H156" i="9"/>
  <c r="H10" i="9"/>
  <c r="H1816" i="9"/>
  <c r="H1916" i="9"/>
  <c r="H539" i="9"/>
  <c r="H538" i="9"/>
  <c r="H153" i="9"/>
  <c r="H410" i="9"/>
  <c r="H6" i="9"/>
  <c r="H1866" i="9"/>
  <c r="H379" i="9"/>
  <c r="H380" i="9"/>
  <c r="H2109" i="9"/>
  <c r="H2114" i="9"/>
  <c r="H632" i="9"/>
  <c r="H1908" i="9"/>
  <c r="H23" i="9"/>
  <c r="H317" i="9"/>
  <c r="H1934" i="9"/>
  <c r="H2177" i="9"/>
  <c r="H1856" i="9"/>
  <c r="H1928" i="9"/>
  <c r="H136" i="9"/>
  <c r="H138" i="9"/>
  <c r="H135" i="9"/>
  <c r="H770" i="9"/>
  <c r="H2012" i="9"/>
  <c r="H1626" i="9"/>
  <c r="H2157" i="9"/>
  <c r="H1458" i="9"/>
  <c r="H28" i="9"/>
  <c r="H446" i="9"/>
  <c r="H2202" i="9"/>
  <c r="H284" i="9"/>
  <c r="H129" i="9"/>
  <c r="H1079" i="9"/>
  <c r="H1949" i="9"/>
  <c r="H1588" i="9"/>
  <c r="H2263" i="9"/>
  <c r="H643" i="9"/>
  <c r="H1913" i="9"/>
  <c r="H1983" i="9"/>
  <c r="H1631" i="9"/>
  <c r="H1601" i="9"/>
  <c r="H1583" i="9"/>
  <c r="H1580" i="9"/>
  <c r="H251" i="9"/>
  <c r="H1747" i="9"/>
  <c r="H1567" i="9"/>
  <c r="H1566" i="9"/>
  <c r="H1562" i="9"/>
  <c r="H2295" i="9"/>
  <c r="H1164" i="9"/>
  <c r="H2242" i="9"/>
  <c r="H2237" i="9"/>
  <c r="H2234" i="9"/>
  <c r="H1521" i="9"/>
  <c r="H197" i="9"/>
  <c r="H186" i="9"/>
  <c r="H1997" i="9"/>
  <c r="H1987" i="9"/>
  <c r="H1782" i="9"/>
  <c r="H1999" i="9"/>
  <c r="H1991" i="9"/>
  <c r="H1984" i="9"/>
  <c r="H1781" i="9"/>
  <c r="H1992" i="9"/>
  <c r="H1091" i="9"/>
  <c r="H1643" i="9"/>
  <c r="H1632" i="9"/>
  <c r="H1630" i="9"/>
  <c r="H993" i="9"/>
  <c r="H969" i="9"/>
  <c r="H2048" i="9"/>
  <c r="H1977" i="9"/>
  <c r="H1407" i="9"/>
  <c r="H1894" i="9"/>
  <c r="H1826" i="9"/>
  <c r="H2003" i="9"/>
  <c r="H1853" i="9"/>
  <c r="H370" i="9"/>
  <c r="H1429" i="9"/>
  <c r="H1150" i="9"/>
  <c r="H702" i="9"/>
  <c r="H1823" i="9"/>
  <c r="H1829" i="9"/>
  <c r="H529" i="9"/>
  <c r="H2001" i="9"/>
  <c r="H1784" i="9"/>
  <c r="H1404" i="9"/>
  <c r="H2321" i="9"/>
  <c r="H199" i="9"/>
  <c r="H1448" i="9"/>
  <c r="H250" i="9"/>
  <c r="H1872" i="9"/>
  <c r="H1998" i="9"/>
  <c r="H541" i="9"/>
  <c r="H1783" i="9"/>
  <c r="H1681" i="9"/>
  <c r="H970" i="9"/>
  <c r="H705" i="9"/>
  <c r="H813" i="9"/>
  <c r="H1142" i="9"/>
  <c r="H1141" i="9"/>
  <c r="H1143" i="9"/>
  <c r="H1299" i="9"/>
  <c r="H1722" i="9"/>
  <c r="H1168" i="9"/>
  <c r="H1040" i="9"/>
  <c r="H1169" i="9"/>
  <c r="H1510" i="9"/>
  <c r="H2208" i="9"/>
  <c r="H1486" i="9"/>
  <c r="H187" i="9"/>
  <c r="H1136" i="9"/>
  <c r="H1133" i="9"/>
  <c r="H221" i="9"/>
  <c r="H546" i="9"/>
  <c r="H195" i="9"/>
  <c r="H753" i="9"/>
  <c r="H2060" i="9"/>
  <c r="H2058" i="9"/>
  <c r="H57" i="9"/>
  <c r="H1417" i="9"/>
  <c r="H133" i="9"/>
  <c r="H1465" i="9"/>
  <c r="H1706" i="9"/>
  <c r="H85" i="9"/>
  <c r="H2236" i="9"/>
  <c r="H1814" i="9"/>
  <c r="H598" i="9"/>
  <c r="H597" i="9"/>
  <c r="H2002" i="9"/>
  <c r="H1483" i="9"/>
  <c r="H34" i="9"/>
  <c r="H83" i="9"/>
  <c r="H1654" i="9"/>
  <c r="H816" i="9"/>
  <c r="H1980" i="9"/>
  <c r="H2072" i="9"/>
  <c r="H1406" i="9"/>
  <c r="H43" i="9"/>
  <c r="H382" i="9"/>
  <c r="H371" i="9"/>
  <c r="H447" i="9"/>
  <c r="H492" i="9"/>
  <c r="H793" i="9"/>
  <c r="H2312" i="9"/>
  <c r="H1135" i="9"/>
  <c r="H1367" i="9"/>
  <c r="H1619" i="9"/>
  <c r="H1235" i="9"/>
  <c r="H1714" i="9"/>
  <c r="H928" i="9"/>
  <c r="H1103" i="9"/>
  <c r="H2314" i="9"/>
  <c r="H926" i="9"/>
  <c r="H888" i="9"/>
  <c r="H1204" i="9"/>
  <c r="H189" i="9"/>
  <c r="H2225" i="9"/>
  <c r="H767" i="9"/>
  <c r="H766" i="9"/>
  <c r="H2047" i="9"/>
  <c r="H254" i="9"/>
  <c r="H1579" i="9"/>
  <c r="H1558" i="9"/>
  <c r="H1055" i="9"/>
  <c r="H2241" i="9"/>
  <c r="H44" i="9"/>
  <c r="H159" i="9"/>
  <c r="H323" i="9"/>
  <c r="H19" i="9"/>
  <c r="H2132" i="9"/>
  <c r="H2131" i="9"/>
  <c r="H381" i="9"/>
  <c r="H1323" i="9"/>
  <c r="H445" i="9"/>
  <c r="H1283" i="9"/>
  <c r="H437" i="9"/>
  <c r="H1414" i="9"/>
  <c r="H1413" i="9"/>
  <c r="H1397" i="9"/>
  <c r="H1392" i="9"/>
  <c r="H1371" i="9"/>
  <c r="H590" i="9"/>
  <c r="H1311" i="9"/>
  <c r="H441" i="9"/>
  <c r="H1410" i="9"/>
  <c r="H1409" i="9"/>
  <c r="H592" i="9"/>
  <c r="H591" i="9"/>
  <c r="H589" i="9"/>
  <c r="H587" i="9"/>
  <c r="H580" i="9"/>
  <c r="H416" i="9"/>
  <c r="H415" i="9"/>
  <c r="H577" i="9"/>
  <c r="H1878" i="9"/>
  <c r="H1221" i="9"/>
  <c r="H500" i="9"/>
  <c r="H1215" i="9"/>
  <c r="H501" i="9"/>
  <c r="H1216" i="9"/>
  <c r="H487" i="9"/>
  <c r="H1362" i="9"/>
  <c r="H567" i="9"/>
  <c r="H1600" i="9"/>
  <c r="H1591" i="9"/>
  <c r="H1577" i="9"/>
  <c r="H1720" i="9"/>
  <c r="H2277" i="9"/>
  <c r="H2276" i="9"/>
  <c r="H352" i="9"/>
  <c r="H350" i="9"/>
  <c r="H348" i="9"/>
  <c r="H347" i="9"/>
  <c r="H2281" i="9"/>
  <c r="H1732" i="9"/>
  <c r="H1962" i="9"/>
  <c r="H1039" i="9"/>
  <c r="H1038" i="9"/>
  <c r="H1963" i="9"/>
  <c r="H101" i="9"/>
  <c r="H1528" i="9"/>
  <c r="H2248" i="9"/>
  <c r="H787" i="9"/>
  <c r="H1543" i="9"/>
  <c r="H121" i="9"/>
  <c r="H118" i="9"/>
  <c r="H2259" i="9"/>
  <c r="H2252" i="9"/>
  <c r="H792" i="9"/>
  <c r="H303" i="9"/>
  <c r="H1166" i="9"/>
  <c r="H1162" i="9"/>
  <c r="H1560" i="9"/>
  <c r="H1546" i="9"/>
  <c r="H264" i="9"/>
  <c r="H699" i="9"/>
  <c r="H700" i="9"/>
  <c r="H701" i="9"/>
  <c r="H708" i="9"/>
  <c r="H709" i="9"/>
  <c r="H2310" i="9"/>
  <c r="H2309" i="9"/>
  <c r="H1172" i="9"/>
  <c r="H1170" i="9"/>
  <c r="H275" i="9"/>
  <c r="H274" i="9"/>
  <c r="H2307" i="9"/>
  <c r="H305" i="9"/>
  <c r="H2120" i="9"/>
  <c r="H2217" i="9"/>
  <c r="H2221" i="9"/>
  <c r="H2220" i="9"/>
  <c r="H154" i="9"/>
  <c r="H2105" i="9"/>
  <c r="H383" i="9"/>
  <c r="H1499" i="9"/>
  <c r="H1500" i="9"/>
  <c r="H1491" i="9"/>
  <c r="H168" i="9"/>
  <c r="H205" i="9"/>
  <c r="H1905" i="9"/>
  <c r="H463" i="9"/>
  <c r="H771" i="9"/>
  <c r="H673" i="9"/>
  <c r="H637" i="9"/>
  <c r="H671" i="9"/>
  <c r="H691" i="9"/>
  <c r="H1851" i="9"/>
  <c r="H178" i="9"/>
  <c r="H682" i="9"/>
  <c r="H537" i="9"/>
  <c r="H680" i="9"/>
  <c r="H687" i="9"/>
  <c r="H219" i="9"/>
  <c r="H184" i="9"/>
  <c r="H1075" i="9"/>
  <c r="H615" i="9"/>
  <c r="H613" i="9"/>
  <c r="H608" i="9"/>
  <c r="H609" i="9"/>
  <c r="H605" i="9"/>
  <c r="H466" i="9"/>
  <c r="H300" i="9"/>
  <c r="H527" i="9"/>
  <c r="H411" i="9"/>
  <c r="H24" i="9"/>
  <c r="H1870" i="9"/>
  <c r="H1869" i="9"/>
  <c r="H1125" i="9"/>
  <c r="H1129" i="9"/>
  <c r="H1457" i="9"/>
  <c r="H555" i="9"/>
  <c r="H562" i="9"/>
  <c r="H1110" i="9"/>
  <c r="H1107" i="9"/>
  <c r="H1106" i="9"/>
  <c r="H462" i="9"/>
  <c r="H1926" i="9"/>
  <c r="H1925" i="9"/>
  <c r="H1924" i="9"/>
  <c r="H1923" i="9"/>
  <c r="H1920" i="9"/>
  <c r="H1068" i="9"/>
  <c r="H1942" i="9"/>
  <c r="H2193" i="9"/>
  <c r="H175" i="9"/>
  <c r="H174" i="9"/>
  <c r="H315" i="9"/>
  <c r="H314" i="9"/>
  <c r="H456" i="9"/>
  <c r="H176" i="9"/>
  <c r="H165" i="9"/>
  <c r="H141" i="9"/>
  <c r="H2015" i="9"/>
  <c r="H2014" i="9"/>
  <c r="H1001" i="9"/>
  <c r="H80" i="9"/>
  <c r="H79" i="9"/>
  <c r="H997" i="9"/>
  <c r="H75" i="9"/>
  <c r="H1683" i="9"/>
  <c r="H1623" i="9"/>
  <c r="H1621" i="9"/>
  <c r="H876" i="9"/>
  <c r="H957" i="9"/>
  <c r="H1663" i="9"/>
  <c r="H1618" i="9"/>
  <c r="H2134" i="9"/>
  <c r="H1614" i="9"/>
  <c r="H1671" i="9"/>
  <c r="H1669" i="9"/>
  <c r="H1657" i="9"/>
  <c r="H886" i="9"/>
  <c r="H880" i="9"/>
  <c r="H873" i="9"/>
  <c r="H991" i="9"/>
  <c r="H989" i="9"/>
  <c r="H1676" i="9"/>
  <c r="H884" i="9"/>
  <c r="H565" i="9"/>
  <c r="H995" i="9"/>
  <c r="H985" i="9"/>
  <c r="H974" i="9"/>
  <c r="H1662" i="9"/>
  <c r="H1652" i="9"/>
  <c r="H857" i="9"/>
  <c r="H962" i="9"/>
  <c r="H756" i="9"/>
  <c r="H855" i="9"/>
  <c r="H851" i="9"/>
  <c r="H849" i="9"/>
  <c r="H973" i="9"/>
  <c r="H2078" i="9"/>
  <c r="H2052" i="9"/>
  <c r="H2076" i="9"/>
  <c r="H858" i="9"/>
  <c r="H854" i="9"/>
  <c r="H773" i="9"/>
  <c r="H74" i="9"/>
  <c r="H2066" i="9"/>
  <c r="H846" i="9"/>
  <c r="H822" i="9"/>
  <c r="H70" i="9"/>
  <c r="H69" i="9"/>
  <c r="H2068" i="9"/>
  <c r="H841" i="9"/>
  <c r="H836" i="9"/>
  <c r="H835" i="9"/>
  <c r="H909" i="9"/>
  <c r="H1976" i="9"/>
  <c r="H899" i="9"/>
  <c r="H897" i="9"/>
  <c r="H73" i="9"/>
  <c r="H72" i="9"/>
  <c r="H63" i="9"/>
  <c r="H676" i="9"/>
  <c r="H678" i="9"/>
  <c r="H164" i="9"/>
  <c r="H148" i="9"/>
  <c r="H1825" i="9"/>
  <c r="H30" i="9"/>
  <c r="H768" i="9"/>
  <c r="H544" i="9"/>
  <c r="H1805" i="9"/>
  <c r="H1804" i="9"/>
  <c r="H715" i="9"/>
  <c r="H716" i="9"/>
  <c r="H1089" i="9"/>
  <c r="H1186" i="9"/>
  <c r="H1140" i="9"/>
  <c r="H514" i="9"/>
  <c r="H1964" i="9"/>
  <c r="H1048" i="9"/>
  <c r="H1202" i="9"/>
  <c r="H1771" i="9"/>
  <c r="H616" i="9"/>
  <c r="H88" i="9"/>
  <c r="H412" i="9"/>
  <c r="H42" i="9"/>
  <c r="H2099" i="9"/>
  <c r="H215" i="9"/>
  <c r="H2343" i="9"/>
  <c r="H2005" i="9"/>
  <c r="H2292" i="9"/>
  <c r="H294" i="9"/>
  <c r="H292" i="9"/>
  <c r="H2240" i="9"/>
  <c r="H1515" i="9"/>
  <c r="H2117" i="9"/>
  <c r="H14" i="9"/>
  <c r="H1830" i="9"/>
  <c r="H1918" i="9"/>
  <c r="H662" i="9"/>
  <c r="H1945" i="9"/>
  <c r="H1996" i="9"/>
  <c r="H1990" i="9"/>
  <c r="H1008" i="9"/>
  <c r="H1646" i="9"/>
  <c r="H1063" i="9"/>
  <c r="H1758" i="9"/>
  <c r="H67" i="9"/>
  <c r="H1078" i="9"/>
  <c r="H1768" i="9"/>
  <c r="H595" i="9"/>
  <c r="H575" i="9"/>
  <c r="H570" i="9"/>
  <c r="H1297" i="9"/>
  <c r="H1359" i="9"/>
  <c r="H493" i="9"/>
  <c r="H1218" i="9"/>
  <c r="H1599" i="9"/>
  <c r="H297" i="9"/>
  <c r="H2290" i="9"/>
  <c r="H353" i="9"/>
  <c r="H1727" i="9"/>
  <c r="H285" i="9"/>
  <c r="H36" i="9"/>
  <c r="H1053" i="9"/>
  <c r="H240" i="9"/>
  <c r="H1735" i="9"/>
  <c r="H1526" i="9"/>
  <c r="H1042" i="9"/>
  <c r="H117" i="9"/>
  <c r="H1018" i="9"/>
  <c r="H236" i="9"/>
  <c r="H123" i="9"/>
  <c r="H2245" i="9"/>
  <c r="H2254" i="9"/>
  <c r="H1041" i="9"/>
  <c r="H1549" i="9"/>
  <c r="H2265" i="9"/>
  <c r="H783" i="9"/>
  <c r="H1165" i="9"/>
  <c r="H1812" i="9"/>
  <c r="H1070" i="9"/>
  <c r="H1469" i="9"/>
  <c r="H1502" i="9"/>
  <c r="H1497" i="9"/>
  <c r="H2171" i="9"/>
  <c r="H2169" i="9"/>
  <c r="H1820" i="9"/>
  <c r="H2226" i="9"/>
  <c r="H1794" i="9"/>
  <c r="H611" i="9"/>
  <c r="H373" i="9"/>
  <c r="H1763" i="9"/>
  <c r="H1060" i="9"/>
  <c r="H1201" i="9"/>
  <c r="H1194" i="9"/>
  <c r="H1193" i="9"/>
  <c r="H282" i="9"/>
  <c r="H1456" i="9"/>
  <c r="H1449" i="9"/>
  <c r="H1450" i="9"/>
  <c r="H2044" i="9"/>
  <c r="H723" i="9"/>
  <c r="H1640" i="9"/>
  <c r="H968" i="9"/>
  <c r="H812" i="9"/>
  <c r="H750" i="9"/>
  <c r="H2143" i="9"/>
  <c r="H741" i="9"/>
  <c r="H740" i="9"/>
  <c r="H405" i="9"/>
  <c r="H942" i="9"/>
  <c r="H68" i="9"/>
  <c r="H895" i="9"/>
  <c r="H31" i="9"/>
  <c r="H762" i="9"/>
  <c r="H757" i="9"/>
  <c r="H1183" i="9"/>
  <c r="H1699" i="9"/>
  <c r="H1419" i="9"/>
  <c r="H112" i="9"/>
  <c r="H2133" i="9"/>
  <c r="H2092" i="9"/>
  <c r="H1893" i="9"/>
  <c r="H1402" i="9"/>
  <c r="H391" i="9"/>
  <c r="H1223" i="9"/>
  <c r="H2028" i="9"/>
  <c r="H346" i="9"/>
  <c r="H1955" i="9"/>
  <c r="H1954" i="9"/>
  <c r="H272" i="9"/>
  <c r="H1513" i="9"/>
  <c r="H1028" i="9"/>
  <c r="H1167" i="9"/>
  <c r="H1911" i="9"/>
  <c r="H2111" i="9"/>
  <c r="H2108" i="9"/>
  <c r="H4" i="9"/>
  <c r="H3" i="9"/>
  <c r="H1466" i="9"/>
  <c r="H2154" i="9"/>
  <c r="H614" i="9"/>
  <c r="H1054" i="9"/>
  <c r="H304" i="9"/>
  <c r="H523" i="9"/>
  <c r="H278" i="9"/>
  <c r="H320" i="9"/>
  <c r="H1849" i="9"/>
  <c r="H1844" i="9"/>
  <c r="H1843" i="9"/>
  <c r="H1931" i="9"/>
  <c r="H2189" i="9"/>
  <c r="H1941" i="9"/>
  <c r="H1981" i="9"/>
  <c r="H377" i="9"/>
  <c r="H137" i="9"/>
  <c r="H1446" i="9"/>
  <c r="H2019" i="9"/>
  <c r="H1645" i="9"/>
  <c r="H724" i="9"/>
  <c r="H81" i="9"/>
  <c r="H76" i="9"/>
  <c r="H1651" i="9"/>
  <c r="H1685" i="9"/>
  <c r="H802" i="9"/>
  <c r="H1633" i="9"/>
  <c r="H887" i="9"/>
  <c r="H1629" i="9"/>
  <c r="H1628" i="9"/>
  <c r="H1682" i="9"/>
  <c r="H859" i="9"/>
  <c r="H817" i="9"/>
  <c r="H850" i="9"/>
  <c r="H61" i="9"/>
  <c r="H1971" i="9"/>
  <c r="H617" i="9"/>
  <c r="H1810" i="9"/>
  <c r="H375" i="9"/>
  <c r="H162" i="9"/>
  <c r="H387" i="9"/>
  <c r="H413" i="9"/>
  <c r="H27" i="9"/>
  <c r="H15" i="9"/>
  <c r="H2144" i="9"/>
  <c r="H543" i="9"/>
  <c r="H41" i="9"/>
  <c r="H542" i="9"/>
  <c r="H127" i="9"/>
  <c r="H150" i="9"/>
  <c r="H464" i="9"/>
  <c r="H149" i="9"/>
  <c r="H1947" i="9"/>
  <c r="H1187" i="9"/>
  <c r="H2317" i="9"/>
  <c r="H1695" i="9"/>
  <c r="H1415" i="9"/>
  <c r="H1584" i="9"/>
  <c r="H2294" i="9"/>
  <c r="H2300" i="9"/>
  <c r="H1182" i="9"/>
  <c r="H340" i="9"/>
  <c r="H2243" i="9"/>
  <c r="H1067" i="9"/>
  <c r="H642" i="9"/>
  <c r="H398" i="9"/>
  <c r="H664" i="9"/>
  <c r="H1473" i="9"/>
  <c r="H2229" i="9"/>
  <c r="H40" i="9"/>
  <c r="H1994" i="9"/>
  <c r="H1778" i="9"/>
  <c r="H1481" i="9"/>
  <c r="H1647" i="9"/>
  <c r="H1007" i="9"/>
  <c r="H1679" i="9"/>
  <c r="H853" i="9"/>
  <c r="H1752" i="9"/>
  <c r="H2291" i="9"/>
  <c r="H1770" i="9"/>
  <c r="H1563" i="9"/>
  <c r="H2244" i="9"/>
  <c r="H342" i="9"/>
  <c r="H1912" i="9"/>
  <c r="H395" i="9"/>
  <c r="H376" i="9"/>
  <c r="H1786" i="9"/>
  <c r="H82" i="9"/>
  <c r="H2138" i="9"/>
  <c r="H814" i="9"/>
  <c r="H862" i="9"/>
  <c r="H2061" i="9"/>
  <c r="H71" i="9"/>
  <c r="H1408" i="9"/>
  <c r="H901" i="9"/>
  <c r="H18" i="9"/>
  <c r="H242" i="9"/>
  <c r="H1065" i="9"/>
  <c r="H2119" i="9"/>
  <c r="H1993" i="9"/>
  <c r="H540" i="9"/>
  <c r="H33" i="9"/>
  <c r="H1678" i="9"/>
  <c r="H1684" i="9"/>
  <c r="H2065" i="9"/>
  <c r="H815" i="9"/>
  <c r="H774" i="9"/>
  <c r="I1081" i="9"/>
  <c r="I1080" i="9"/>
  <c r="I2185" i="9"/>
  <c r="I1695" i="9"/>
  <c r="I1417" i="9"/>
  <c r="I2330" i="9"/>
  <c r="I513" i="9"/>
  <c r="I1700" i="9"/>
  <c r="I514" i="9"/>
  <c r="I1863" i="9"/>
  <c r="I1698" i="9"/>
  <c r="I1699" i="9"/>
  <c r="I1897" i="9"/>
  <c r="I1898" i="9"/>
  <c r="I1899" i="9"/>
  <c r="I1696" i="9"/>
  <c r="I1697" i="9"/>
  <c r="I512" i="9"/>
  <c r="I511" i="9"/>
  <c r="I510" i="9"/>
  <c r="I131" i="9"/>
  <c r="I132" i="9"/>
  <c r="I133" i="9"/>
  <c r="I713" i="9"/>
  <c r="I2341" i="9"/>
  <c r="I714" i="9"/>
  <c r="I2337" i="9"/>
  <c r="I2343" i="9"/>
  <c r="I2335" i="9"/>
  <c r="I2334" i="9"/>
  <c r="I2333" i="9"/>
  <c r="I2331" i="9"/>
  <c r="I2112" i="9"/>
  <c r="I2110" i="9"/>
  <c r="I1418" i="9"/>
  <c r="I1419" i="9"/>
  <c r="I2344" i="9"/>
  <c r="I2332" i="9"/>
  <c r="I2336" i="9"/>
  <c r="I2338" i="9"/>
  <c r="I2342" i="9"/>
  <c r="I532" i="9"/>
  <c r="I2340" i="9"/>
  <c r="I1079" i="9"/>
  <c r="I2339" i="9"/>
  <c r="I130" i="9"/>
  <c r="I284" i="9"/>
  <c r="I2316" i="9"/>
  <c r="I2315" i="9"/>
  <c r="I2317" i="9"/>
  <c r="I2115" i="9"/>
  <c r="I1147" i="9"/>
  <c r="I129" i="9"/>
  <c r="I1185" i="9"/>
  <c r="I1146" i="9"/>
  <c r="I1184" i="9"/>
  <c r="I1186" i="9"/>
  <c r="I128" i="9"/>
  <c r="I1145" i="9"/>
  <c r="I1144" i="9"/>
  <c r="I1142" i="9"/>
  <c r="I1141" i="9"/>
  <c r="I1143" i="9"/>
  <c r="I1140" i="9"/>
  <c r="I1183" i="9"/>
  <c r="I210" i="9"/>
  <c r="I209" i="9"/>
  <c r="I208" i="9"/>
  <c r="I207" i="9"/>
  <c r="I89" i="9"/>
  <c r="I1011" i="9"/>
  <c r="I1010" i="9"/>
  <c r="I778" i="9"/>
  <c r="I366" i="9"/>
  <c r="I2232" i="9"/>
  <c r="I2202" i="9"/>
  <c r="I2347" i="9"/>
  <c r="I2346" i="9"/>
  <c r="I2345" i="9"/>
  <c r="I1805" i="9"/>
  <c r="I1804" i="9"/>
  <c r="I715" i="9"/>
  <c r="I716" i="9"/>
  <c r="I1089" i="9"/>
  <c r="I1405" i="9"/>
  <c r="I779" i="9"/>
  <c r="I134" i="9"/>
  <c r="I371" i="9"/>
  <c r="I1088" i="9"/>
  <c r="I1853" i="9"/>
  <c r="I1087" i="9"/>
  <c r="I1086" i="9"/>
  <c r="I369" i="9"/>
  <c r="I448" i="9"/>
  <c r="I370" i="9"/>
  <c r="I446" i="9"/>
  <c r="I447" i="9"/>
  <c r="I28" i="9"/>
  <c r="I544" i="9"/>
  <c r="I1187" i="9"/>
  <c r="I149" i="9"/>
  <c r="I1947" i="9"/>
  <c r="I768" i="9"/>
  <c r="I127" i="9"/>
  <c r="I151" i="9"/>
  <c r="I316" i="9"/>
  <c r="I2007" i="9"/>
  <c r="I150" i="9"/>
  <c r="I2006" i="9"/>
  <c r="I464" i="9"/>
  <c r="I1438" i="9"/>
  <c r="I409" i="9"/>
  <c r="I1190" i="9"/>
  <c r="I618" i="9"/>
  <c r="I619" i="9"/>
  <c r="I2313" i="9"/>
  <c r="I451" i="9"/>
  <c r="I450" i="9"/>
  <c r="I2125" i="9"/>
  <c r="I385" i="9"/>
  <c r="I146" i="9"/>
  <c r="I764" i="9"/>
  <c r="I762" i="9"/>
  <c r="I757" i="9"/>
  <c r="I147" i="9"/>
  <c r="I1189" i="9"/>
  <c r="I765" i="9"/>
  <c r="I1078" i="9"/>
  <c r="I1948" i="9"/>
  <c r="I2318" i="9"/>
  <c r="I1434" i="9"/>
  <c r="I1871" i="9"/>
  <c r="I2004" i="9"/>
  <c r="I2003" i="9"/>
  <c r="I1188" i="9"/>
  <c r="I1092" i="9"/>
  <c r="I1195" i="9"/>
  <c r="I1767" i="9"/>
  <c r="I1437" i="9"/>
  <c r="I1436" i="9"/>
  <c r="I1192" i="9"/>
  <c r="I1191" i="9"/>
  <c r="I1324" i="9"/>
  <c r="I1084" i="9"/>
  <c r="I1085" i="9"/>
  <c r="I1826" i="9"/>
  <c r="I1082" i="9"/>
  <c r="I1083" i="9"/>
  <c r="I543" i="9"/>
  <c r="I41" i="9"/>
  <c r="I542" i="9"/>
  <c r="I2123" i="9"/>
  <c r="I2126" i="9"/>
  <c r="I161" i="9"/>
  <c r="I2122" i="9"/>
  <c r="I2121" i="9"/>
  <c r="I2031" i="9"/>
  <c r="I212" i="9"/>
  <c r="I1532" i="9"/>
  <c r="I213" i="9"/>
  <c r="I214" i="9"/>
  <c r="I1531" i="9"/>
  <c r="I211" i="9"/>
  <c r="I18" i="9"/>
  <c r="I17" i="9"/>
  <c r="I2173" i="9"/>
  <c r="I2174" i="9"/>
  <c r="I283" i="9"/>
  <c r="I16" i="9"/>
  <c r="I44" i="9"/>
  <c r="I27" i="9"/>
  <c r="I30" i="9"/>
  <c r="I43" i="9"/>
  <c r="I15" i="9"/>
  <c r="I26" i="9"/>
  <c r="I29" i="9"/>
  <c r="I2144" i="9"/>
  <c r="I382" i="9"/>
  <c r="I1458" i="9"/>
  <c r="I1861" i="9"/>
  <c r="I2" i="9"/>
  <c r="I1901" i="9"/>
  <c r="I1900" i="9"/>
  <c r="I400" i="9"/>
  <c r="I148" i="9"/>
  <c r="I1448" i="9"/>
  <c r="I160" i="9"/>
  <c r="I31" i="9"/>
  <c r="I1825" i="9"/>
  <c r="I11" i="9"/>
  <c r="I87" i="9"/>
  <c r="I387" i="9"/>
  <c r="I413" i="9"/>
  <c r="I1896" i="9"/>
  <c r="I1895" i="9"/>
  <c r="I1894" i="9"/>
  <c r="I144" i="9"/>
  <c r="I1138" i="9"/>
  <c r="I676" i="9"/>
  <c r="I679" i="9"/>
  <c r="I678" i="9"/>
  <c r="I677" i="9"/>
  <c r="I1139" i="9"/>
  <c r="I90" i="9"/>
  <c r="I164" i="9"/>
  <c r="I1852" i="9"/>
  <c r="I1703" i="9"/>
  <c r="I1701" i="9"/>
  <c r="I1702" i="9"/>
  <c r="I162" i="9"/>
  <c r="I617" i="9"/>
  <c r="I215" i="9"/>
  <c r="I1810" i="9"/>
  <c r="I216" i="9"/>
  <c r="I2157" i="9"/>
  <c r="I375" i="9"/>
  <c r="I1006" i="9"/>
  <c r="I2324" i="9"/>
  <c r="I998" i="9"/>
  <c r="I872" i="9"/>
  <c r="I888" i="9"/>
  <c r="I976" i="9"/>
  <c r="I975" i="9"/>
  <c r="I955" i="9"/>
  <c r="I954" i="9"/>
  <c r="I928" i="9"/>
  <c r="I892" i="9"/>
  <c r="I2044" i="9"/>
  <c r="I2042" i="9"/>
  <c r="I1634" i="9"/>
  <c r="I1639" i="9"/>
  <c r="I1649" i="9"/>
  <c r="I1635" i="9"/>
  <c r="I1691" i="9"/>
  <c r="I1694" i="9"/>
  <c r="I1692" i="9"/>
  <c r="I1687" i="9"/>
  <c r="I923" i="9"/>
  <c r="I922" i="9"/>
  <c r="I921" i="9"/>
  <c r="I924" i="9"/>
  <c r="I920" i="9"/>
  <c r="I2039" i="9"/>
  <c r="I2037" i="9"/>
  <c r="I2038" i="9"/>
  <c r="I1648" i="9"/>
  <c r="I1637" i="9"/>
  <c r="I1642" i="9"/>
  <c r="I1644" i="9"/>
  <c r="I1636" i="9"/>
  <c r="I1647" i="9"/>
  <c r="I1693" i="9"/>
  <c r="I1688" i="9"/>
  <c r="I1690" i="9"/>
  <c r="I1689" i="9"/>
  <c r="I795" i="9"/>
  <c r="I794" i="9"/>
  <c r="I2326" i="9"/>
  <c r="I1009" i="9"/>
  <c r="I1002" i="9"/>
  <c r="I1001" i="9"/>
  <c r="I1008" i="9"/>
  <c r="I723" i="9"/>
  <c r="I86" i="9"/>
  <c r="I77" i="9"/>
  <c r="I80" i="9"/>
  <c r="I79" i="9"/>
  <c r="I2043" i="9"/>
  <c r="I2034" i="9"/>
  <c r="I1638" i="9"/>
  <c r="I1646" i="9"/>
  <c r="I1645" i="9"/>
  <c r="I798" i="9"/>
  <c r="I797" i="9"/>
  <c r="I796" i="9"/>
  <c r="I2329" i="9"/>
  <c r="I2328" i="9"/>
  <c r="I722" i="9"/>
  <c r="I1004" i="9"/>
  <c r="I1003" i="9"/>
  <c r="I725" i="9"/>
  <c r="I997" i="9"/>
  <c r="I724" i="9"/>
  <c r="I1007" i="9"/>
  <c r="I84" i="9"/>
  <c r="I78" i="9"/>
  <c r="I75" i="9"/>
  <c r="I81" i="9"/>
  <c r="I76" i="9"/>
  <c r="I2033" i="9"/>
  <c r="I2040" i="9"/>
  <c r="I2035" i="9"/>
  <c r="I2041" i="9"/>
  <c r="I2036" i="9"/>
  <c r="I1651" i="9"/>
  <c r="I1641" i="9"/>
  <c r="I1643" i="9"/>
  <c r="I1640" i="9"/>
  <c r="I1683" i="9"/>
  <c r="I1685" i="9"/>
  <c r="I799" i="9"/>
  <c r="I801" i="9"/>
  <c r="I800" i="9"/>
  <c r="I802" i="9"/>
  <c r="I2323" i="9"/>
  <c r="I2322" i="9"/>
  <c r="I864" i="9"/>
  <c r="I2327" i="9"/>
  <c r="I2325" i="9"/>
  <c r="I1000" i="9"/>
  <c r="I999" i="9"/>
  <c r="I1005" i="9"/>
  <c r="I85" i="9"/>
  <c r="I83" i="9"/>
  <c r="I82" i="9"/>
  <c r="I1625" i="9"/>
  <c r="I1624" i="9"/>
  <c r="I1620" i="9"/>
  <c r="I2319" i="9"/>
  <c r="I1627" i="9"/>
  <c r="I1619" i="9"/>
  <c r="I1623" i="9"/>
  <c r="I1621" i="9"/>
  <c r="I1633" i="9"/>
  <c r="I1674" i="9"/>
  <c r="I877" i="9"/>
  <c r="I876" i="9"/>
  <c r="I656" i="9"/>
  <c r="I957" i="9"/>
  <c r="I978" i="9"/>
  <c r="I983" i="9"/>
  <c r="I982" i="9"/>
  <c r="I980" i="9"/>
  <c r="I994" i="9"/>
  <c r="I990" i="9"/>
  <c r="I986" i="9"/>
  <c r="I984" i="9"/>
  <c r="I981" i="9"/>
  <c r="I979" i="9"/>
  <c r="I763" i="9"/>
  <c r="I2142" i="9"/>
  <c r="I2138" i="9"/>
  <c r="I1616" i="9"/>
  <c r="I1632" i="9"/>
  <c r="I1672" i="9"/>
  <c r="I1675" i="9"/>
  <c r="I1660" i="9"/>
  <c r="I1677" i="9"/>
  <c r="I1663" i="9"/>
  <c r="I1678" i="9"/>
  <c r="I1686" i="9"/>
  <c r="I1684" i="9"/>
  <c r="I885" i="9"/>
  <c r="I883" i="9"/>
  <c r="I879" i="9"/>
  <c r="I878" i="9"/>
  <c r="I870" i="9"/>
  <c r="I869" i="9"/>
  <c r="I868" i="9"/>
  <c r="I865" i="9"/>
  <c r="I871" i="9"/>
  <c r="I881" i="9"/>
  <c r="I887" i="9"/>
  <c r="I996" i="9"/>
  <c r="I988" i="9"/>
  <c r="I2139" i="9"/>
  <c r="I759" i="9"/>
  <c r="I2137" i="9"/>
  <c r="I1650" i="9"/>
  <c r="I1612" i="9"/>
  <c r="I1630" i="9"/>
  <c r="I1618" i="9"/>
  <c r="I2134" i="9"/>
  <c r="I1614" i="9"/>
  <c r="I1658" i="9"/>
  <c r="I1656" i="9"/>
  <c r="I1664" i="9"/>
  <c r="I1667" i="9"/>
  <c r="I1673" i="9"/>
  <c r="I1671" i="9"/>
  <c r="I1669" i="9"/>
  <c r="I1657" i="9"/>
  <c r="I1679" i="9"/>
  <c r="I867" i="9"/>
  <c r="I866" i="9"/>
  <c r="I875" i="9"/>
  <c r="I874" i="9"/>
  <c r="I882" i="9"/>
  <c r="I886" i="9"/>
  <c r="I880" i="9"/>
  <c r="I873" i="9"/>
  <c r="I963" i="9"/>
  <c r="I959" i="9"/>
  <c r="I958" i="9"/>
  <c r="I953" i="9"/>
  <c r="I972" i="9"/>
  <c r="I992" i="9"/>
  <c r="I977" i="9"/>
  <c r="I991" i="9"/>
  <c r="I989" i="9"/>
  <c r="I2141" i="9"/>
  <c r="I742" i="9"/>
  <c r="I748" i="9"/>
  <c r="I1611" i="9"/>
  <c r="I1631" i="9"/>
  <c r="I1629" i="9"/>
  <c r="I1628" i="9"/>
  <c r="I1867" i="9"/>
  <c r="I2071" i="9"/>
  <c r="I2079" i="9"/>
  <c r="I1670" i="9"/>
  <c r="I1659" i="9"/>
  <c r="I1655" i="9"/>
  <c r="I1665" i="9"/>
  <c r="I1668" i="9"/>
  <c r="I1666" i="9"/>
  <c r="I1653" i="9"/>
  <c r="I1661" i="9"/>
  <c r="I1654" i="9"/>
  <c r="I1676" i="9"/>
  <c r="I1680" i="9"/>
  <c r="I1681" i="9"/>
  <c r="I1682" i="9"/>
  <c r="I852" i="9"/>
  <c r="I884" i="9"/>
  <c r="I968" i="9"/>
  <c r="I987" i="9"/>
  <c r="I993" i="9"/>
  <c r="I565" i="9"/>
  <c r="I995" i="9"/>
  <c r="I985" i="9"/>
  <c r="I974" i="9"/>
  <c r="I769" i="9"/>
  <c r="I751" i="9"/>
  <c r="I746" i="9"/>
  <c r="I729" i="9"/>
  <c r="I2140" i="9"/>
  <c r="I767" i="9"/>
  <c r="I766" i="9"/>
  <c r="I1617" i="9"/>
  <c r="I1615" i="9"/>
  <c r="I1613" i="9"/>
  <c r="I1610" i="9"/>
  <c r="I1609" i="9"/>
  <c r="I1622" i="9"/>
  <c r="I1626" i="9"/>
  <c r="I2097" i="9"/>
  <c r="I2096" i="9"/>
  <c r="I1662" i="9"/>
  <c r="I1652" i="9"/>
  <c r="I805" i="9"/>
  <c r="I803" i="9"/>
  <c r="I861" i="9"/>
  <c r="I860" i="9"/>
  <c r="I857" i="9"/>
  <c r="I812" i="9"/>
  <c r="I859" i="9"/>
  <c r="I814" i="9"/>
  <c r="I938" i="9"/>
  <c r="I965" i="9"/>
  <c r="I970" i="9"/>
  <c r="I962" i="9"/>
  <c r="I754" i="9"/>
  <c r="I752" i="9"/>
  <c r="I749" i="9"/>
  <c r="I747" i="9"/>
  <c r="I745" i="9"/>
  <c r="I739" i="9"/>
  <c r="I738" i="9"/>
  <c r="I737" i="9"/>
  <c r="I735" i="9"/>
  <c r="I726" i="9"/>
  <c r="I761" i="9"/>
  <c r="I755" i="9"/>
  <c r="I758" i="9"/>
  <c r="I727" i="9"/>
  <c r="I756" i="9"/>
  <c r="I750" i="9"/>
  <c r="I407" i="9"/>
  <c r="I2065" i="9"/>
  <c r="I2082" i="9"/>
  <c r="I2089" i="9"/>
  <c r="I2087" i="9"/>
  <c r="I2083" i="9"/>
  <c r="I2073" i="9"/>
  <c r="I847" i="9"/>
  <c r="I811" i="9"/>
  <c r="I806" i="9"/>
  <c r="I813" i="9"/>
  <c r="I855" i="9"/>
  <c r="I851" i="9"/>
  <c r="I849" i="9"/>
  <c r="I817" i="9"/>
  <c r="I850" i="9"/>
  <c r="I862" i="9"/>
  <c r="I971" i="9"/>
  <c r="I964" i="9"/>
  <c r="I956" i="9"/>
  <c r="I973" i="9"/>
  <c r="I736" i="9"/>
  <c r="I730" i="9"/>
  <c r="I2136" i="9"/>
  <c r="I743" i="9"/>
  <c r="I744" i="9"/>
  <c r="I734" i="9"/>
  <c r="I733" i="9"/>
  <c r="I732" i="9"/>
  <c r="I731" i="9"/>
  <c r="I728" i="9"/>
  <c r="I760" i="9"/>
  <c r="I753" i="9"/>
  <c r="I2143" i="9"/>
  <c r="I741" i="9"/>
  <c r="I740" i="9"/>
  <c r="I49" i="9"/>
  <c r="I406" i="9"/>
  <c r="I2055" i="9"/>
  <c r="I2054" i="9"/>
  <c r="I2060" i="9"/>
  <c r="I2058" i="9"/>
  <c r="I405" i="9"/>
  <c r="I2069" i="9"/>
  <c r="I2088" i="9"/>
  <c r="I2086" i="9"/>
  <c r="I2084" i="9"/>
  <c r="I2098" i="9"/>
  <c r="I2093" i="9"/>
  <c r="I2090" i="9"/>
  <c r="I2078" i="9"/>
  <c r="I2092" i="9"/>
  <c r="I856" i="9"/>
  <c r="I810" i="9"/>
  <c r="I808" i="9"/>
  <c r="I807" i="9"/>
  <c r="I804" i="9"/>
  <c r="I848" i="9"/>
  <c r="I809" i="9"/>
  <c r="I816" i="9"/>
  <c r="I815" i="9"/>
  <c r="I939" i="9"/>
  <c r="I950" i="9"/>
  <c r="I949" i="9"/>
  <c r="I947" i="9"/>
  <c r="I946" i="9"/>
  <c r="I933" i="9"/>
  <c r="I967" i="9"/>
  <c r="I952" i="9"/>
  <c r="I951" i="9"/>
  <c r="I948" i="9"/>
  <c r="I966" i="9"/>
  <c r="I943" i="9"/>
  <c r="I937" i="9"/>
  <c r="I927" i="9"/>
  <c r="I969" i="9"/>
  <c r="I942" i="9"/>
  <c r="I48" i="9"/>
  <c r="I51" i="9"/>
  <c r="I50" i="9"/>
  <c r="I68" i="9"/>
  <c r="I2064" i="9"/>
  <c r="I2063" i="9"/>
  <c r="I2062" i="9"/>
  <c r="I2051" i="9"/>
  <c r="I2046" i="9"/>
  <c r="I2021" i="9"/>
  <c r="I2059" i="9"/>
  <c r="I2048" i="9"/>
  <c r="I2047" i="9"/>
  <c r="I2052" i="9"/>
  <c r="I2061" i="9"/>
  <c r="I2070" i="9"/>
  <c r="I2085" i="9"/>
  <c r="I2081" i="9"/>
  <c r="I2101" i="9"/>
  <c r="I2104" i="9"/>
  <c r="I2103" i="9"/>
  <c r="I2094" i="9"/>
  <c r="I2320" i="9"/>
  <c r="I2076" i="9"/>
  <c r="I845" i="9"/>
  <c r="I832" i="9"/>
  <c r="I830" i="9"/>
  <c r="I840" i="9"/>
  <c r="I858" i="9"/>
  <c r="I854" i="9"/>
  <c r="I773" i="9"/>
  <c r="I853" i="9"/>
  <c r="I936" i="9"/>
  <c r="I935" i="9"/>
  <c r="I932" i="9"/>
  <c r="I930" i="9"/>
  <c r="I944" i="9"/>
  <c r="I929" i="9"/>
  <c r="I961" i="9"/>
  <c r="I918" i="9"/>
  <c r="I931" i="9"/>
  <c r="I945" i="9"/>
  <c r="I941" i="9"/>
  <c r="I960" i="9"/>
  <c r="I926" i="9"/>
  <c r="I774" i="9"/>
  <c r="I46" i="9"/>
  <c r="I45" i="9"/>
  <c r="I65" i="9"/>
  <c r="I59" i="9"/>
  <c r="I56" i="9"/>
  <c r="I74" i="9"/>
  <c r="I61" i="9"/>
  <c r="I2045" i="9"/>
  <c r="I408" i="9"/>
  <c r="I402" i="9"/>
  <c r="I2056" i="9"/>
  <c r="I401" i="9"/>
  <c r="I2050" i="9"/>
  <c r="I2049" i="9"/>
  <c r="I404" i="9"/>
  <c r="I403" i="9"/>
  <c r="I2057" i="9"/>
  <c r="I2053" i="9"/>
  <c r="I2066" i="9"/>
  <c r="I2022" i="9"/>
  <c r="I2080" i="9"/>
  <c r="I2075" i="9"/>
  <c r="I2100" i="9"/>
  <c r="I2102" i="9"/>
  <c r="I2032" i="9"/>
  <c r="I2067" i="9"/>
  <c r="I2095" i="9"/>
  <c r="I2091" i="9"/>
  <c r="I2074" i="9"/>
  <c r="I2321" i="9"/>
  <c r="I2099" i="9"/>
  <c r="I833" i="9"/>
  <c r="I824" i="9"/>
  <c r="I826" i="9"/>
  <c r="I839" i="9"/>
  <c r="I838" i="9"/>
  <c r="I863" i="9"/>
  <c r="I831" i="9"/>
  <c r="I829" i="9"/>
  <c r="I828" i="9"/>
  <c r="I825" i="9"/>
  <c r="I846" i="9"/>
  <c r="I822" i="9"/>
  <c r="I915" i="9"/>
  <c r="I772" i="9"/>
  <c r="I913" i="9"/>
  <c r="I912" i="9"/>
  <c r="I911" i="9"/>
  <c r="I910" i="9"/>
  <c r="I896" i="9"/>
  <c r="I940" i="9"/>
  <c r="I934" i="9"/>
  <c r="I904" i="9"/>
  <c r="I925" i="9"/>
  <c r="I60" i="9"/>
  <c r="I58" i="9"/>
  <c r="I66" i="9"/>
  <c r="I64" i="9"/>
  <c r="I70" i="9"/>
  <c r="I69" i="9"/>
  <c r="I67" i="9"/>
  <c r="I71" i="9"/>
  <c r="I1975" i="9"/>
  <c r="I1968" i="9"/>
  <c r="I1979" i="9"/>
  <c r="I1973" i="9"/>
  <c r="I1970" i="9"/>
  <c r="I1980" i="9"/>
  <c r="I1971" i="9"/>
  <c r="I2077" i="9"/>
  <c r="I2072" i="9"/>
  <c r="I2068" i="9"/>
  <c r="I1408" i="9"/>
  <c r="I843" i="9"/>
  <c r="I837" i="9"/>
  <c r="I827" i="9"/>
  <c r="I842" i="9"/>
  <c r="I823" i="9"/>
  <c r="I821" i="9"/>
  <c r="I841" i="9"/>
  <c r="I836" i="9"/>
  <c r="I835" i="9"/>
  <c r="I2135" i="9"/>
  <c r="I903" i="9"/>
  <c r="I916" i="9"/>
  <c r="I905" i="9"/>
  <c r="I906" i="9"/>
  <c r="I919" i="9"/>
  <c r="I889" i="9"/>
  <c r="I907" i="9"/>
  <c r="I902" i="9"/>
  <c r="I900" i="9"/>
  <c r="I909" i="9"/>
  <c r="I47" i="9"/>
  <c r="I62" i="9"/>
  <c r="I52" i="9"/>
  <c r="I1969" i="9"/>
  <c r="I1974" i="9"/>
  <c r="I1972" i="9"/>
  <c r="I1967" i="9"/>
  <c r="I1978" i="9"/>
  <c r="I1977" i="9"/>
  <c r="I1976" i="9"/>
  <c r="I1407" i="9"/>
  <c r="I1406" i="9"/>
  <c r="I844" i="9"/>
  <c r="I820" i="9"/>
  <c r="I819" i="9"/>
  <c r="I818" i="9"/>
  <c r="I834" i="9"/>
  <c r="I917" i="9"/>
  <c r="I908" i="9"/>
  <c r="I914" i="9"/>
  <c r="I893" i="9"/>
  <c r="I898" i="9"/>
  <c r="I891" i="9"/>
  <c r="I890" i="9"/>
  <c r="I894" i="9"/>
  <c r="I899" i="9"/>
  <c r="I897" i="9"/>
  <c r="I895" i="9"/>
  <c r="I901" i="9"/>
  <c r="I55" i="9"/>
  <c r="I54" i="9"/>
  <c r="I53" i="9"/>
  <c r="I57" i="9"/>
  <c r="I73" i="9"/>
  <c r="I72" i="9"/>
  <c r="I63" i="9"/>
  <c r="I2020" i="9"/>
  <c r="I2019" i="9"/>
  <c r="I2016" i="9"/>
  <c r="I2015" i="9"/>
  <c r="I2014" i="9"/>
  <c r="I2018" i="9"/>
  <c r="I2010" i="9"/>
  <c r="I2017" i="9"/>
  <c r="I2012" i="9"/>
  <c r="I2011" i="9"/>
  <c r="I2013" i="9"/>
  <c r="I34" i="9"/>
  <c r="I143" i="9"/>
  <c r="I9" i="9"/>
  <c r="I136" i="9"/>
  <c r="I137" i="9"/>
  <c r="I142" i="9"/>
  <c r="I32" i="9"/>
  <c r="I33" i="9"/>
  <c r="I141" i="9"/>
  <c r="I8" i="9"/>
  <c r="I91" i="9"/>
  <c r="I140" i="9"/>
  <c r="I139" i="9"/>
  <c r="I138" i="9"/>
  <c r="I135" i="9"/>
  <c r="I770" i="9"/>
  <c r="I1815" i="9"/>
  <c r="I1447" i="9"/>
  <c r="I1446" i="9"/>
  <c r="I378" i="9"/>
  <c r="I377" i="9"/>
  <c r="I374" i="9"/>
  <c r="I165" i="9"/>
  <c r="I1706" i="9"/>
  <c r="I1873" i="9"/>
  <c r="I1872" i="9"/>
  <c r="I2229" i="9"/>
  <c r="I40" i="9"/>
  <c r="I674" i="9"/>
  <c r="I1946" i="9"/>
  <c r="I39" i="9"/>
  <c r="I529" i="9"/>
  <c r="I1945" i="9"/>
  <c r="I2314" i="9"/>
  <c r="I157" i="9"/>
  <c r="I38" i="9"/>
  <c r="I1808" i="9"/>
  <c r="I1997" i="9"/>
  <c r="I1998" i="9"/>
  <c r="I1775" i="9"/>
  <c r="I1785" i="9"/>
  <c r="I545" i="9"/>
  <c r="I522" i="9"/>
  <c r="I456" i="9"/>
  <c r="I1988" i="9"/>
  <c r="I1987" i="9"/>
  <c r="I2002" i="9"/>
  <c r="I1996" i="9"/>
  <c r="I1994" i="9"/>
  <c r="I1776" i="9"/>
  <c r="I1780" i="9"/>
  <c r="I1782" i="9"/>
  <c r="I1778" i="9"/>
  <c r="I1709" i="9"/>
  <c r="I675" i="9"/>
  <c r="I541" i="9"/>
  <c r="I452" i="9"/>
  <c r="I1995" i="9"/>
  <c r="I1989" i="9"/>
  <c r="I1986" i="9"/>
  <c r="I1707" i="9"/>
  <c r="I1705" i="9"/>
  <c r="I454" i="9"/>
  <c r="I453" i="9"/>
  <c r="I455" i="9"/>
  <c r="I1817" i="9"/>
  <c r="I1985" i="9"/>
  <c r="I1807" i="9"/>
  <c r="I1983" i="9"/>
  <c r="I1999" i="9"/>
  <c r="I1991" i="9"/>
  <c r="I1984" i="9"/>
  <c r="I2001" i="9"/>
  <c r="I1990" i="9"/>
  <c r="I1993" i="9"/>
  <c r="I2106" i="9"/>
  <c r="I1773" i="9"/>
  <c r="I1887" i="9"/>
  <c r="I1781" i="9"/>
  <c r="I1784" i="9"/>
  <c r="I1783" i="9"/>
  <c r="I1786" i="9"/>
  <c r="I1093" i="9"/>
  <c r="I1480" i="9"/>
  <c r="I1483" i="9"/>
  <c r="I1708" i="9"/>
  <c r="I1704" i="9"/>
  <c r="I540" i="9"/>
  <c r="I2000" i="9"/>
  <c r="I1982" i="9"/>
  <c r="I1992" i="9"/>
  <c r="I1779" i="9"/>
  <c r="I1774" i="9"/>
  <c r="I1888" i="9"/>
  <c r="I1886" i="9"/>
  <c r="I1777" i="9"/>
  <c r="I1482" i="9"/>
  <c r="I1094" i="9"/>
  <c r="I1091" i="9"/>
  <c r="I1481" i="9"/>
  <c r="I1404" i="9"/>
  <c r="I176" i="9"/>
  <c r="I1981" i="9"/>
  <c r="I633" i="9"/>
  <c r="I2156" i="9"/>
  <c r="I460" i="9"/>
  <c r="I458" i="9"/>
  <c r="I1831" i="9"/>
  <c r="I1870" i="9"/>
  <c r="I564" i="9"/>
  <c r="I563" i="9"/>
  <c r="I319" i="9"/>
  <c r="I318" i="9"/>
  <c r="I1850" i="9"/>
  <c r="I1868" i="9"/>
  <c r="I1869" i="9"/>
  <c r="I1118" i="9"/>
  <c r="I1122" i="9"/>
  <c r="I1125" i="9"/>
  <c r="I321" i="9"/>
  <c r="I320" i="9"/>
  <c r="I1845" i="9"/>
  <c r="I1128" i="9"/>
  <c r="I1127" i="9"/>
  <c r="I1123" i="9"/>
  <c r="I1121" i="9"/>
  <c r="I1119" i="9"/>
  <c r="I1120" i="9"/>
  <c r="I1117" i="9"/>
  <c r="I1116" i="9"/>
  <c r="I1115" i="9"/>
  <c r="I1131" i="9"/>
  <c r="I1130" i="9"/>
  <c r="I1129" i="9"/>
  <c r="I1457" i="9"/>
  <c r="I1456" i="9"/>
  <c r="I557" i="9"/>
  <c r="I553" i="9"/>
  <c r="I555" i="9"/>
  <c r="I196" i="9"/>
  <c r="I1846" i="9"/>
  <c r="I1847" i="9"/>
  <c r="I1849" i="9"/>
  <c r="I1132" i="9"/>
  <c r="I1126" i="9"/>
  <c r="I552" i="9"/>
  <c r="I561" i="9"/>
  <c r="I554" i="9"/>
  <c r="I1822" i="9"/>
  <c r="I1836" i="9"/>
  <c r="I1841" i="9"/>
  <c r="I1455" i="9"/>
  <c r="I1454" i="9"/>
  <c r="I1113" i="9"/>
  <c r="I1114" i="9"/>
  <c r="I1112" i="9"/>
  <c r="I1124" i="9"/>
  <c r="I550" i="9"/>
  <c r="I549" i="9"/>
  <c r="I548" i="9"/>
  <c r="I556" i="9"/>
  <c r="I562" i="9"/>
  <c r="I1848" i="9"/>
  <c r="I1844" i="9"/>
  <c r="I1843" i="9"/>
  <c r="I1101" i="9"/>
  <c r="I1100" i="9"/>
  <c r="I1096" i="9"/>
  <c r="I551" i="9"/>
  <c r="I559" i="9"/>
  <c r="I558" i="9"/>
  <c r="I1842" i="9"/>
  <c r="I1837" i="9"/>
  <c r="I1840" i="9"/>
  <c r="I1839" i="9"/>
  <c r="I1838" i="9"/>
  <c r="I1102" i="9"/>
  <c r="I1098" i="9"/>
  <c r="I1109" i="9"/>
  <c r="I1104" i="9"/>
  <c r="I1451" i="9"/>
  <c r="I1110" i="9"/>
  <c r="I1449" i="9"/>
  <c r="I461" i="9"/>
  <c r="I547" i="9"/>
  <c r="I560" i="9"/>
  <c r="I546" i="9"/>
  <c r="I193" i="9"/>
  <c r="I194" i="9"/>
  <c r="I195" i="9"/>
  <c r="I1935" i="9"/>
  <c r="I1099" i="9"/>
  <c r="I1108" i="9"/>
  <c r="I1111" i="9"/>
  <c r="I1097" i="9"/>
  <c r="I1103" i="9"/>
  <c r="I1107" i="9"/>
  <c r="I1450" i="9"/>
  <c r="I658" i="9"/>
  <c r="I317" i="9"/>
  <c r="I1931" i="9"/>
  <c r="I1105" i="9"/>
  <c r="I1106" i="9"/>
  <c r="I659" i="9"/>
  <c r="I459" i="9"/>
  <c r="I457" i="9"/>
  <c r="I462" i="9"/>
  <c r="I1933" i="9"/>
  <c r="I1932" i="9"/>
  <c r="I1929" i="9"/>
  <c r="I1934" i="9"/>
  <c r="I1473" i="9"/>
  <c r="I2179" i="9"/>
  <c r="I657" i="9"/>
  <c r="I663" i="9"/>
  <c r="I661" i="9"/>
  <c r="I1922" i="9"/>
  <c r="I1069" i="9"/>
  <c r="I2196" i="9"/>
  <c r="I1855" i="9"/>
  <c r="I1885" i="9"/>
  <c r="I1926" i="9"/>
  <c r="I1925" i="9"/>
  <c r="I1472" i="9"/>
  <c r="I1477" i="9"/>
  <c r="I1476" i="9"/>
  <c r="I2183" i="9"/>
  <c r="I2181" i="9"/>
  <c r="I2178" i="9"/>
  <c r="I2198" i="9"/>
  <c r="I2194" i="9"/>
  <c r="I2190" i="9"/>
  <c r="I2192" i="9"/>
  <c r="I2191" i="9"/>
  <c r="I2145" i="9"/>
  <c r="I2197" i="9"/>
  <c r="I2195" i="9"/>
  <c r="I2149" i="9"/>
  <c r="I1930" i="9"/>
  <c r="I1833" i="9"/>
  <c r="I1924" i="9"/>
  <c r="I1923" i="9"/>
  <c r="I1920" i="9"/>
  <c r="I1475" i="9"/>
  <c r="I1474" i="9"/>
  <c r="I1479" i="9"/>
  <c r="I1478" i="9"/>
  <c r="I1068" i="9"/>
  <c r="I2176" i="9"/>
  <c r="I2175" i="9"/>
  <c r="I660" i="9"/>
  <c r="I2182" i="9"/>
  <c r="I2177" i="9"/>
  <c r="I2147" i="9"/>
  <c r="I2146" i="9"/>
  <c r="I2189" i="9"/>
  <c r="I1927" i="9"/>
  <c r="I1921" i="9"/>
  <c r="I1854" i="9"/>
  <c r="I1856" i="9"/>
  <c r="I1928" i="9"/>
  <c r="I1942" i="9"/>
  <c r="I654" i="9"/>
  <c r="I653" i="9"/>
  <c r="I652" i="9"/>
  <c r="I650" i="9"/>
  <c r="I651" i="9"/>
  <c r="I2180" i="9"/>
  <c r="I2193" i="9"/>
  <c r="I311" i="9"/>
  <c r="I310" i="9"/>
  <c r="I1835" i="9"/>
  <c r="I1944" i="9"/>
  <c r="I1943" i="9"/>
  <c r="I1940" i="9"/>
  <c r="I1941" i="9"/>
  <c r="I655" i="9"/>
  <c r="I649" i="9"/>
  <c r="I175" i="9"/>
  <c r="I174" i="9"/>
  <c r="I313" i="9"/>
  <c r="I312" i="9"/>
  <c r="I315" i="9"/>
  <c r="I314" i="9"/>
  <c r="I282" i="9"/>
  <c r="I412" i="9"/>
  <c r="I411" i="9"/>
  <c r="I42" i="9"/>
  <c r="I24" i="9"/>
  <c r="I23" i="9"/>
  <c r="I21" i="9"/>
  <c r="I279" i="9"/>
  <c r="I277" i="9"/>
  <c r="I368" i="9"/>
  <c r="I25" i="9"/>
  <c r="I22" i="9"/>
  <c r="I1811" i="9"/>
  <c r="I278" i="9"/>
  <c r="I367" i="9"/>
  <c r="I1137" i="9"/>
  <c r="I1759" i="9"/>
  <c r="I467" i="9"/>
  <c r="I465" i="9"/>
  <c r="I466" i="9"/>
  <c r="I1756" i="9"/>
  <c r="I1755" i="9"/>
  <c r="I1757" i="9"/>
  <c r="I88" i="9"/>
  <c r="I1809" i="9"/>
  <c r="I1758" i="9"/>
  <c r="I535" i="9"/>
  <c r="I534" i="9"/>
  <c r="I533" i="9"/>
  <c r="I1062" i="9"/>
  <c r="I717" i="9"/>
  <c r="I373" i="9"/>
  <c r="I7" i="9"/>
  <c r="I5" i="9"/>
  <c r="I300" i="9"/>
  <c r="I372" i="9"/>
  <c r="I536" i="9"/>
  <c r="I2124" i="9"/>
  <c r="I386" i="9"/>
  <c r="I414" i="9"/>
  <c r="I2184" i="9"/>
  <c r="I302" i="9"/>
  <c r="I1061" i="9"/>
  <c r="I1059" i="9"/>
  <c r="I1054" i="9"/>
  <c r="I1203" i="9"/>
  <c r="I520" i="9"/>
  <c r="I298" i="9"/>
  <c r="I304" i="9"/>
  <c r="I299" i="9"/>
  <c r="I301" i="9"/>
  <c r="I1765" i="9"/>
  <c r="I1763" i="9"/>
  <c r="I2009" i="9"/>
  <c r="I1060" i="9"/>
  <c r="I1199" i="9"/>
  <c r="I1197" i="9"/>
  <c r="I1201" i="9"/>
  <c r="I525" i="9"/>
  <c r="I524" i="9"/>
  <c r="I528" i="9"/>
  <c r="I721" i="9"/>
  <c r="I530" i="9"/>
  <c r="I527" i="9"/>
  <c r="I307" i="9"/>
  <c r="I306" i="9"/>
  <c r="I1769" i="9"/>
  <c r="I1766" i="9"/>
  <c r="I1057" i="9"/>
  <c r="I1200" i="9"/>
  <c r="I1198" i="9"/>
  <c r="I1196" i="9"/>
  <c r="I1194" i="9"/>
  <c r="I1193" i="9"/>
  <c r="I720" i="9"/>
  <c r="I519" i="9"/>
  <c r="I1058" i="9"/>
  <c r="I1710" i="9"/>
  <c r="I521" i="9"/>
  <c r="I523" i="9"/>
  <c r="I1790" i="9"/>
  <c r="I1789" i="9"/>
  <c r="I531" i="9"/>
  <c r="I1791" i="9"/>
  <c r="I1919" i="9"/>
  <c r="I2228" i="9"/>
  <c r="I2227" i="9"/>
  <c r="I625" i="9"/>
  <c r="I1795" i="9"/>
  <c r="I1788" i="9"/>
  <c r="I217" i="9"/>
  <c r="I2165" i="9"/>
  <c r="I2222" i="9"/>
  <c r="I2166" i="9"/>
  <c r="I2225" i="9"/>
  <c r="I629" i="9"/>
  <c r="I526" i="9"/>
  <c r="I624" i="9"/>
  <c r="I628" i="9"/>
  <c r="I623" i="9"/>
  <c r="I627" i="9"/>
  <c r="I1793" i="9"/>
  <c r="I1792" i="9"/>
  <c r="I1796" i="9"/>
  <c r="I2224" i="9"/>
  <c r="I2162" i="9"/>
  <c r="I2160" i="9"/>
  <c r="I2226" i="9"/>
  <c r="I1787" i="9"/>
  <c r="I1794" i="9"/>
  <c r="I2223" i="9"/>
  <c r="I2163" i="9"/>
  <c r="I2161" i="9"/>
  <c r="I2159" i="9"/>
  <c r="I2158" i="9"/>
  <c r="I2164" i="9"/>
  <c r="I621" i="9"/>
  <c r="I626" i="9"/>
  <c r="I620" i="9"/>
  <c r="I622" i="9"/>
  <c r="I1797" i="9"/>
  <c r="I1075" i="9"/>
  <c r="I515" i="9"/>
  <c r="I1426" i="9"/>
  <c r="I1425" i="9"/>
  <c r="I1077" i="9"/>
  <c r="I1073" i="9"/>
  <c r="I1072" i="9"/>
  <c r="I518" i="9"/>
  <c r="I516" i="9"/>
  <c r="I517" i="9"/>
  <c r="I1803" i="9"/>
  <c r="I1071" i="9"/>
  <c r="I1076" i="9"/>
  <c r="I1074" i="9"/>
  <c r="I1802" i="9"/>
  <c r="I606" i="9"/>
  <c r="I1453" i="9"/>
  <c r="I611" i="9"/>
  <c r="I604" i="9"/>
  <c r="I614" i="9"/>
  <c r="I1937" i="9"/>
  <c r="I1424" i="9"/>
  <c r="I1423" i="9"/>
  <c r="I1422" i="9"/>
  <c r="I1421" i="9"/>
  <c r="I1452" i="9"/>
  <c r="I603" i="9"/>
  <c r="I1420" i="9"/>
  <c r="I776" i="9"/>
  <c r="I1936" i="9"/>
  <c r="I599" i="9"/>
  <c r="I601" i="9"/>
  <c r="I610" i="9"/>
  <c r="I615" i="9"/>
  <c r="I613" i="9"/>
  <c r="I608" i="9"/>
  <c r="I777" i="9"/>
  <c r="I1801" i="9"/>
  <c r="I1800" i="9"/>
  <c r="I1799" i="9"/>
  <c r="I1798" i="9"/>
  <c r="I600" i="9"/>
  <c r="I612" i="9"/>
  <c r="I609" i="9"/>
  <c r="I605" i="9"/>
  <c r="I616" i="9"/>
  <c r="I607" i="9"/>
  <c r="I602" i="9"/>
  <c r="I201" i="9"/>
  <c r="I202" i="9"/>
  <c r="I188" i="9"/>
  <c r="I1095" i="9"/>
  <c r="I1832" i="9"/>
  <c r="I1467" i="9"/>
  <c r="I1443" i="9"/>
  <c r="I1466" i="9"/>
  <c r="I1468" i="9"/>
  <c r="I1471" i="9"/>
  <c r="I1470" i="9"/>
  <c r="I1070" i="9"/>
  <c r="I1469" i="9"/>
  <c r="I173" i="9"/>
  <c r="I1501" i="9"/>
  <c r="I172" i="9"/>
  <c r="I1502" i="9"/>
  <c r="I260" i="9"/>
  <c r="I2187" i="9"/>
  <c r="I1444" i="9"/>
  <c r="I1445" i="9"/>
  <c r="I1505" i="9"/>
  <c r="I1504" i="9"/>
  <c r="I1497" i="9"/>
  <c r="I261" i="9"/>
  <c r="I2188" i="9"/>
  <c r="I2148" i="9"/>
  <c r="I259" i="9"/>
  <c r="I258" i="9"/>
  <c r="I2186" i="9"/>
  <c r="I198" i="9"/>
  <c r="I1494" i="9"/>
  <c r="I1506" i="9"/>
  <c r="I1496" i="9"/>
  <c r="I1503" i="9"/>
  <c r="I171" i="9"/>
  <c r="I1499" i="9"/>
  <c r="I206" i="9"/>
  <c r="I1441" i="9"/>
  <c r="I1439" i="9"/>
  <c r="I1903" i="9"/>
  <c r="I1464" i="9"/>
  <c r="I1442" i="9"/>
  <c r="I1462" i="9"/>
  <c r="I1463" i="9"/>
  <c r="I1465" i="9"/>
  <c r="I1495" i="9"/>
  <c r="I167" i="9"/>
  <c r="I1490" i="9"/>
  <c r="I1489" i="9"/>
  <c r="I1487" i="9"/>
  <c r="I166" i="9"/>
  <c r="I1498" i="9"/>
  <c r="I1493" i="9"/>
  <c r="I1492" i="9"/>
  <c r="I170" i="9"/>
  <c r="I169" i="9"/>
  <c r="I1500" i="9"/>
  <c r="I1491" i="9"/>
  <c r="I168" i="9"/>
  <c r="I204" i="9"/>
  <c r="I205" i="9"/>
  <c r="I449" i="9"/>
  <c r="I1461" i="9"/>
  <c r="I1460" i="9"/>
  <c r="I1459" i="9"/>
  <c r="I1907" i="9"/>
  <c r="I1906" i="9"/>
  <c r="I1440" i="9"/>
  <c r="I1905" i="9"/>
  <c r="I2168" i="9"/>
  <c r="I2171" i="9"/>
  <c r="I1488" i="9"/>
  <c r="I199" i="9"/>
  <c r="I463" i="9"/>
  <c r="I771" i="9"/>
  <c r="I1909" i="9"/>
  <c r="I1902" i="9"/>
  <c r="I1938" i="9"/>
  <c r="I1908" i="9"/>
  <c r="I2170" i="9"/>
  <c r="I2172" i="9"/>
  <c r="I200" i="9"/>
  <c r="I2133" i="9"/>
  <c r="I1939" i="9"/>
  <c r="I1904" i="9"/>
  <c r="I1910" i="9"/>
  <c r="I1135" i="9"/>
  <c r="I670" i="9"/>
  <c r="I669" i="9"/>
  <c r="I668" i="9"/>
  <c r="I673" i="9"/>
  <c r="I637" i="9"/>
  <c r="I671" i="9"/>
  <c r="I2169" i="9"/>
  <c r="I203" i="9"/>
  <c r="I2151" i="9"/>
  <c r="I2155" i="9"/>
  <c r="I692" i="9"/>
  <c r="I691" i="9"/>
  <c r="I2150" i="9"/>
  <c r="I2153" i="9"/>
  <c r="I1834" i="9"/>
  <c r="I1134" i="9"/>
  <c r="I1859" i="9"/>
  <c r="I672" i="9"/>
  <c r="I2167" i="9"/>
  <c r="I647" i="9"/>
  <c r="I191" i="9"/>
  <c r="I648" i="9"/>
  <c r="I183" i="9"/>
  <c r="I187" i="9"/>
  <c r="I189" i="9"/>
  <c r="I690" i="9"/>
  <c r="I1136" i="9"/>
  <c r="I1133" i="9"/>
  <c r="I2154" i="9"/>
  <c r="I1860" i="9"/>
  <c r="I190" i="9"/>
  <c r="I185" i="9"/>
  <c r="I688" i="9"/>
  <c r="I2152" i="9"/>
  <c r="I220" i="9"/>
  <c r="I1857" i="9"/>
  <c r="I1851" i="9"/>
  <c r="I186" i="9"/>
  <c r="I1858" i="9"/>
  <c r="I177" i="9"/>
  <c r="I181" i="9"/>
  <c r="I178" i="9"/>
  <c r="I684" i="9"/>
  <c r="I667" i="9"/>
  <c r="I686" i="9"/>
  <c r="I685" i="9"/>
  <c r="I689" i="9"/>
  <c r="I1818" i="9"/>
  <c r="I1950" i="9"/>
  <c r="I1952" i="9"/>
  <c r="I1951" i="9"/>
  <c r="I218" i="9"/>
  <c r="I221" i="9"/>
  <c r="I182" i="9"/>
  <c r="I683" i="9"/>
  <c r="I681" i="9"/>
  <c r="I682" i="9"/>
  <c r="I537" i="9"/>
  <c r="I680" i="9"/>
  <c r="I687" i="9"/>
  <c r="I1953" i="9"/>
  <c r="I219" i="9"/>
  <c r="I1484" i="9"/>
  <c r="I645" i="9"/>
  <c r="I180" i="9"/>
  <c r="I646" i="9"/>
  <c r="I184" i="9"/>
  <c r="I1819" i="9"/>
  <c r="I1949" i="9"/>
  <c r="I1820" i="9"/>
  <c r="I1764" i="9"/>
  <c r="I631" i="9"/>
  <c r="I630" i="9"/>
  <c r="I1485" i="9"/>
  <c r="I644" i="9"/>
  <c r="I179" i="9"/>
  <c r="I4" i="9"/>
  <c r="I3" i="9"/>
  <c r="I322" i="9"/>
  <c r="I1090" i="9"/>
  <c r="I1762" i="9"/>
  <c r="I1760" i="9"/>
  <c r="I1771" i="9"/>
  <c r="I1761" i="9"/>
  <c r="I719" i="9"/>
  <c r="I1866" i="9"/>
  <c r="I379" i="9"/>
  <c r="I380" i="9"/>
  <c r="I376" i="9"/>
  <c r="I1865" i="9"/>
  <c r="I1864" i="9"/>
  <c r="I2105" i="9"/>
  <c r="I718" i="9"/>
  <c r="I1806" i="9"/>
  <c r="I197" i="9"/>
  <c r="I2111" i="9"/>
  <c r="I2107" i="9"/>
  <c r="I2108" i="9"/>
  <c r="I2109" i="9"/>
  <c r="I1812" i="9"/>
  <c r="I1202" i="9"/>
  <c r="I2113" i="9"/>
  <c r="I1265" i="9"/>
  <c r="I392" i="9"/>
  <c r="I384" i="9"/>
  <c r="I2114" i="9"/>
  <c r="I632" i="9"/>
  <c r="I1486" i="9"/>
  <c r="I393" i="9"/>
  <c r="I634" i="9"/>
  <c r="I383" i="9"/>
  <c r="I1266" i="9"/>
  <c r="I539" i="9"/>
  <c r="I538" i="9"/>
  <c r="I153" i="9"/>
  <c r="I154" i="9"/>
  <c r="I410" i="9"/>
  <c r="I6" i="9"/>
  <c r="I2216" i="9"/>
  <c r="I2210" i="9"/>
  <c r="I2215" i="9"/>
  <c r="I2211" i="9"/>
  <c r="I2212" i="9"/>
  <c r="I2217" i="9"/>
  <c r="I2219" i="9"/>
  <c r="I2206" i="9"/>
  <c r="I2205" i="9"/>
  <c r="I2203" i="9"/>
  <c r="I2208" i="9"/>
  <c r="I2213" i="9"/>
  <c r="I2221" i="9"/>
  <c r="I2220" i="9"/>
  <c r="I2207" i="9"/>
  <c r="I2204" i="9"/>
  <c r="I2209" i="9"/>
  <c r="I2214" i="9"/>
  <c r="I780" i="9"/>
  <c r="I2218" i="9"/>
  <c r="I1403" i="9"/>
  <c r="I643" i="9"/>
  <c r="I1067" i="9"/>
  <c r="I642" i="9"/>
  <c r="I1824" i="9"/>
  <c r="I641" i="9"/>
  <c r="I640" i="9"/>
  <c r="I1830" i="9"/>
  <c r="I1823" i="9"/>
  <c r="I1821" i="9"/>
  <c r="I636" i="9"/>
  <c r="I1816" i="9"/>
  <c r="I1918" i="9"/>
  <c r="I635" i="9"/>
  <c r="I638" i="9"/>
  <c r="I639" i="9"/>
  <c r="I1916" i="9"/>
  <c r="I666" i="9"/>
  <c r="I1917" i="9"/>
  <c r="I665" i="9"/>
  <c r="I662" i="9"/>
  <c r="I1913" i="9"/>
  <c r="I397" i="9"/>
  <c r="I398" i="9"/>
  <c r="I664" i="9"/>
  <c r="I1828" i="9"/>
  <c r="I1829" i="9"/>
  <c r="I2008" i="9"/>
  <c r="I1914" i="9"/>
  <c r="I399" i="9"/>
  <c r="I1827" i="9"/>
  <c r="I1915" i="9"/>
  <c r="I1911" i="9"/>
  <c r="I1912" i="9"/>
  <c r="I396" i="9"/>
  <c r="I394" i="9"/>
  <c r="I395" i="9"/>
  <c r="I12" i="9"/>
  <c r="I13" i="9"/>
  <c r="I14" i="9"/>
  <c r="I37" i="9"/>
  <c r="I163" i="9"/>
  <c r="I598" i="9"/>
  <c r="I597" i="9"/>
  <c r="I2119" i="9"/>
  <c r="I2117" i="9"/>
  <c r="I1813" i="9"/>
  <c r="I2118" i="9"/>
  <c r="I2116" i="9"/>
  <c r="I1814" i="9"/>
  <c r="I2120" i="9"/>
  <c r="I2005" i="9"/>
  <c r="I145" i="9"/>
  <c r="I1435" i="9"/>
  <c r="I155" i="9"/>
  <c r="I156" i="9"/>
  <c r="I10" i="9"/>
  <c r="I2286" i="9"/>
  <c r="I1750" i="9"/>
  <c r="I2287" i="9"/>
  <c r="I2231" i="9"/>
  <c r="I1723" i="9"/>
  <c r="I1712" i="9"/>
  <c r="I1743" i="9"/>
  <c r="I1721" i="9"/>
  <c r="I1715" i="9"/>
  <c r="I1043" i="9"/>
  <c r="I1714" i="9"/>
  <c r="I1527" i="9"/>
  <c r="I1015" i="9"/>
  <c r="I1019" i="9"/>
  <c r="I2200" i="9"/>
  <c r="I1046" i="9"/>
  <c r="I1037" i="9"/>
  <c r="I344" i="9"/>
  <c r="I325" i="9"/>
  <c r="I2029" i="9"/>
  <c r="I2027" i="9"/>
  <c r="I2030" i="9"/>
  <c r="I1754" i="9"/>
  <c r="I1598" i="9"/>
  <c r="I2268" i="9"/>
  <c r="I1601" i="9"/>
  <c r="I1600" i="9"/>
  <c r="I1599" i="9"/>
  <c r="I1608" i="9"/>
  <c r="I1603" i="9"/>
  <c r="I1606" i="9"/>
  <c r="I1605" i="9"/>
  <c r="I364" i="9"/>
  <c r="I363" i="9"/>
  <c r="I249" i="9"/>
  <c r="I2026" i="9"/>
  <c r="I1594" i="9"/>
  <c r="I1584" i="9"/>
  <c r="I1593" i="9"/>
  <c r="I1591" i="9"/>
  <c r="I1596" i="9"/>
  <c r="I1595" i="9"/>
  <c r="I1741" i="9"/>
  <c r="I1753" i="9"/>
  <c r="I2285" i="9"/>
  <c r="I1607" i="9"/>
  <c r="I1604" i="9"/>
  <c r="I297" i="9"/>
  <c r="I362" i="9"/>
  <c r="I255" i="9"/>
  <c r="I248" i="9"/>
  <c r="I246" i="9"/>
  <c r="I257" i="9"/>
  <c r="I254" i="9"/>
  <c r="I2028" i="9"/>
  <c r="I1577" i="9"/>
  <c r="I1772" i="9"/>
  <c r="I1597" i="9"/>
  <c r="I1745" i="9"/>
  <c r="I1738" i="9"/>
  <c r="I1744" i="9"/>
  <c r="I1722" i="9"/>
  <c r="I1720" i="9"/>
  <c r="I1752" i="9"/>
  <c r="I2288" i="9"/>
  <c r="I354" i="9"/>
  <c r="I245" i="9"/>
  <c r="I244" i="9"/>
  <c r="I253" i="9"/>
  <c r="I1579" i="9"/>
  <c r="I1583" i="9"/>
  <c r="I1580" i="9"/>
  <c r="I2230" i="9"/>
  <c r="I1728" i="9"/>
  <c r="I1711" i="9"/>
  <c r="I1740" i="9"/>
  <c r="I1729" i="9"/>
  <c r="I1749" i="9"/>
  <c r="I2293" i="9"/>
  <c r="I2292" i="9"/>
  <c r="I2290" i="9"/>
  <c r="I2294" i="9"/>
  <c r="I356" i="9"/>
  <c r="I353" i="9"/>
  <c r="I256" i="9"/>
  <c r="I252" i="9"/>
  <c r="I247" i="9"/>
  <c r="I1588" i="9"/>
  <c r="I1587" i="9"/>
  <c r="I1586" i="9"/>
  <c r="I1590" i="9"/>
  <c r="I1571" i="9"/>
  <c r="I1572" i="9"/>
  <c r="I1582" i="9"/>
  <c r="I1581" i="9"/>
  <c r="I1718" i="9"/>
  <c r="I1748" i="9"/>
  <c r="I2284" i="9"/>
  <c r="I2282" i="9"/>
  <c r="I2280" i="9"/>
  <c r="I2273" i="9"/>
  <c r="I2289" i="9"/>
  <c r="I2277" i="9"/>
  <c r="I2276" i="9"/>
  <c r="I294" i="9"/>
  <c r="I357" i="9"/>
  <c r="I355" i="9"/>
  <c r="I360" i="9"/>
  <c r="I361" i="9"/>
  <c r="I359" i="9"/>
  <c r="I351" i="9"/>
  <c r="I352" i="9"/>
  <c r="I350" i="9"/>
  <c r="I348" i="9"/>
  <c r="I347" i="9"/>
  <c r="I346" i="9"/>
  <c r="I250" i="9"/>
  <c r="I251" i="9"/>
  <c r="I1569" i="9"/>
  <c r="I1731" i="9"/>
  <c r="I1730" i="9"/>
  <c r="I1726" i="9"/>
  <c r="I1742" i="9"/>
  <c r="I1736" i="9"/>
  <c r="I1733" i="9"/>
  <c r="I1724" i="9"/>
  <c r="I1747" i="9"/>
  <c r="I1727" i="9"/>
  <c r="I2283" i="9"/>
  <c r="I2274" i="9"/>
  <c r="I2281" i="9"/>
  <c r="I291" i="9"/>
  <c r="I295" i="9"/>
  <c r="I292" i="9"/>
  <c r="I285" i="9"/>
  <c r="I358" i="9"/>
  <c r="I36" i="9"/>
  <c r="I1592" i="9"/>
  <c r="I1589" i="9"/>
  <c r="I1585" i="9"/>
  <c r="I1576" i="9"/>
  <c r="I1575" i="9"/>
  <c r="I1573" i="9"/>
  <c r="I1716" i="9"/>
  <c r="I1746" i="9"/>
  <c r="I1739" i="9"/>
  <c r="I1751" i="9"/>
  <c r="I2272" i="9"/>
  <c r="I2291" i="9"/>
  <c r="I289" i="9"/>
  <c r="I286" i="9"/>
  <c r="I1053" i="9"/>
  <c r="I240" i="9"/>
  <c r="I242" i="9"/>
  <c r="I349" i="9"/>
  <c r="I345" i="9"/>
  <c r="I1574" i="9"/>
  <c r="I1570" i="9"/>
  <c r="I1578" i="9"/>
  <c r="I1568" i="9"/>
  <c r="I1955" i="9"/>
  <c r="I281" i="9"/>
  <c r="I280" i="9"/>
  <c r="I1725" i="9"/>
  <c r="I1719" i="9"/>
  <c r="I1717" i="9"/>
  <c r="I1713" i="9"/>
  <c r="I1734" i="9"/>
  <c r="I1737" i="9"/>
  <c r="I1732" i="9"/>
  <c r="I1735" i="9"/>
  <c r="I365" i="9"/>
  <c r="I2279" i="9"/>
  <c r="I2278" i="9"/>
  <c r="I2275" i="9"/>
  <c r="I293" i="9"/>
  <c r="I290" i="9"/>
  <c r="I1050" i="9"/>
  <c r="I296" i="9"/>
  <c r="I288" i="9"/>
  <c r="I287" i="9"/>
  <c r="I1036" i="9"/>
  <c r="I1034" i="9"/>
  <c r="I227" i="9"/>
  <c r="I235" i="9"/>
  <c r="I230" i="9"/>
  <c r="I35" i="9"/>
  <c r="I1958" i="9"/>
  <c r="I1540" i="9"/>
  <c r="I1960" i="9"/>
  <c r="I1556" i="9"/>
  <c r="I1555" i="9"/>
  <c r="I1548" i="9"/>
  <c r="I1547" i="9"/>
  <c r="I1537" i="9"/>
  <c r="I1961" i="9"/>
  <c r="I1553" i="9"/>
  <c r="I1533" i="9"/>
  <c r="I1564" i="9"/>
  <c r="I1965" i="9"/>
  <c r="I1567" i="9"/>
  <c r="I1558" i="9"/>
  <c r="I1962" i="9"/>
  <c r="I1964" i="9"/>
  <c r="I1954" i="9"/>
  <c r="I102" i="9"/>
  <c r="I105" i="9"/>
  <c r="I125" i="9"/>
  <c r="I1055" i="9"/>
  <c r="I112" i="9"/>
  <c r="I1526" i="9"/>
  <c r="I2266" i="9"/>
  <c r="I2251" i="9"/>
  <c r="I1049" i="9"/>
  <c r="I1014" i="9"/>
  <c r="I2305" i="9"/>
  <c r="I1033" i="9"/>
  <c r="I1052" i="9"/>
  <c r="I1016" i="9"/>
  <c r="I1051" i="9"/>
  <c r="I1047" i="9"/>
  <c r="I1048" i="9"/>
  <c r="I1042" i="9"/>
  <c r="I2304" i="9"/>
  <c r="I2303" i="9"/>
  <c r="I2302" i="9"/>
  <c r="I238" i="9"/>
  <c r="I1552" i="9"/>
  <c r="I1544" i="9"/>
  <c r="I1542" i="9"/>
  <c r="I1536" i="9"/>
  <c r="I1566" i="9"/>
  <c r="I94" i="9"/>
  <c r="I1430" i="9"/>
  <c r="I124" i="9"/>
  <c r="I103" i="9"/>
  <c r="I95" i="9"/>
  <c r="I100" i="9"/>
  <c r="I111" i="9"/>
  <c r="I120" i="9"/>
  <c r="I113" i="9"/>
  <c r="I116" i="9"/>
  <c r="I106" i="9"/>
  <c r="I2270" i="9"/>
  <c r="I2249" i="9"/>
  <c r="I2269" i="9"/>
  <c r="I2257" i="9"/>
  <c r="I1045" i="9"/>
  <c r="I1027" i="9"/>
  <c r="I1022" i="9"/>
  <c r="I1013" i="9"/>
  <c r="I1012" i="9"/>
  <c r="I1044" i="9"/>
  <c r="I1039" i="9"/>
  <c r="I1038" i="9"/>
  <c r="I2199" i="9"/>
  <c r="I329" i="9"/>
  <c r="I241" i="9"/>
  <c r="I1561" i="9"/>
  <c r="I1541" i="9"/>
  <c r="I1565" i="9"/>
  <c r="I1959" i="9"/>
  <c r="I1957" i="9"/>
  <c r="I1956" i="9"/>
  <c r="I1966" i="9"/>
  <c r="I1550" i="9"/>
  <c r="I1963" i="9"/>
  <c r="I1770" i="9"/>
  <c r="I108" i="9"/>
  <c r="I98" i="9"/>
  <c r="I97" i="9"/>
  <c r="I96" i="9"/>
  <c r="I99" i="9"/>
  <c r="I126" i="9"/>
  <c r="I101" i="9"/>
  <c r="I117" i="9"/>
  <c r="I1523" i="9"/>
  <c r="I1524" i="9"/>
  <c r="I1528" i="9"/>
  <c r="I2267" i="9"/>
  <c r="I2255" i="9"/>
  <c r="I2250" i="9"/>
  <c r="I2246" i="9"/>
  <c r="I2248" i="9"/>
  <c r="I2297" i="9"/>
  <c r="I787" i="9"/>
  <c r="I1018" i="9"/>
  <c r="I2300" i="9"/>
  <c r="I332" i="9"/>
  <c r="I327" i="9"/>
  <c r="I326" i="9"/>
  <c r="I331" i="9"/>
  <c r="I339" i="9"/>
  <c r="I237" i="9"/>
  <c r="I234" i="9"/>
  <c r="I233" i="9"/>
  <c r="I231" i="9"/>
  <c r="I228" i="9"/>
  <c r="I226" i="9"/>
  <c r="I225" i="9"/>
  <c r="I243" i="9"/>
  <c r="I239" i="9"/>
  <c r="I229" i="9"/>
  <c r="I224" i="9"/>
  <c r="I232" i="9"/>
  <c r="I223" i="9"/>
  <c r="I222" i="9"/>
  <c r="I236" i="9"/>
  <c r="I1159" i="9"/>
  <c r="I1545" i="9"/>
  <c r="I1535" i="9"/>
  <c r="I1534" i="9"/>
  <c r="I1557" i="9"/>
  <c r="I1554" i="9"/>
  <c r="I1538" i="9"/>
  <c r="I1551" i="9"/>
  <c r="I1559" i="9"/>
  <c r="I1562" i="9"/>
  <c r="I1543" i="9"/>
  <c r="I1563" i="9"/>
  <c r="I1431" i="9"/>
  <c r="I1427" i="9"/>
  <c r="I1056" i="9"/>
  <c r="I115" i="9"/>
  <c r="I114" i="9"/>
  <c r="I109" i="9"/>
  <c r="I1179" i="9"/>
  <c r="I93" i="9"/>
  <c r="I92" i="9"/>
  <c r="I110" i="9"/>
  <c r="I107" i="9"/>
  <c r="I1428" i="9"/>
  <c r="I122" i="9"/>
  <c r="I1429" i="9"/>
  <c r="I121" i="9"/>
  <c r="I118" i="9"/>
  <c r="I123" i="9"/>
  <c r="I2245" i="9"/>
  <c r="I2244" i="9"/>
  <c r="I1529" i="9"/>
  <c r="I1525" i="9"/>
  <c r="I1530" i="9"/>
  <c r="I2264" i="9"/>
  <c r="I2256" i="9"/>
  <c r="I2261" i="9"/>
  <c r="I2260" i="9"/>
  <c r="I2263" i="9"/>
  <c r="I2259" i="9"/>
  <c r="I2252" i="9"/>
  <c r="I2254" i="9"/>
  <c r="I2299" i="9"/>
  <c r="I790" i="9"/>
  <c r="I2296" i="9"/>
  <c r="I788" i="9"/>
  <c r="I1024" i="9"/>
  <c r="I1030" i="9"/>
  <c r="I2298" i="9"/>
  <c r="I791" i="9"/>
  <c r="I1031" i="9"/>
  <c r="I2295" i="9"/>
  <c r="I792" i="9"/>
  <c r="I1041" i="9"/>
  <c r="I343" i="9"/>
  <c r="I334" i="9"/>
  <c r="I330" i="9"/>
  <c r="I336" i="9"/>
  <c r="I2311" i="9"/>
  <c r="I272" i="9"/>
  <c r="I303" i="9"/>
  <c r="I1158" i="9"/>
  <c r="I1155" i="9"/>
  <c r="I1152" i="9"/>
  <c r="I1163" i="9"/>
  <c r="I1153" i="9"/>
  <c r="I1166" i="9"/>
  <c r="I1162" i="9"/>
  <c r="I1862" i="9"/>
  <c r="I1539" i="9"/>
  <c r="I1560" i="9"/>
  <c r="I1546" i="9"/>
  <c r="I1549" i="9"/>
  <c r="I104" i="9"/>
  <c r="I1181" i="9"/>
  <c r="I1173" i="9"/>
  <c r="I2233" i="9"/>
  <c r="I268" i="9"/>
  <c r="I1180" i="9"/>
  <c r="I1176" i="9"/>
  <c r="I1507" i="9"/>
  <c r="I1064" i="9"/>
  <c r="I2240" i="9"/>
  <c r="I1513" i="9"/>
  <c r="I1182" i="9"/>
  <c r="I1065" i="9"/>
  <c r="I2262" i="9"/>
  <c r="I2258" i="9"/>
  <c r="I2253" i="9"/>
  <c r="I2271" i="9"/>
  <c r="I2247" i="9"/>
  <c r="I2265" i="9"/>
  <c r="I789" i="9"/>
  <c r="I782" i="9"/>
  <c r="I2301" i="9"/>
  <c r="I785" i="9"/>
  <c r="I784" i="9"/>
  <c r="I781" i="9"/>
  <c r="I1021" i="9"/>
  <c r="I1029" i="9"/>
  <c r="I783" i="9"/>
  <c r="I328" i="9"/>
  <c r="I337" i="9"/>
  <c r="I341" i="9"/>
  <c r="I338" i="9"/>
  <c r="I335" i="9"/>
  <c r="I340" i="9"/>
  <c r="I308" i="9"/>
  <c r="I271" i="9"/>
  <c r="I273" i="9"/>
  <c r="I2306" i="9"/>
  <c r="I1151" i="9"/>
  <c r="I1157" i="9"/>
  <c r="I1156" i="9"/>
  <c r="I1154" i="9"/>
  <c r="I2025" i="9"/>
  <c r="I1164" i="9"/>
  <c r="I1150" i="9"/>
  <c r="I1168" i="9"/>
  <c r="I1165" i="9"/>
  <c r="I1178" i="9"/>
  <c r="I1177" i="9"/>
  <c r="I1175" i="9"/>
  <c r="I1174" i="9"/>
  <c r="I2238" i="9"/>
  <c r="I262" i="9"/>
  <c r="I269" i="9"/>
  <c r="I1509" i="9"/>
  <c r="I2242" i="9"/>
  <c r="I2237" i="9"/>
  <c r="I2234" i="9"/>
  <c r="I2236" i="9"/>
  <c r="I2241" i="9"/>
  <c r="I264" i="9"/>
  <c r="I1063" i="9"/>
  <c r="I2243" i="9"/>
  <c r="I1519" i="9"/>
  <c r="I1516" i="9"/>
  <c r="I1520" i="9"/>
  <c r="I1521" i="9"/>
  <c r="I704" i="9"/>
  <c r="I698" i="9"/>
  <c r="I705" i="9"/>
  <c r="I699" i="9"/>
  <c r="I700" i="9"/>
  <c r="I701" i="9"/>
  <c r="I708" i="9"/>
  <c r="I709" i="9"/>
  <c r="I786" i="9"/>
  <c r="I1026" i="9"/>
  <c r="I1025" i="9"/>
  <c r="I1020" i="9"/>
  <c r="I1017" i="9"/>
  <c r="I1023" i="9"/>
  <c r="I1032" i="9"/>
  <c r="I1035" i="9"/>
  <c r="I1040" i="9"/>
  <c r="I793" i="9"/>
  <c r="I1028" i="9"/>
  <c r="I324" i="9"/>
  <c r="I333" i="9"/>
  <c r="I1602" i="9"/>
  <c r="I342" i="9"/>
  <c r="I309" i="9"/>
  <c r="I270" i="9"/>
  <c r="I276" i="9"/>
  <c r="I2312" i="9"/>
  <c r="I2310" i="9"/>
  <c r="I2309" i="9"/>
  <c r="I2024" i="9"/>
  <c r="I1148" i="9"/>
  <c r="I1160" i="9"/>
  <c r="I2023" i="9"/>
  <c r="I1171" i="9"/>
  <c r="I1161" i="9"/>
  <c r="I1149" i="9"/>
  <c r="I1169" i="9"/>
  <c r="I1172" i="9"/>
  <c r="I1170" i="9"/>
  <c r="I1167" i="9"/>
  <c r="I2235" i="9"/>
  <c r="I1512" i="9"/>
  <c r="I1511" i="9"/>
  <c r="I1508" i="9"/>
  <c r="I265" i="9"/>
  <c r="I263" i="9"/>
  <c r="I267" i="9"/>
  <c r="I2239" i="9"/>
  <c r="I119" i="9"/>
  <c r="I266" i="9"/>
  <c r="I1510" i="9"/>
  <c r="I1522" i="9"/>
  <c r="I1518" i="9"/>
  <c r="I1517" i="9"/>
  <c r="I1514" i="9"/>
  <c r="I1515" i="9"/>
  <c r="I707" i="9"/>
  <c r="I697" i="9"/>
  <c r="I696" i="9"/>
  <c r="I706" i="9"/>
  <c r="I703" i="9"/>
  <c r="I702" i="9"/>
  <c r="I2308" i="9"/>
  <c r="I275" i="9"/>
  <c r="I274" i="9"/>
  <c r="I2307" i="9"/>
  <c r="I305" i="9"/>
  <c r="I1396" i="9"/>
  <c r="I1377" i="9"/>
  <c r="I1315" i="9"/>
  <c r="I1367" i="9"/>
  <c r="I508" i="9"/>
  <c r="I1284" i="9"/>
  <c r="I1323" i="9"/>
  <c r="I694" i="9"/>
  <c r="I693" i="9"/>
  <c r="I1399" i="9"/>
  <c r="I1394" i="9"/>
  <c r="I442" i="9"/>
  <c r="I1289" i="9"/>
  <c r="I1287" i="9"/>
  <c r="I1282" i="9"/>
  <c r="I1281" i="9"/>
  <c r="I1322" i="9"/>
  <c r="I695" i="9"/>
  <c r="I1390" i="9"/>
  <c r="I1393" i="9"/>
  <c r="I1400" i="9"/>
  <c r="I1383" i="9"/>
  <c r="I431" i="9"/>
  <c r="I1286" i="9"/>
  <c r="I1285" i="9"/>
  <c r="I1276" i="9"/>
  <c r="I1275" i="9"/>
  <c r="I1280" i="9"/>
  <c r="I1385" i="9"/>
  <c r="I1379" i="9"/>
  <c r="I1382" i="9"/>
  <c r="I1389" i="9"/>
  <c r="I1388" i="9"/>
  <c r="I1380" i="9"/>
  <c r="I1370" i="9"/>
  <c r="I1893" i="9"/>
  <c r="I444" i="9"/>
  <c r="I443" i="9"/>
  <c r="I435" i="9"/>
  <c r="I432" i="9"/>
  <c r="I445" i="9"/>
  <c r="I596" i="9"/>
  <c r="I1278" i="9"/>
  <c r="I1283" i="9"/>
  <c r="I1391" i="9"/>
  <c r="I1416" i="9"/>
  <c r="I1368" i="9"/>
  <c r="I1387" i="9"/>
  <c r="I1402" i="9"/>
  <c r="I434" i="9"/>
  <c r="I440" i="9"/>
  <c r="I430" i="9"/>
  <c r="I437" i="9"/>
  <c r="I1268" i="9"/>
  <c r="I1401" i="9"/>
  <c r="I1395" i="9"/>
  <c r="I1372" i="9"/>
  <c r="I1386" i="9"/>
  <c r="I1384" i="9"/>
  <c r="I1376" i="9"/>
  <c r="I1398" i="9"/>
  <c r="I1414" i="9"/>
  <c r="I1413" i="9"/>
  <c r="I1397" i="9"/>
  <c r="I1392" i="9"/>
  <c r="I1371" i="9"/>
  <c r="I425" i="9"/>
  <c r="I419" i="9"/>
  <c r="I438" i="9"/>
  <c r="I439" i="9"/>
  <c r="I436" i="9"/>
  <c r="I427" i="9"/>
  <c r="I423" i="9"/>
  <c r="I422" i="9"/>
  <c r="I433" i="9"/>
  <c r="I429" i="9"/>
  <c r="I424" i="9"/>
  <c r="I588" i="9"/>
  <c r="I578" i="9"/>
  <c r="I581" i="9"/>
  <c r="I585" i="9"/>
  <c r="I582" i="9"/>
  <c r="I593" i="9"/>
  <c r="I583" i="9"/>
  <c r="I590" i="9"/>
  <c r="I1288" i="9"/>
  <c r="I1277" i="9"/>
  <c r="I1270" i="9"/>
  <c r="I1269" i="9"/>
  <c r="I1272" i="9"/>
  <c r="I1271" i="9"/>
  <c r="I1279" i="9"/>
  <c r="I1274" i="9"/>
  <c r="I1273" i="9"/>
  <c r="I1300" i="9"/>
  <c r="I1311" i="9"/>
  <c r="I1412" i="9"/>
  <c r="I1375" i="9"/>
  <c r="I1374" i="9"/>
  <c r="I1373" i="9"/>
  <c r="I1369" i="9"/>
  <c r="I1365" i="9"/>
  <c r="I1363" i="9"/>
  <c r="I1378" i="9"/>
  <c r="I1415" i="9"/>
  <c r="I1381" i="9"/>
  <c r="I428" i="9"/>
  <c r="I441" i="9"/>
  <c r="I586" i="9"/>
  <c r="I594" i="9"/>
  <c r="I569" i="9"/>
  <c r="I1260" i="9"/>
  <c r="I1259" i="9"/>
  <c r="I1258" i="9"/>
  <c r="I1257" i="9"/>
  <c r="I1248" i="9"/>
  <c r="I1250" i="9"/>
  <c r="I1267" i="9"/>
  <c r="I1321" i="9"/>
  <c r="I1320" i="9"/>
  <c r="I1318" i="9"/>
  <c r="I1317" i="9"/>
  <c r="I1316" i="9"/>
  <c r="I1313" i="9"/>
  <c r="I1309" i="9"/>
  <c r="I1304" i="9"/>
  <c r="I1319" i="9"/>
  <c r="I1411" i="9"/>
  <c r="I1410" i="9"/>
  <c r="I1409" i="9"/>
  <c r="I498" i="9"/>
  <c r="I584" i="9"/>
  <c r="I595" i="9"/>
  <c r="I1264" i="9"/>
  <c r="I1263" i="9"/>
  <c r="I1262" i="9"/>
  <c r="I1255" i="9"/>
  <c r="I1247" i="9"/>
  <c r="I1249" i="9"/>
  <c r="I1261" i="9"/>
  <c r="I1240" i="9"/>
  <c r="I1234" i="9"/>
  <c r="I1235" i="9"/>
  <c r="I1308" i="9"/>
  <c r="I1306" i="9"/>
  <c r="I1305" i="9"/>
  <c r="I488" i="9"/>
  <c r="I576" i="9"/>
  <c r="I572" i="9"/>
  <c r="I571" i="9"/>
  <c r="I592" i="9"/>
  <c r="I591" i="9"/>
  <c r="I589" i="9"/>
  <c r="I587" i="9"/>
  <c r="I580" i="9"/>
  <c r="I1244" i="9"/>
  <c r="I1241" i="9"/>
  <c r="I1230" i="9"/>
  <c r="I1254" i="9"/>
  <c r="I1256" i="9"/>
  <c r="I1251" i="9"/>
  <c r="I1246" i="9"/>
  <c r="I1253" i="9"/>
  <c r="I1242" i="9"/>
  <c r="I1233" i="9"/>
  <c r="I1245" i="9"/>
  <c r="I1252" i="9"/>
  <c r="I1312" i="9"/>
  <c r="I1314" i="9"/>
  <c r="I506" i="9"/>
  <c r="I504" i="9"/>
  <c r="I579" i="9"/>
  <c r="I574" i="9"/>
  <c r="I1310" i="9"/>
  <c r="I1307" i="9"/>
  <c r="I421" i="9"/>
  <c r="I420" i="9"/>
  <c r="I417" i="9"/>
  <c r="I416" i="9"/>
  <c r="I415" i="9"/>
  <c r="I568" i="9"/>
  <c r="I573" i="9"/>
  <c r="I577" i="9"/>
  <c r="I575" i="9"/>
  <c r="I1876" i="9"/>
  <c r="I1881" i="9"/>
  <c r="I1237" i="9"/>
  <c r="I390" i="9"/>
  <c r="I389" i="9"/>
  <c r="I388" i="9"/>
  <c r="I391" i="9"/>
  <c r="I494" i="9"/>
  <c r="I775" i="9"/>
  <c r="I426" i="9"/>
  <c r="I418" i="9"/>
  <c r="I570" i="9"/>
  <c r="I1882" i="9"/>
  <c r="I1884" i="9"/>
  <c r="I1880" i="9"/>
  <c r="I1878" i="9"/>
  <c r="I1217" i="9"/>
  <c r="I1221" i="9"/>
  <c r="I1239" i="9"/>
  <c r="I1238" i="9"/>
  <c r="I1236" i="9"/>
  <c r="I1232" i="9"/>
  <c r="I1231" i="9"/>
  <c r="I1229" i="9"/>
  <c r="I1228" i="9"/>
  <c r="I1227" i="9"/>
  <c r="I1243" i="9"/>
  <c r="I1290" i="9"/>
  <c r="I1297" i="9"/>
  <c r="I1353" i="9"/>
  <c r="I1352" i="9"/>
  <c r="I1330" i="9"/>
  <c r="I1364" i="9"/>
  <c r="I1346" i="9"/>
  <c r="I1339" i="9"/>
  <c r="I1361" i="9"/>
  <c r="I1347" i="9"/>
  <c r="I1345" i="9"/>
  <c r="I1359" i="9"/>
  <c r="I505" i="9"/>
  <c r="I470" i="9"/>
  <c r="I509" i="9"/>
  <c r="I497" i="9"/>
  <c r="I491" i="9"/>
  <c r="I483" i="9"/>
  <c r="I482" i="9"/>
  <c r="I480" i="9"/>
  <c r="I503" i="9"/>
  <c r="I485" i="9"/>
  <c r="I492" i="9"/>
  <c r="I500" i="9"/>
  <c r="I493" i="9"/>
  <c r="I1226" i="9"/>
  <c r="I1214" i="9"/>
  <c r="I1213" i="9"/>
  <c r="I1222" i="9"/>
  <c r="I1209" i="9"/>
  <c r="I1208" i="9"/>
  <c r="I1207" i="9"/>
  <c r="I1206" i="9"/>
  <c r="I1215" i="9"/>
  <c r="I1223" i="9"/>
  <c r="I1301" i="9"/>
  <c r="I1302" i="9"/>
  <c r="I1303" i="9"/>
  <c r="I1357" i="9"/>
  <c r="I1356" i="9"/>
  <c r="I1331" i="9"/>
  <c r="I1325" i="9"/>
  <c r="I1342" i="9"/>
  <c r="I1350" i="9"/>
  <c r="I1366" i="9"/>
  <c r="I499" i="9"/>
  <c r="I495" i="9"/>
  <c r="I473" i="9"/>
  <c r="I472" i="9"/>
  <c r="I468" i="9"/>
  <c r="I489" i="9"/>
  <c r="I484" i="9"/>
  <c r="I478" i="9"/>
  <c r="I502" i="9"/>
  <c r="I501" i="9"/>
  <c r="I1224" i="9"/>
  <c r="I1211" i="9"/>
  <c r="I1219" i="9"/>
  <c r="I1220" i="9"/>
  <c r="I1225" i="9"/>
  <c r="I1212" i="9"/>
  <c r="I1210" i="9"/>
  <c r="I1204" i="9"/>
  <c r="I1216" i="9"/>
  <c r="I1218" i="9"/>
  <c r="I1889" i="9"/>
  <c r="I1890" i="9"/>
  <c r="I1295" i="9"/>
  <c r="I152" i="9"/>
  <c r="I1294" i="9"/>
  <c r="I1298" i="9"/>
  <c r="I1299" i="9"/>
  <c r="I1332" i="9"/>
  <c r="I1328" i="9"/>
  <c r="I1355" i="9"/>
  <c r="I1354" i="9"/>
  <c r="I1349" i="9"/>
  <c r="I1344" i="9"/>
  <c r="I1338" i="9"/>
  <c r="I1337" i="9"/>
  <c r="I1335" i="9"/>
  <c r="I1334" i="9"/>
  <c r="I507" i="9"/>
  <c r="I496" i="9"/>
  <c r="I481" i="9"/>
  <c r="I477" i="9"/>
  <c r="I476" i="9"/>
  <c r="I469" i="9"/>
  <c r="I479" i="9"/>
  <c r="I475" i="9"/>
  <c r="I487" i="9"/>
  <c r="I1877" i="9"/>
  <c r="I1875" i="9"/>
  <c r="I1874" i="9"/>
  <c r="I1883" i="9"/>
  <c r="I1879" i="9"/>
  <c r="I1205" i="9"/>
  <c r="I1892" i="9"/>
  <c r="I1891" i="9"/>
  <c r="I1296" i="9"/>
  <c r="I1293" i="9"/>
  <c r="I1292" i="9"/>
  <c r="I1291" i="9"/>
  <c r="I1336" i="9"/>
  <c r="I1329" i="9"/>
  <c r="I1327" i="9"/>
  <c r="I1326" i="9"/>
  <c r="I1360" i="9"/>
  <c r="I1348" i="9"/>
  <c r="I1343" i="9"/>
  <c r="I1341" i="9"/>
  <c r="I1333" i="9"/>
  <c r="I1351" i="9"/>
  <c r="I1340" i="9"/>
  <c r="I1358" i="9"/>
  <c r="I1362" i="9"/>
  <c r="I471" i="9"/>
  <c r="I474" i="9"/>
  <c r="I490" i="9"/>
  <c r="I486" i="9"/>
  <c r="I566" i="9"/>
  <c r="I567" i="9"/>
  <c r="I381" i="9"/>
  <c r="I1768" i="9"/>
  <c r="I2130" i="9"/>
  <c r="I2132" i="9"/>
  <c r="I2131" i="9"/>
  <c r="I2129" i="9"/>
  <c r="I2128" i="9"/>
  <c r="I2127" i="9"/>
  <c r="I19" i="9"/>
  <c r="I20" i="9"/>
  <c r="I192" i="9"/>
  <c r="I712" i="9"/>
  <c r="I710" i="9"/>
  <c r="I323" i="9"/>
  <c r="I711" i="9"/>
  <c r="I1432" i="9"/>
  <c r="I159" i="9"/>
  <c r="I1433" i="9"/>
  <c r="I2201" i="9"/>
  <c r="I158" i="9"/>
  <c r="K32" i="11" l="1"/>
</calcChain>
</file>

<file path=xl/sharedStrings.xml><?xml version="1.0" encoding="utf-8"?>
<sst xmlns="http://schemas.openxmlformats.org/spreadsheetml/2006/main" count="12864" uniqueCount="606">
  <si>
    <t>Make</t>
  </si>
  <si>
    <t>Year</t>
  </si>
  <si>
    <t>Alliage</t>
  </si>
  <si>
    <t>France</t>
  </si>
  <si>
    <t>AZZURO 53</t>
  </si>
  <si>
    <t>Allures</t>
  </si>
  <si>
    <t>Alubat</t>
  </si>
  <si>
    <t>Ovni 395</t>
  </si>
  <si>
    <t>CIGALE 16</t>
  </si>
  <si>
    <t>Spain</t>
  </si>
  <si>
    <t>Amel</t>
  </si>
  <si>
    <t>Archambault</t>
  </si>
  <si>
    <t>40 RC</t>
  </si>
  <si>
    <t>Azuree</t>
  </si>
  <si>
    <t>Bavaria</t>
  </si>
  <si>
    <t xml:space="preserve">38 Cruiser </t>
  </si>
  <si>
    <t>38 Cruiser</t>
  </si>
  <si>
    <t>39 Cruiser</t>
  </si>
  <si>
    <t>Greece</t>
  </si>
  <si>
    <t>United Kingdom</t>
  </si>
  <si>
    <t>40 Cruiser</t>
  </si>
  <si>
    <t>40S Cruiser</t>
  </si>
  <si>
    <t>Germany</t>
  </si>
  <si>
    <t>41 Cruiser</t>
  </si>
  <si>
    <t>Italy</t>
  </si>
  <si>
    <t>42 Match</t>
  </si>
  <si>
    <t>42 Cruiser</t>
  </si>
  <si>
    <t xml:space="preserve">42 Cruiser </t>
  </si>
  <si>
    <t>42 Vision</t>
  </si>
  <si>
    <t>44 Vision</t>
  </si>
  <si>
    <t>45 Cruiser</t>
  </si>
  <si>
    <t>Croatia</t>
  </si>
  <si>
    <t>C45 Holiday</t>
  </si>
  <si>
    <t>Cruiser 46</t>
  </si>
  <si>
    <t>Vision 46</t>
  </si>
  <si>
    <t>Cruiser 46 Style</t>
  </si>
  <si>
    <t>Cruiser 46S</t>
  </si>
  <si>
    <t>47 Cruiser</t>
  </si>
  <si>
    <t>49 Cruiser</t>
  </si>
  <si>
    <t>50 Cruiser</t>
  </si>
  <si>
    <t xml:space="preserve">50 Cruiser </t>
  </si>
  <si>
    <t>Romania</t>
  </si>
  <si>
    <t>51 Cruiser</t>
  </si>
  <si>
    <t>51 Cruiser Style</t>
  </si>
  <si>
    <t>56 Cruiser</t>
  </si>
  <si>
    <t>Beneteau</t>
  </si>
  <si>
    <t>Oceanis 38.1</t>
  </si>
  <si>
    <t>Oceanis 38</t>
  </si>
  <si>
    <t xml:space="preserve">Cyclades 39.3 </t>
  </si>
  <si>
    <t>First 40</t>
  </si>
  <si>
    <t>Oceanis 40</t>
  </si>
  <si>
    <t>First 40.7</t>
  </si>
  <si>
    <t>First 40 CR</t>
  </si>
  <si>
    <t>Oceanis 41</t>
  </si>
  <si>
    <t>Oceanis 41.1</t>
  </si>
  <si>
    <t>Oceanis Clipper 423</t>
  </si>
  <si>
    <t>Malta</t>
  </si>
  <si>
    <t>Cyclades 43.4</t>
  </si>
  <si>
    <t>Cyclades 43</t>
  </si>
  <si>
    <t>Oceanis 43</t>
  </si>
  <si>
    <t>Cyclades 43.3</t>
  </si>
  <si>
    <t>Oceanis 43 Family</t>
  </si>
  <si>
    <t>Oceanis 43.4</t>
  </si>
  <si>
    <t>Turkey</t>
  </si>
  <si>
    <t>Sense 43</t>
  </si>
  <si>
    <t>First 44.7</t>
  </si>
  <si>
    <t>First 45</t>
  </si>
  <si>
    <t>Oceanis 45</t>
  </si>
  <si>
    <t>Oceanis 46</t>
  </si>
  <si>
    <t>Oceanis 46 Family</t>
  </si>
  <si>
    <t>Oceanis 46 Owner Version</t>
  </si>
  <si>
    <t>Oceanis 46.1</t>
  </si>
  <si>
    <t>Sense 46</t>
  </si>
  <si>
    <t>Oceanis 473</t>
  </si>
  <si>
    <t>First 47.7</t>
  </si>
  <si>
    <t>Oceanis Clipper 473</t>
  </si>
  <si>
    <t>Oceanis 48</t>
  </si>
  <si>
    <t>Cyclades 50.5</t>
  </si>
  <si>
    <t>Oceanis 50</t>
  </si>
  <si>
    <t xml:space="preserve">Oceanis 50 </t>
  </si>
  <si>
    <t>Oceanis 50 Family</t>
  </si>
  <si>
    <t xml:space="preserve">Oceanis 50.5 </t>
  </si>
  <si>
    <t>Oceanis 50.5</t>
  </si>
  <si>
    <t>First 50</t>
  </si>
  <si>
    <t>First 50 Sport</t>
  </si>
  <si>
    <t>Sense 50</t>
  </si>
  <si>
    <t>Oceanis 51.1</t>
  </si>
  <si>
    <t>Sense 51</t>
  </si>
  <si>
    <t>Oceanis Clipper 523</t>
  </si>
  <si>
    <t>Oceanis 523 A</t>
  </si>
  <si>
    <t>Oceanis 523</t>
  </si>
  <si>
    <t xml:space="preserve">Oceanis 54 </t>
  </si>
  <si>
    <t>Oceanis 54</t>
  </si>
  <si>
    <t>Sense 55</t>
  </si>
  <si>
    <t>Oceanis 55</t>
  </si>
  <si>
    <t>OCEANIS 55</t>
  </si>
  <si>
    <t>Oceanis 55.1</t>
  </si>
  <si>
    <t>Bestevaer</t>
  </si>
  <si>
    <t>49ST</t>
  </si>
  <si>
    <t>53ST</t>
  </si>
  <si>
    <t>Boreal</t>
  </si>
  <si>
    <t>B-Yachts</t>
  </si>
  <si>
    <t>Brenta B42</t>
  </si>
  <si>
    <t>Catalina</t>
  </si>
  <si>
    <t>42 Mk II</t>
  </si>
  <si>
    <t>Comar</t>
  </si>
  <si>
    <t>Comet 41S</t>
  </si>
  <si>
    <t>Comet 45s</t>
  </si>
  <si>
    <t>Comet 450</t>
  </si>
  <si>
    <t>Comet 45S</t>
  </si>
  <si>
    <t>Comet 51S</t>
  </si>
  <si>
    <t>Comet 52 RS</t>
  </si>
  <si>
    <t>Contest</t>
  </si>
  <si>
    <t>42CS</t>
  </si>
  <si>
    <t>45CS</t>
  </si>
  <si>
    <t>50CS</t>
  </si>
  <si>
    <t>55CS</t>
  </si>
  <si>
    <t>Dehler</t>
  </si>
  <si>
    <t>39 SQ</t>
  </si>
  <si>
    <t>41 CR</t>
  </si>
  <si>
    <t>Varianta 44</t>
  </si>
  <si>
    <t>44 SQ</t>
  </si>
  <si>
    <t>47 SQ</t>
  </si>
  <si>
    <t>Delphia</t>
  </si>
  <si>
    <t>Sweden</t>
  </si>
  <si>
    <t>40</t>
  </si>
  <si>
    <t>46 cc</t>
  </si>
  <si>
    <t>Discovery</t>
  </si>
  <si>
    <t>Dufour</t>
  </si>
  <si>
    <t>40 Performance</t>
  </si>
  <si>
    <t>40e</t>
  </si>
  <si>
    <t>410 GL</t>
  </si>
  <si>
    <t>412 GL</t>
  </si>
  <si>
    <t>44 Performance</t>
  </si>
  <si>
    <t>45e Performance</t>
  </si>
  <si>
    <t>45 Performance</t>
  </si>
  <si>
    <t>460 Performance</t>
  </si>
  <si>
    <t>460 GL</t>
  </si>
  <si>
    <t>512 GL</t>
  </si>
  <si>
    <t xml:space="preserve">512 GL </t>
  </si>
  <si>
    <t>520 GL</t>
  </si>
  <si>
    <t>Estonia</t>
  </si>
  <si>
    <t>56 Exclusive</t>
  </si>
  <si>
    <t>Elan</t>
  </si>
  <si>
    <t>Impression 384</t>
  </si>
  <si>
    <t>394 Impression</t>
  </si>
  <si>
    <t>IMPRESSION 394</t>
  </si>
  <si>
    <t>40 Impression</t>
  </si>
  <si>
    <t xml:space="preserve">40 Impression </t>
  </si>
  <si>
    <t>Impression 40</t>
  </si>
  <si>
    <t>40 E5</t>
  </si>
  <si>
    <t>Impression 434</t>
  </si>
  <si>
    <t>434 Impression</t>
  </si>
  <si>
    <t>GT5</t>
  </si>
  <si>
    <t>444 Impression</t>
  </si>
  <si>
    <t>Impression 444</t>
  </si>
  <si>
    <t>45 Impression</t>
  </si>
  <si>
    <t xml:space="preserve">45 Impression </t>
  </si>
  <si>
    <t>Impression 45</t>
  </si>
  <si>
    <t>494 Impression</t>
  </si>
  <si>
    <t>Impression 494</t>
  </si>
  <si>
    <t>50 Impression</t>
  </si>
  <si>
    <t>Impression 50</t>
  </si>
  <si>
    <t>514 IMPRESSION</t>
  </si>
  <si>
    <t>Grand Soleil</t>
  </si>
  <si>
    <t>37 B&amp;C</t>
  </si>
  <si>
    <t>40 B&amp;C</t>
  </si>
  <si>
    <t>43 BC</t>
  </si>
  <si>
    <t>43 Maletto - GS 43</t>
  </si>
  <si>
    <t>43 Maletto</t>
  </si>
  <si>
    <t>45 RACING</t>
  </si>
  <si>
    <t>46 Jezequel</t>
  </si>
  <si>
    <t>46 LC</t>
  </si>
  <si>
    <t>48 Ocean Cruiser</t>
  </si>
  <si>
    <t>56 EXTREME</t>
  </si>
  <si>
    <t>Hallberg-Rassy</t>
  </si>
  <si>
    <t>Cyprus</t>
  </si>
  <si>
    <t>Hanse</t>
  </si>
  <si>
    <t>400e</t>
  </si>
  <si>
    <t>400 Epoxy</t>
  </si>
  <si>
    <t xml:space="preserve"> Croatia</t>
  </si>
  <si>
    <t>430e</t>
  </si>
  <si>
    <t>470e</t>
  </si>
  <si>
    <t>540e</t>
  </si>
  <si>
    <t xml:space="preserve">Hanse </t>
  </si>
  <si>
    <t>Harmony</t>
  </si>
  <si>
    <t>42 Elegance</t>
  </si>
  <si>
    <t>Hunter</t>
  </si>
  <si>
    <t>41 Deck Salon</t>
  </si>
  <si>
    <t>41 DS</t>
  </si>
  <si>
    <t>Hylas</t>
  </si>
  <si>
    <t>Island Packet</t>
  </si>
  <si>
    <t>J boats</t>
  </si>
  <si>
    <t>J 122</t>
  </si>
  <si>
    <t>J Boats</t>
  </si>
  <si>
    <t>Jeanneau</t>
  </si>
  <si>
    <t>Sun Odyssey 389</t>
  </si>
  <si>
    <t>Sun Odyssey 39i</t>
  </si>
  <si>
    <t>Slovenia</t>
  </si>
  <si>
    <t>Sun Odyssey 39 DS</t>
  </si>
  <si>
    <t>Sun Odyssey 39i Performance</t>
  </si>
  <si>
    <t>Sun Odyssey 40.3</t>
  </si>
  <si>
    <t>Sun Odyssey 409</t>
  </si>
  <si>
    <t>Sun Odyssey 40</t>
  </si>
  <si>
    <t>SUN ODYSSEY 40.3</t>
  </si>
  <si>
    <t>Sun Odyssey 40.9</t>
  </si>
  <si>
    <t>Sun Odyssey 419</t>
  </si>
  <si>
    <t>Sun Odyssey 41DS</t>
  </si>
  <si>
    <t>Sun Odyssey 410</t>
  </si>
  <si>
    <t>Sun Odyssey 42i</t>
  </si>
  <si>
    <t>Sun Odyssey 42</t>
  </si>
  <si>
    <t>Sun Odyssey 42 DS</t>
  </si>
  <si>
    <t>Sun Odyssey 42i Performance</t>
  </si>
  <si>
    <t>Sun Odyssey 439</t>
  </si>
  <si>
    <t>Sun Odyssey 44i</t>
  </si>
  <si>
    <t>Sun Odyssey 449</t>
  </si>
  <si>
    <t>Sun Odyssey 44 DS</t>
  </si>
  <si>
    <t>Sun Odyssey 440</t>
  </si>
  <si>
    <t>Sun Odyssey 45</t>
  </si>
  <si>
    <t>Sun Odyssey 45 Performance</t>
  </si>
  <si>
    <t>45 Sun Odyssey Performance</t>
  </si>
  <si>
    <t>Sun Odyssey 45 DS</t>
  </si>
  <si>
    <t>Sun Odyssey 469</t>
  </si>
  <si>
    <t>Sun Odyssey 479</t>
  </si>
  <si>
    <t>Sun Odyssey 49i</t>
  </si>
  <si>
    <t>Sun Odyssey 49</t>
  </si>
  <si>
    <t>Sun Odyssey 49 DS</t>
  </si>
  <si>
    <t>Sun Odyssey 49i Performance</t>
  </si>
  <si>
    <t>Sun Odyssey 49DS</t>
  </si>
  <si>
    <t xml:space="preserve"> Sun Odyssey 49 DS</t>
  </si>
  <si>
    <t>Sun Odyssey 49 Owners Version</t>
  </si>
  <si>
    <t>Sun Odyssey 49 Owners version</t>
  </si>
  <si>
    <t>Sun Odyssey 490</t>
  </si>
  <si>
    <t>Sun Odyssey 50 DS</t>
  </si>
  <si>
    <t>Sun Odyssey 509</t>
  </si>
  <si>
    <t>Sun Odyssey 519</t>
  </si>
  <si>
    <t>53</t>
  </si>
  <si>
    <t>Portugal</t>
  </si>
  <si>
    <t>Sun Odyssey 54 DS</t>
  </si>
  <si>
    <t>Malo</t>
  </si>
  <si>
    <t>40 classic</t>
  </si>
  <si>
    <t>40 Classic MK Il</t>
  </si>
  <si>
    <t>43 Classic</t>
  </si>
  <si>
    <t>Maxi</t>
  </si>
  <si>
    <t>Moody</t>
  </si>
  <si>
    <t>45 Classic</t>
  </si>
  <si>
    <t>45 DS</t>
  </si>
  <si>
    <t>45 DS e</t>
  </si>
  <si>
    <t>Najad</t>
  </si>
  <si>
    <t>440 CC</t>
  </si>
  <si>
    <t>Nauticat</t>
  </si>
  <si>
    <t>441 Ketch</t>
  </si>
  <si>
    <t>Nautor</t>
  </si>
  <si>
    <t>Swan 46</t>
  </si>
  <si>
    <t>Swan ClubSwan 50</t>
  </si>
  <si>
    <t>Swan 50</t>
  </si>
  <si>
    <t>Swan 54</t>
  </si>
  <si>
    <t>Nordship</t>
  </si>
  <si>
    <t>DSC 38</t>
  </si>
  <si>
    <t>380DS</t>
  </si>
  <si>
    <t>Oyster</t>
  </si>
  <si>
    <t>Poncin</t>
  </si>
  <si>
    <t>HARMONY 47</t>
  </si>
  <si>
    <t>harmony 52</t>
  </si>
  <si>
    <t>RM Yachts</t>
  </si>
  <si>
    <t>RM 1200</t>
  </si>
  <si>
    <t>rm 12.60</t>
  </si>
  <si>
    <t>RM 12.70</t>
  </si>
  <si>
    <t>RM 1270</t>
  </si>
  <si>
    <t>Rustler</t>
  </si>
  <si>
    <t>Salona</t>
  </si>
  <si>
    <t>S380</t>
  </si>
  <si>
    <t>44</t>
  </si>
  <si>
    <t>Sly</t>
  </si>
  <si>
    <t>48C</t>
  </si>
  <si>
    <t>Solaris</t>
  </si>
  <si>
    <t>One 44</t>
  </si>
  <si>
    <t>48 ONE</t>
  </si>
  <si>
    <t>Southerly</t>
  </si>
  <si>
    <t>42 RST</t>
  </si>
  <si>
    <t>Sunbeam</t>
  </si>
  <si>
    <t>Sweden Yachts</t>
  </si>
  <si>
    <t>Tartan</t>
  </si>
  <si>
    <t>Tofinou</t>
  </si>
  <si>
    <t>Triplast</t>
  </si>
  <si>
    <t>Y 40</t>
  </si>
  <si>
    <t>Van De Stadt</t>
  </si>
  <si>
    <t>Norman 41</t>
  </si>
  <si>
    <t>Beluga 46</t>
  </si>
  <si>
    <t>Stainless Steel Cutter</t>
  </si>
  <si>
    <t>Vismara</t>
  </si>
  <si>
    <t>V50</t>
  </si>
  <si>
    <t>V50 DS</t>
  </si>
  <si>
    <t>V50 Mills</t>
  </si>
  <si>
    <t>52 Carbon</t>
  </si>
  <si>
    <t>V52</t>
  </si>
  <si>
    <t>Wauquiez</t>
  </si>
  <si>
    <t>Opium 39</t>
  </si>
  <si>
    <t>Centurion 40s</t>
  </si>
  <si>
    <t>Pilot Saloon 40</t>
  </si>
  <si>
    <t>Pilot Saloon 41</t>
  </si>
  <si>
    <t>Pilot Saloon 42</t>
  </si>
  <si>
    <t>Pilot Saloon 47</t>
  </si>
  <si>
    <t>Pilot Saloon 48</t>
  </si>
  <si>
    <t>X-Yachts</t>
  </si>
  <si>
    <t>Xp 38</t>
  </si>
  <si>
    <t>X-40</t>
  </si>
  <si>
    <t>X-41 One Design</t>
  </si>
  <si>
    <t>Xc 42</t>
  </si>
  <si>
    <t>X-43</t>
  </si>
  <si>
    <t>X 4.3</t>
  </si>
  <si>
    <t>X4</t>
  </si>
  <si>
    <t>Xp 44</t>
  </si>
  <si>
    <t>X-46</t>
  </si>
  <si>
    <t>X4.6</t>
  </si>
  <si>
    <t>X-50</t>
  </si>
  <si>
    <t>X-50 Modern</t>
  </si>
  <si>
    <t>Xc 50</t>
  </si>
  <si>
    <t>XP50</t>
  </si>
  <si>
    <t>X-55</t>
  </si>
  <si>
    <t>Zuanelli</t>
  </si>
  <si>
    <t>52 DH</t>
  </si>
  <si>
    <t>46 Cruiser</t>
  </si>
  <si>
    <t>Cyclades 39.3</t>
  </si>
  <si>
    <t>Oceanis 41 Owners Version</t>
  </si>
  <si>
    <t>Oceanis 423</t>
  </si>
  <si>
    <t>Oregon</t>
  </si>
  <si>
    <t>Oceanis 49</t>
  </si>
  <si>
    <t>C&amp;C</t>
  </si>
  <si>
    <t>Cabo Rico</t>
  </si>
  <si>
    <t>Caliber</t>
  </si>
  <si>
    <t>40 LRC SE</t>
  </si>
  <si>
    <t>47 LRC SE</t>
  </si>
  <si>
    <t>Florida</t>
  </si>
  <si>
    <t>47LRC</t>
  </si>
  <si>
    <t>400 MK II</t>
  </si>
  <si>
    <t>42 MK II</t>
  </si>
  <si>
    <t>Morgan 440</t>
  </si>
  <si>
    <t>38 Competition</t>
  </si>
  <si>
    <t>41 Aft Cockpit</t>
  </si>
  <si>
    <t>M-H 40</t>
  </si>
  <si>
    <t>44 DS</t>
  </si>
  <si>
    <t>45 Center Cockpit</t>
  </si>
  <si>
    <t>45cc</t>
  </si>
  <si>
    <t>Passage 456</t>
  </si>
  <si>
    <t>50 Center Cockpit</t>
  </si>
  <si>
    <t>AC 50</t>
  </si>
  <si>
    <t>SP Cruiser</t>
  </si>
  <si>
    <t>Sun Odyessy 41DS</t>
  </si>
  <si>
    <t>Sun Odyssey 43 DS</t>
  </si>
  <si>
    <t>42 DS</t>
  </si>
  <si>
    <t>49i</t>
  </si>
  <si>
    <t>Sun Odyssey 53</t>
  </si>
  <si>
    <t>Morris</t>
  </si>
  <si>
    <t>M42</t>
  </si>
  <si>
    <t>M42X</t>
  </si>
  <si>
    <t>Ocean Series 48</t>
  </si>
  <si>
    <t>Passport</t>
  </si>
  <si>
    <t>470 Center Cockpit</t>
  </si>
  <si>
    <t>Vista 515 Center Cockpit</t>
  </si>
  <si>
    <t>545 Aft Cockpit</t>
  </si>
  <si>
    <t>Vista 545 Center Cockpit</t>
  </si>
  <si>
    <t>Sabre</t>
  </si>
  <si>
    <t>456 MK II</t>
  </si>
  <si>
    <t>S41</t>
  </si>
  <si>
    <t>Tayana</t>
  </si>
  <si>
    <t>Pilothouse</t>
  </si>
  <si>
    <t>52 DS</t>
  </si>
  <si>
    <t>Xc 38</t>
  </si>
  <si>
    <t>Dominican Republic</t>
  </si>
  <si>
    <t>British Virgin Islands</t>
  </si>
  <si>
    <t>Cruiser 50</t>
  </si>
  <si>
    <t xml:space="preserve">Bavaria </t>
  </si>
  <si>
    <t>Moorings 42.3</t>
  </si>
  <si>
    <t>Oceanis 50 F G5</t>
  </si>
  <si>
    <t>America 50</t>
  </si>
  <si>
    <t>Oceanis 51</t>
  </si>
  <si>
    <t>Guadeloupe</t>
  </si>
  <si>
    <t xml:space="preserve">Beneteau </t>
  </si>
  <si>
    <t>Moorings 43.5</t>
  </si>
  <si>
    <t xml:space="preserve">Catalina </t>
  </si>
  <si>
    <t>Morgan 440 DS Sloop</t>
  </si>
  <si>
    <t>382 GL</t>
  </si>
  <si>
    <t>450 Liberty version</t>
  </si>
  <si>
    <t xml:space="preserve">Dufour </t>
  </si>
  <si>
    <t xml:space="preserve"> 540e</t>
  </si>
  <si>
    <t>44 Deck Salon</t>
  </si>
  <si>
    <t>OV</t>
  </si>
  <si>
    <t xml:space="preserve">Hunter </t>
  </si>
  <si>
    <t>39i</t>
  </si>
  <si>
    <t>Sun Odyssey  42 DS</t>
  </si>
  <si>
    <t xml:space="preserve">Jeanneau </t>
  </si>
  <si>
    <t>Grenada</t>
  </si>
  <si>
    <t>ShearWater</t>
  </si>
  <si>
    <t xml:space="preserve">Wauquiez </t>
  </si>
  <si>
    <t>Alliaura</t>
  </si>
  <si>
    <t>Feeling 39 DI</t>
  </si>
  <si>
    <t>Bali</t>
  </si>
  <si>
    <t>4.0</t>
  </si>
  <si>
    <t>4.5</t>
  </si>
  <si>
    <t>4.6</t>
  </si>
  <si>
    <t xml:space="preserve">Bali </t>
  </si>
  <si>
    <t>Broadblue</t>
  </si>
  <si>
    <t>385</t>
  </si>
  <si>
    <t>Catana</t>
  </si>
  <si>
    <t>Dix Harvey</t>
  </si>
  <si>
    <t>DH550</t>
  </si>
  <si>
    <t xml:space="preserve">Dix Harvey </t>
  </si>
  <si>
    <t>Dolphin Ocema</t>
  </si>
  <si>
    <t>Ocema 42</t>
  </si>
  <si>
    <t xml:space="preserve">Dolphin Ocema </t>
  </si>
  <si>
    <t>Fountaine Pajot</t>
  </si>
  <si>
    <t>Athena 38</t>
  </si>
  <si>
    <t>Lipari 41</t>
  </si>
  <si>
    <t>Lavezzi 40</t>
  </si>
  <si>
    <t>Lucia 40</t>
  </si>
  <si>
    <t>Astrea 42</t>
  </si>
  <si>
    <t>Orana 44</t>
  </si>
  <si>
    <t>Helia 44</t>
  </si>
  <si>
    <t>Bulgaria</t>
  </si>
  <si>
    <t>Helia 44 Maestro</t>
  </si>
  <si>
    <t>Saona 47</t>
  </si>
  <si>
    <t>Bahia 46</t>
  </si>
  <si>
    <t>Pajot Bahia 46</t>
  </si>
  <si>
    <t>Salina 48</t>
  </si>
  <si>
    <t>SABA 50</t>
  </si>
  <si>
    <t>SABA 50 Maestro</t>
  </si>
  <si>
    <t>Lagoon</t>
  </si>
  <si>
    <t>380</t>
  </si>
  <si>
    <t>380 S2</t>
  </si>
  <si>
    <t>39</t>
  </si>
  <si>
    <t>400</t>
  </si>
  <si>
    <t>400 S2</t>
  </si>
  <si>
    <t>410-S2</t>
  </si>
  <si>
    <t>450</t>
  </si>
  <si>
    <t>450F</t>
  </si>
  <si>
    <t>45F</t>
  </si>
  <si>
    <t>450S</t>
  </si>
  <si>
    <t>450s</t>
  </si>
  <si>
    <t>Lagos</t>
  </si>
  <si>
    <t>52F</t>
  </si>
  <si>
    <t xml:space="preserve">Lagoon </t>
  </si>
  <si>
    <t>Leopard</t>
  </si>
  <si>
    <t xml:space="preserve">Leopard </t>
  </si>
  <si>
    <t>Nautitech</t>
  </si>
  <si>
    <t>40 Open</t>
  </si>
  <si>
    <t>Open 40</t>
  </si>
  <si>
    <t>46 Fly</t>
  </si>
  <si>
    <t>46 Open</t>
  </si>
  <si>
    <t xml:space="preserve">Nautitech </t>
  </si>
  <si>
    <t>542</t>
  </si>
  <si>
    <t>Outremer</t>
  </si>
  <si>
    <t>Antares</t>
  </si>
  <si>
    <t>44i</t>
  </si>
  <si>
    <t>44GS</t>
  </si>
  <si>
    <t>4.3 LOFT</t>
  </si>
  <si>
    <t>Chris White</t>
  </si>
  <si>
    <t>MastFoil 40</t>
  </si>
  <si>
    <t>Atlantic 48</t>
  </si>
  <si>
    <t>Atlantic 49MF</t>
  </si>
  <si>
    <t>Lucia 40 Owner's Version</t>
  </si>
  <si>
    <t>Belize 43</t>
  </si>
  <si>
    <t>HH Catamarans</t>
  </si>
  <si>
    <t>HH55 Catamaran</t>
  </si>
  <si>
    <t>Maine Cat</t>
  </si>
  <si>
    <t>Manta</t>
  </si>
  <si>
    <t>42 MK IV</t>
  </si>
  <si>
    <t>Privilege</t>
  </si>
  <si>
    <t>Series 5</t>
  </si>
  <si>
    <t>Seawind</t>
  </si>
  <si>
    <t>1190 Sport</t>
  </si>
  <si>
    <t xml:space="preserve">Seawind </t>
  </si>
  <si>
    <t>Voyage Yachts</t>
  </si>
  <si>
    <t>4.3</t>
  </si>
  <si>
    <t>415</t>
  </si>
  <si>
    <t>47 Ocean Class</t>
  </si>
  <si>
    <t>Cayman Islands</t>
  </si>
  <si>
    <t>Helia 44 Evolution</t>
  </si>
  <si>
    <t xml:space="preserve">Fountaine Pajot </t>
  </si>
  <si>
    <t>Salina 48 Evolution</t>
  </si>
  <si>
    <t>Knysna</t>
  </si>
  <si>
    <t>Panama</t>
  </si>
  <si>
    <t xml:space="preserve"> U.S. Virgin Islands</t>
  </si>
  <si>
    <t>Martinique</t>
  </si>
  <si>
    <t>52 Sport</t>
  </si>
  <si>
    <t>38</t>
  </si>
  <si>
    <t>Sunsail 404</t>
  </si>
  <si>
    <t>47</t>
  </si>
  <si>
    <t>48 Crewed Version</t>
  </si>
  <si>
    <t>40.2</t>
  </si>
  <si>
    <t>441</t>
  </si>
  <si>
    <t>46 open</t>
  </si>
  <si>
    <t>1160</t>
  </si>
  <si>
    <t>Voyage 480</t>
  </si>
  <si>
    <t>Voyage 520 DC</t>
  </si>
  <si>
    <t>USA</t>
  </si>
  <si>
    <t>Europe</t>
  </si>
  <si>
    <t>Caribbean</t>
  </si>
  <si>
    <t>Mexico</t>
  </si>
  <si>
    <t>Connecticut</t>
  </si>
  <si>
    <t>California</t>
  </si>
  <si>
    <t>Variant</t>
  </si>
  <si>
    <t>Geographic Region</t>
  </si>
  <si>
    <t xml:space="preserve">Country/Region/State </t>
  </si>
  <si>
    <t>Length 
(ft)</t>
  </si>
  <si>
    <t>Listing Price (USD)</t>
  </si>
  <si>
    <t>Antigua and Barbuda</t>
  </si>
  <si>
    <t>Aruba</t>
  </si>
  <si>
    <t>Bahamas</t>
  </si>
  <si>
    <t>Barbados</t>
  </si>
  <si>
    <t>Belgium</t>
  </si>
  <si>
    <t>Belize</t>
  </si>
  <si>
    <t>Georgia</t>
  </si>
  <si>
    <t>Guatemala</t>
  </si>
  <si>
    <t>Honduras</t>
  </si>
  <si>
    <t>Maryland</t>
  </si>
  <si>
    <t>Netherlands</t>
  </si>
  <si>
    <t>Netherlands Antilles</t>
  </si>
  <si>
    <t>New York</t>
  </si>
  <si>
    <t>North Carolina</t>
  </si>
  <si>
    <t>Puerto Rico</t>
  </si>
  <si>
    <t>Rhode Island</t>
  </si>
  <si>
    <t>Saint Lucia</t>
  </si>
  <si>
    <t>Texas</t>
  </si>
  <si>
    <t>Trinidad and Tobago</t>
  </si>
  <si>
    <t>U.S. Virgin Islands</t>
  </si>
  <si>
    <t>Washington</t>
  </si>
  <si>
    <t>Massachusetts</t>
  </si>
  <si>
    <t>42 Owners Version</t>
  </si>
  <si>
    <t>50 Owners Version</t>
  </si>
  <si>
    <t>380 Owners Version</t>
  </si>
  <si>
    <t>400 Owners Version</t>
  </si>
  <si>
    <t>450 Owners Version</t>
  </si>
  <si>
    <t>442 Owners Version</t>
  </si>
  <si>
    <t>50F</t>
  </si>
  <si>
    <t>Alabama</t>
  </si>
  <si>
    <t>Denmark</t>
  </si>
  <si>
    <t>Gibraltar</t>
  </si>
  <si>
    <t>Hawaii</t>
  </si>
  <si>
    <t>Hungary</t>
  </si>
  <si>
    <t>Illinois</t>
  </si>
  <si>
    <t>Ireland</t>
  </si>
  <si>
    <t>Jersey</t>
  </si>
  <si>
    <t>Louisiana</t>
  </si>
  <si>
    <t>Maine</t>
  </si>
  <si>
    <t>Michigan</t>
  </si>
  <si>
    <t>Mississippi</t>
  </si>
  <si>
    <t>Monaco</t>
  </si>
  <si>
    <t>New Jersey</t>
  </si>
  <si>
    <t>Norway</t>
  </si>
  <si>
    <t>Ohio</t>
  </si>
  <si>
    <t>Saint Vincent and the Grenadines</t>
  </si>
  <si>
    <t>South Carolina</t>
  </si>
  <si>
    <t>Switzerland</t>
  </si>
  <si>
    <t>Virginia</t>
  </si>
  <si>
    <t>Wisconsin</t>
  </si>
  <si>
    <t>Saint Kitts and Nevis</t>
  </si>
  <si>
    <t>500 Owner's Version</t>
  </si>
  <si>
    <t>Sint Maarten (Dutch part)</t>
  </si>
  <si>
    <t>Saint-Martin</t>
  </si>
  <si>
    <t>385 GL</t>
  </si>
  <si>
    <t>405 GL</t>
  </si>
  <si>
    <t>425 GL</t>
  </si>
  <si>
    <t>445 GL</t>
  </si>
  <si>
    <t>430 GL</t>
  </si>
  <si>
    <t>450 GL</t>
  </si>
  <si>
    <t>455 GL</t>
  </si>
  <si>
    <t>485 GL</t>
  </si>
  <si>
    <t>500 GL</t>
  </si>
  <si>
    <t>40e Performance</t>
  </si>
  <si>
    <t xml:space="preserve"> 520 GL Owner Version</t>
  </si>
  <si>
    <t>525 GL</t>
  </si>
  <si>
    <t>Sun Odyssey 48 DS</t>
  </si>
  <si>
    <t>Cork</t>
  </si>
  <si>
    <t>West Indies</t>
  </si>
  <si>
    <t>38 Cruiser</t>
    <phoneticPr fontId="7" type="noConversion"/>
  </si>
  <si>
    <t>Oceanis 50</t>
    <phoneticPr fontId="7" type="noConversion"/>
  </si>
  <si>
    <t>Beneteau</t>
    <phoneticPr fontId="7" type="noConversion"/>
  </si>
  <si>
    <t>51 Cruiser</t>
    <phoneticPr fontId="7" type="noConversion"/>
  </si>
  <si>
    <t>46</t>
    <phoneticPr fontId="7" type="noConversion"/>
  </si>
  <si>
    <t>Sun Odyssey 389</t>
    <phoneticPr fontId="7" type="noConversion"/>
  </si>
  <si>
    <t>y</t>
    <phoneticPr fontId="7" type="noConversion"/>
  </si>
  <si>
    <t>x1船长</t>
    <phoneticPr fontId="7" type="noConversion"/>
  </si>
  <si>
    <t>x2年份</t>
    <phoneticPr fontId="7" type="noConversion"/>
  </si>
  <si>
    <t>x3GDP</t>
    <phoneticPr fontId="7" type="noConversion"/>
  </si>
  <si>
    <t>x4人均GDP</t>
    <phoneticPr fontId="7" type="noConversion"/>
  </si>
  <si>
    <t>x5通胀率</t>
    <phoneticPr fontId="7" type="noConversion"/>
  </si>
  <si>
    <t>x6GDP增速</t>
    <phoneticPr fontId="7" type="noConversion"/>
  </si>
  <si>
    <r>
      <t>x12</t>
    </r>
    <r>
      <rPr>
        <sz val="11"/>
        <color theme="1"/>
        <rFont val="微软雅黑"/>
        <family val="2"/>
        <charset val="134"/>
      </rPr>
      <t>船型</t>
    </r>
    <r>
      <rPr>
        <sz val="11"/>
        <color theme="1"/>
        <rFont val="Calibri"/>
        <family val="2"/>
        <scheme val="minor"/>
      </rPr>
      <t>5</t>
    </r>
    <phoneticPr fontId="7" type="noConversion"/>
  </si>
  <si>
    <r>
      <t>x11</t>
    </r>
    <r>
      <rPr>
        <sz val="11"/>
        <color theme="1"/>
        <rFont val="微软雅黑"/>
        <family val="2"/>
        <charset val="134"/>
      </rPr>
      <t>船型</t>
    </r>
    <r>
      <rPr>
        <sz val="11"/>
        <color theme="1"/>
        <rFont val="Calibri"/>
        <family val="2"/>
        <scheme val="minor"/>
      </rPr>
      <t>4</t>
    </r>
    <phoneticPr fontId="7" type="noConversion"/>
  </si>
  <si>
    <r>
      <t>x13</t>
    </r>
    <r>
      <rPr>
        <sz val="11"/>
        <color theme="1"/>
        <rFont val="微软雅黑"/>
        <family val="2"/>
        <charset val="134"/>
      </rPr>
      <t>船型</t>
    </r>
    <r>
      <rPr>
        <sz val="11"/>
        <color theme="1"/>
        <rFont val="Calibri"/>
        <family val="2"/>
        <scheme val="minor"/>
      </rPr>
      <t>6</t>
    </r>
    <phoneticPr fontId="7" type="noConversion"/>
  </si>
  <si>
    <t>LWL</t>
    <phoneticPr fontId="7" type="noConversion"/>
  </si>
  <si>
    <t>S.A.</t>
    <phoneticPr fontId="7" type="noConversion"/>
  </si>
  <si>
    <t>Fuel</t>
    <phoneticPr fontId="7" type="noConversion"/>
  </si>
  <si>
    <t>Beam</t>
    <phoneticPr fontId="7" type="noConversion"/>
  </si>
  <si>
    <t>Bavaria</t>
    <phoneticPr fontId="7" type="noConversion"/>
  </si>
  <si>
    <t>Cruiser 41S</t>
    <phoneticPr fontId="7" type="noConversion"/>
  </si>
  <si>
    <t>Actual Price</t>
    <phoneticPr fontId="7" type="noConversion"/>
  </si>
  <si>
    <t>ID</t>
    <phoneticPr fontId="7" type="noConversion"/>
  </si>
  <si>
    <t>Predictive Price</t>
    <phoneticPr fontId="7" type="noConversion"/>
  </si>
  <si>
    <t>Accuracy</t>
    <phoneticPr fontId="7" type="noConversion"/>
  </si>
  <si>
    <t>Accuracy of Actual Application</t>
    <phoneticPr fontId="7" type="noConversion"/>
  </si>
  <si>
    <t>ID</t>
    <phoneticPr fontId="7" type="noConversion"/>
  </si>
  <si>
    <t>Length (ft)</t>
    <phoneticPr fontId="7" type="noConversion"/>
  </si>
  <si>
    <t>Hallberg-Rassy</t>
    <phoneticPr fontId="7" type="noConversion"/>
  </si>
  <si>
    <t>Oyster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</si>
</sst>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$&quot;#,##0"/>
    <numFmt numFmtId="177" formatCode="0.00_ "/>
    <numFmt numFmtId="178" formatCode="0_ 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auto="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>
      <alignment vertical="center"/>
    </xf>
  </cellStyleXfs>
  <cellXfs count="84">
    <xf numFmtId="0" fontId="0" fillId="0" borderId="0" xfId="0"/>
    <xf numFmtId="0" fontId="5" fillId="0" borderId="5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3" fontId="5" fillId="0" borderId="1" xfId="0" applyNumberFormat="1" applyFont="1" applyBorder="1"/>
    <xf numFmtId="0" fontId="5" fillId="0" borderId="7" xfId="0" applyFont="1" applyBorder="1" applyAlignment="1">
      <alignment horizontal="left"/>
    </xf>
    <xf numFmtId="49" fontId="5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6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0" xfId="0" applyAlignment="1">
      <alignment wrapText="1"/>
    </xf>
    <xf numFmtId="0" fontId="5" fillId="0" borderId="2" xfId="0" applyFont="1" applyBorder="1" applyAlignment="1">
      <alignment horizontal="left" wrapText="1"/>
    </xf>
    <xf numFmtId="49" fontId="5" fillId="0" borderId="3" xfId="0" applyNumberFormat="1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176" fontId="5" fillId="0" borderId="1" xfId="0" applyNumberFormat="1" applyFont="1" applyBorder="1" applyAlignment="1">
      <alignment horizontal="right"/>
    </xf>
    <xf numFmtId="176" fontId="5" fillId="0" borderId="8" xfId="0" applyNumberFormat="1" applyFont="1" applyBorder="1" applyAlignment="1">
      <alignment horizontal="right"/>
    </xf>
    <xf numFmtId="176" fontId="0" fillId="0" borderId="0" xfId="0" applyNumberFormat="1" applyAlignment="1">
      <alignment horizontal="right"/>
    </xf>
    <xf numFmtId="176" fontId="5" fillId="0" borderId="3" xfId="0" applyNumberFormat="1" applyFont="1" applyBorder="1" applyAlignment="1">
      <alignment horizontal="right" wrapText="1"/>
    </xf>
    <xf numFmtId="176" fontId="4" fillId="0" borderId="3" xfId="0" applyNumberFormat="1" applyFont="1" applyBorder="1" applyAlignment="1">
      <alignment horizontal="righ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0" fillId="0" borderId="9" xfId="0" applyBorder="1"/>
    <xf numFmtId="0" fontId="0" fillId="3" borderId="0" xfId="0" applyFill="1"/>
    <xf numFmtId="177" fontId="6" fillId="0" borderId="4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/>
    </xf>
    <xf numFmtId="178" fontId="5" fillId="0" borderId="6" xfId="0" applyNumberFormat="1" applyFont="1" applyBorder="1" applyAlignment="1">
      <alignment horizontal="center"/>
    </xf>
    <xf numFmtId="178" fontId="2" fillId="0" borderId="0" xfId="0" applyNumberFormat="1" applyFont="1"/>
    <xf numFmtId="178" fontId="0" fillId="0" borderId="0" xfId="0" applyNumberFormat="1"/>
    <xf numFmtId="0" fontId="2" fillId="0" borderId="3" xfId="0" applyFont="1" applyBorder="1" applyAlignment="1">
      <alignment wrapText="1"/>
    </xf>
    <xf numFmtId="0" fontId="0" fillId="4" borderId="0" xfId="0" applyFill="1"/>
    <xf numFmtId="0" fontId="2" fillId="4" borderId="0" xfId="0" applyFont="1" applyFill="1"/>
    <xf numFmtId="0" fontId="5" fillId="2" borderId="1" xfId="0" applyFont="1" applyFill="1" applyBorder="1" applyAlignment="1">
      <alignment horizontal="left" wrapText="1"/>
    </xf>
    <xf numFmtId="49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176" fontId="5" fillId="2" borderId="1" xfId="0" applyNumberFormat="1" applyFont="1" applyFill="1" applyBorder="1" applyAlignment="1">
      <alignment horizontal="right" wrapText="1"/>
    </xf>
    <xf numFmtId="0" fontId="5" fillId="2" borderId="6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49" fontId="5" fillId="3" borderId="1" xfId="0" applyNumberFormat="1" applyFont="1" applyFill="1" applyBorder="1" applyAlignment="1">
      <alignment horizontal="left"/>
    </xf>
    <xf numFmtId="0" fontId="0" fillId="3" borderId="10" xfId="0" applyFill="1" applyBorder="1"/>
    <xf numFmtId="0" fontId="5" fillId="3" borderId="11" xfId="0" applyFont="1" applyFill="1" applyBorder="1" applyAlignment="1">
      <alignment horizontal="left"/>
    </xf>
    <xf numFmtId="49" fontId="5" fillId="3" borderId="11" xfId="0" applyNumberFormat="1" applyFont="1" applyFill="1" applyBorder="1" applyAlignment="1">
      <alignment horizontal="left"/>
    </xf>
    <xf numFmtId="0" fontId="5" fillId="3" borderId="11" xfId="0" applyFont="1" applyFill="1" applyBorder="1" applyAlignment="1">
      <alignment horizontal="center"/>
    </xf>
    <xf numFmtId="0" fontId="2" fillId="2" borderId="6" xfId="0" applyFont="1" applyFill="1" applyBorder="1" applyAlignment="1">
      <alignment wrapText="1"/>
    </xf>
    <xf numFmtId="0" fontId="0" fillId="3" borderId="1" xfId="0" applyFill="1" applyBorder="1"/>
    <xf numFmtId="10" fontId="0" fillId="0" borderId="0" xfId="1" applyNumberFormat="1" applyFont="1" applyAlignment="1"/>
    <xf numFmtId="0" fontId="0" fillId="0" borderId="6" xfId="0" applyBorder="1"/>
    <xf numFmtId="10" fontId="2" fillId="2" borderId="1" xfId="1" applyNumberFormat="1" applyFont="1" applyFill="1" applyBorder="1" applyAlignment="1">
      <alignment wrapText="1"/>
    </xf>
    <xf numFmtId="10" fontId="0" fillId="0" borderId="1" xfId="1" applyNumberFormat="1" applyFont="1" applyBorder="1" applyAlignment="1"/>
    <xf numFmtId="10" fontId="0" fillId="0" borderId="8" xfId="1" applyNumberFormat="1" applyFont="1" applyBorder="1" applyAlignment="1"/>
    <xf numFmtId="10" fontId="10" fillId="0" borderId="12" xfId="1" applyNumberFormat="1" applyFont="1" applyBorder="1" applyAlignment="1"/>
    <xf numFmtId="0" fontId="0" fillId="3" borderId="8" xfId="0" applyFill="1" applyBorder="1"/>
    <xf numFmtId="0" fontId="0" fillId="0" borderId="8" xfId="0" applyBorder="1"/>
    <xf numFmtId="0" fontId="0" fillId="0" borderId="14" xfId="0" applyBorder="1"/>
    <xf numFmtId="0" fontId="2" fillId="0" borderId="13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10" fontId="2" fillId="2" borderId="1" xfId="1" applyNumberFormat="1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10" fontId="0" fillId="0" borderId="8" xfId="1" applyNumberFormat="1" applyFont="1" applyBorder="1" applyAlignment="1">
      <alignment horizontal="center"/>
    </xf>
    <xf numFmtId="10" fontId="10" fillId="0" borderId="12" xfId="1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2" borderId="15" xfId="0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center" wrapText="1"/>
    </xf>
    <xf numFmtId="49" fontId="5" fillId="3" borderId="1" xfId="0" applyNumberFormat="1" applyFont="1" applyFill="1" applyBorder="1" applyAlignment="1">
      <alignment horizontal="center"/>
    </xf>
    <xf numFmtId="49" fontId="5" fillId="3" borderId="11" xfId="0" applyNumberFormat="1" applyFont="1" applyFill="1" applyBorder="1" applyAlignment="1">
      <alignment horizontal="center"/>
    </xf>
  </cellXfs>
  <cellStyles count="2">
    <cellStyle name="百分比" xfId="1" builtinId="5"/>
    <cellStyle name="常规" xfId="0" builtinId="0"/>
  </cellStyles>
  <dxfs count="101"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numFmt numFmtId="178" formatCode="0_ 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numFmt numFmtId="178" formatCode="0_ 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&quot;$&quot;#,##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&quot;$&quot;#,##0"/>
      <fill>
        <patternFill patternType="none">
          <bgColor auto="1"/>
        </patternFill>
      </fill>
      <alignment horizontal="righ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ill>
        <patternFill patternType="none">
          <bgColor auto="1"/>
        </patternFill>
      </fill>
      <alignment vertical="bottom" textRotation="0" wrapTex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8">
    <tableStyle name="Europe Monohulls-style" pivot="0" count="3" xr9:uid="{00000000-0011-0000-FFFF-FFFF00000000}">
      <tableStyleElement type="headerRow" dxfId="100"/>
      <tableStyleElement type="firstRowStripe" dxfId="99"/>
      <tableStyleElement type="secondRowStripe" dxfId="98"/>
    </tableStyle>
    <tableStyle name="United States Monohulls-style" pivot="0" count="3" xr9:uid="{00000000-0011-0000-FFFF-FFFF01000000}">
      <tableStyleElement type="headerRow" dxfId="97"/>
      <tableStyleElement type="firstRowStripe" dxfId="96"/>
      <tableStyleElement type="secondRowStripe" dxfId="95"/>
    </tableStyle>
    <tableStyle name="Caribbean Monohulls-style" pivot="0" count="3" xr9:uid="{00000000-0011-0000-FFFF-FFFF02000000}">
      <tableStyleElement type="headerRow" dxfId="94"/>
      <tableStyleElement type="firstRowStripe" dxfId="93"/>
      <tableStyleElement type="secondRowStripe" dxfId="92"/>
    </tableStyle>
    <tableStyle name="Europe Catamarans-style" pivot="0" count="3" xr9:uid="{00000000-0011-0000-FFFF-FFFF03000000}">
      <tableStyleElement type="headerRow" dxfId="91"/>
      <tableStyleElement type="firstRowStripe" dxfId="90"/>
      <tableStyleElement type="secondRowStripe" dxfId="89"/>
    </tableStyle>
    <tableStyle name="United States Catamarans-style" pivot="0" count="3" xr9:uid="{00000000-0011-0000-FFFF-FFFF04000000}">
      <tableStyleElement type="headerRow" dxfId="88"/>
      <tableStyleElement type="firstRowStripe" dxfId="87"/>
      <tableStyleElement type="secondRowStripe" dxfId="86"/>
    </tableStyle>
    <tableStyle name="Caribbean Catamarans-style" pivot="0" count="3" xr9:uid="{00000000-0011-0000-FFFF-FFFF05000000}">
      <tableStyleElement type="headerRow" dxfId="85"/>
      <tableStyleElement type="firstRowStripe" dxfId="84"/>
      <tableStyleElement type="secondRowStripe" dxfId="83"/>
    </tableStyle>
    <tableStyle name="Combined Monohulls-style" pivot="0" count="3" xr9:uid="{00000000-0011-0000-FFFF-FFFF06000000}">
      <tableStyleElement type="headerRow" dxfId="82"/>
      <tableStyleElement type="firstRowStripe" dxfId="81"/>
      <tableStyleElement type="secondRowStripe" dxfId="80"/>
    </tableStyle>
    <tableStyle name="Combined Catamarans-style" pivot="0" count="3" xr9:uid="{00000000-0011-0000-FFFF-FFFF07000000}">
      <tableStyleElement type="headerRow" dxfId="79"/>
      <tableStyleElement type="firstRowStripe" dxfId="78"/>
      <tableStyleElement type="secondRowStripe" dxfId="7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U2347" headerRowDxfId="76" dataDxfId="74" totalsRowDxfId="72" headerRowBorderDxfId="75" tableBorderDxfId="73">
  <autoFilter ref="A1:U2347" xr:uid="{00000000-000C-0000-FFFF-FFFF06000000}"/>
  <sortState xmlns:xlrd2="http://schemas.microsoft.com/office/spreadsheetml/2017/richdata2" ref="A2:U2347">
    <sortCondition descending="1" ref="Q1:Q2347"/>
  </sortState>
  <tableColumns count="21">
    <tableColumn id="1" xr3:uid="{00000000-0010-0000-0600-000001000000}" name="Make" dataDxfId="71"/>
    <tableColumn id="2" xr3:uid="{00000000-0010-0000-0600-000002000000}" name="Variant" dataDxfId="70"/>
    <tableColumn id="3" xr3:uid="{00000000-0010-0000-0600-000003000000}" name="Length _x000a_(ft)" dataDxfId="69"/>
    <tableColumn id="4" xr3:uid="{00000000-0010-0000-0600-000004000000}" name="Geographic Region" dataDxfId="68"/>
    <tableColumn id="5" xr3:uid="{00000000-0010-0000-0600-000005000000}" name="Country/Region/State " dataDxfId="67"/>
    <tableColumn id="6" xr3:uid="{00000000-0010-0000-0600-000006000000}" name="Listing Price (USD)" dataDxfId="66"/>
    <tableColumn id="7" xr3:uid="{00000000-0010-0000-0600-000007000000}" name="Year" dataDxfId="65"/>
    <tableColumn id="8" xr3:uid="{5D7FDE79-6D2D-4394-96D0-AD9DEA4A0AA6}" name="y" dataDxfId="64">
      <calculatedColumnFormula>Table_7[[#This Row],[Listing Price (USD)]]/10000</calculatedColumnFormula>
    </tableColumn>
    <tableColumn id="9" xr3:uid="{05E3A1C2-FE68-4D85-B4DA-83D2BEDDD6E5}" name="x1船长" dataDxfId="63" totalsRowDxfId="62">
      <calculatedColumnFormula>Table_7[[#This Row],[Length 
(ft)]]</calculatedColumnFormula>
    </tableColumn>
    <tableColumn id="10" xr3:uid="{C1A76713-C7F2-4E59-B810-352924221379}" name="x2年份" dataDxfId="61">
      <calculatedColumnFormula>2020-Table_7[[#This Row],[Year]]</calculatedColumnFormula>
    </tableColumn>
    <tableColumn id="11" xr3:uid="{CB5FF73E-C96C-49E6-8B3A-56327523F51F}" name="x3GDP" dataDxfId="60" totalsRowDxfId="59"/>
    <tableColumn id="12" xr3:uid="{669194F2-C883-4BC0-9A3B-2EBB186FEF69}" name="x4人均GDP" dataDxfId="58" totalsRowDxfId="57"/>
    <tableColumn id="13" xr3:uid="{4E9E8532-A74C-4786-B112-CE13562D12CD}" name="x5通胀率" dataDxfId="56" totalsRowDxfId="55"/>
    <tableColumn id="14" xr3:uid="{4E44C210-FC08-4993-83BA-AB76E5A0370A}" name="x6GDP增速" dataDxfId="54" totalsRowDxfId="53"/>
    <tableColumn id="15" xr3:uid="{9C8AE836-C06B-4CA9-96BA-7BDA864C8739}" name="LWL" dataDxfId="52" totalsRowDxfId="51"/>
    <tableColumn id="16" xr3:uid="{706C5DE7-2507-4BA2-824B-038B3C3584DA}" name="S.A." dataDxfId="50" totalsRowDxfId="49"/>
    <tableColumn id="17" xr3:uid="{F1036929-C13C-421C-BC45-9E58B6E7F32D}" name="Fuel" dataDxfId="48" totalsRowDxfId="47"/>
    <tableColumn id="18" xr3:uid="{477F89BF-42F5-4E17-8C36-8E757188A71A}" name="Beam" dataDxfId="46" totalsRowDxfId="45"/>
    <tableColumn id="19" xr3:uid="{5310BB21-CA09-41F4-A0E9-A9FD4A127A10}" name="x11船型4" dataDxfId="44" totalsRowDxfId="43"/>
    <tableColumn id="20" xr3:uid="{B71EAB89-0579-4862-B715-7BAD4CD8C299}" name="x12船型5" dataDxfId="42" totalsRowDxfId="41"/>
    <tableColumn id="21" xr3:uid="{181E5369-9B26-4EFA-90A8-C714CB3CC73C}" name="x13船型6" dataDxfId="40" totalsRowDxfId="39"/>
  </tableColumns>
  <tableStyleInfo name="Combined Monohull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U1146" headerRowDxfId="38" dataDxfId="36" totalsRowDxfId="34" headerRowBorderDxfId="37" tableBorderDxfId="35">
  <autoFilter ref="A1:U1146" xr:uid="{00000000-000C-0000-FFFF-FFFF07000000}"/>
  <sortState xmlns:xlrd2="http://schemas.microsoft.com/office/spreadsheetml/2017/richdata2" ref="A2:U1146">
    <sortCondition ref="B2:B1146"/>
    <sortCondition ref="F2:F1146"/>
  </sortState>
  <tableColumns count="21">
    <tableColumn id="1" xr3:uid="{00000000-0010-0000-0700-000001000000}" name="Make" dataDxfId="33"/>
    <tableColumn id="2" xr3:uid="{00000000-0010-0000-0700-000002000000}" name="Variant" dataDxfId="32"/>
    <tableColumn id="3" xr3:uid="{00000000-0010-0000-0700-000003000000}" name="Length _x000a_(ft)" dataDxfId="31"/>
    <tableColumn id="4" xr3:uid="{00000000-0010-0000-0700-000004000000}" name="Geographic Region" dataDxfId="30"/>
    <tableColumn id="5" xr3:uid="{00000000-0010-0000-0700-000005000000}" name="Country/Region/State " dataDxfId="29"/>
    <tableColumn id="6" xr3:uid="{00000000-0010-0000-0700-000006000000}" name="Listing Price (USD)" dataDxfId="28"/>
    <tableColumn id="7" xr3:uid="{00000000-0010-0000-0700-000007000000}" name="Year" dataDxfId="27"/>
    <tableColumn id="8" xr3:uid="{062289C7-01C0-4B72-9112-ADCB9141FB67}" name="y" dataDxfId="26" totalsRowDxfId="25">
      <calculatedColumnFormula>Table_8[[#This Row],[Listing Price (USD)]]/10000</calculatedColumnFormula>
    </tableColumn>
    <tableColumn id="9" xr3:uid="{3D0D66EC-AB43-40E5-BC0E-B8B5C858644F}" name="x1船长" dataDxfId="24" totalsRowDxfId="23">
      <calculatedColumnFormula>Table_8[[#This Row],[Length 
(ft)]]</calculatedColumnFormula>
    </tableColumn>
    <tableColumn id="10" xr3:uid="{D472F016-D213-4580-B659-73F498BEA7C5}" name="x2年份" dataDxfId="22">
      <calculatedColumnFormula>2020-Table_8[[#This Row],[Year]]</calculatedColumnFormula>
    </tableColumn>
    <tableColumn id="11" xr3:uid="{EB9ECB17-EFA1-4068-99B7-1BDF2DBA5C71}" name="x3GDP" dataDxfId="21" totalsRowDxfId="20"/>
    <tableColumn id="12" xr3:uid="{C406D1E2-FD1D-4345-9506-D6071DD263EC}" name="x4人均GDP" dataDxfId="19" totalsRowDxfId="18"/>
    <tableColumn id="13" xr3:uid="{0181AB7E-1EB8-4B89-A9B3-07E36174C245}" name="x5通胀率" dataDxfId="17" totalsRowDxfId="16"/>
    <tableColumn id="14" xr3:uid="{FB5BCF23-05ED-44EB-BB15-F0DDC09AB3EC}" name="x6GDP增速" dataDxfId="15" totalsRowDxfId="14"/>
    <tableColumn id="15" xr3:uid="{9C87DE84-164A-4726-A49C-94B6382D9E33}" name="LWL" dataDxfId="13" totalsRowDxfId="12"/>
    <tableColumn id="16" xr3:uid="{7F386915-D698-4A5C-8A1B-A974BEFC10D8}" name="S.A." dataDxfId="11" totalsRowDxfId="10"/>
    <tableColumn id="17" xr3:uid="{A363A6C2-7B80-4181-AD7A-DCE78A5FC16A}" name="Fuel" dataDxfId="9" totalsRowDxfId="8"/>
    <tableColumn id="18" xr3:uid="{C4457537-502E-43A5-9DD1-C50BBA446323}" name="Beam" dataDxfId="7" totalsRowDxfId="6"/>
    <tableColumn id="19" xr3:uid="{762C82EB-F8F1-4697-8307-5E00C0521171}" name="x11船型4" dataDxfId="5" totalsRowDxfId="4"/>
    <tableColumn id="20" xr3:uid="{98946116-A8FC-4204-BC61-7EC5844CE428}" name="x12船型5" dataDxfId="3" totalsRowDxfId="2"/>
    <tableColumn id="21" xr3:uid="{728BC35A-F9E0-4305-A213-2653338FDE38}" name="x13船型6" dataDxfId="1" totalsRowDxfId="0"/>
  </tableColumns>
  <tableStyleInfo name="Combined Catamaran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347"/>
  <sheetViews>
    <sheetView tabSelected="1" zoomScale="85" zoomScaleNormal="85" workbookViewId="0">
      <selection activeCell="A26" sqref="A26"/>
    </sheetView>
  </sheetViews>
  <sheetFormatPr defaultColWidth="14.42578125" defaultRowHeight="15" x14ac:dyDescent="0.25"/>
  <cols>
    <col min="1" max="1" width="12.42578125" bestFit="1" customWidth="1"/>
    <col min="2" max="2" width="26.140625" bestFit="1" customWidth="1"/>
    <col min="3" max="3" width="9" style="17" bestFit="1" customWidth="1"/>
    <col min="4" max="4" width="11.28515625" customWidth="1"/>
    <col min="5" max="5" width="28" bestFit="1" customWidth="1"/>
    <col min="6" max="6" width="11.7109375" style="25" customWidth="1"/>
    <col min="7" max="8" width="8" style="17" customWidth="1"/>
    <col min="9" max="26" width="9.7109375" customWidth="1"/>
  </cols>
  <sheetData>
    <row r="1" spans="1:21" s="11" customFormat="1" ht="30.75" x14ac:dyDescent="0.3">
      <c r="A1" s="12" t="s">
        <v>0</v>
      </c>
      <c r="B1" s="13" t="s">
        <v>501</v>
      </c>
      <c r="C1" s="21" t="s">
        <v>504</v>
      </c>
      <c r="D1" s="14" t="s">
        <v>502</v>
      </c>
      <c r="E1" s="14" t="s">
        <v>503</v>
      </c>
      <c r="F1" s="26" t="s">
        <v>505</v>
      </c>
      <c r="G1" s="22" t="s">
        <v>1</v>
      </c>
      <c r="H1" s="22" t="s">
        <v>581</v>
      </c>
      <c r="I1" s="29" t="s">
        <v>582</v>
      </c>
      <c r="J1" s="30" t="s">
        <v>583</v>
      </c>
      <c r="K1" s="30" t="s">
        <v>584</v>
      </c>
      <c r="L1" s="30" t="s">
        <v>585</v>
      </c>
      <c r="M1" s="30" t="s">
        <v>586</v>
      </c>
      <c r="N1" s="30" t="s">
        <v>587</v>
      </c>
      <c r="O1" s="38" t="s">
        <v>591</v>
      </c>
      <c r="P1" s="38" t="s">
        <v>592</v>
      </c>
      <c r="Q1" s="38" t="s">
        <v>593</v>
      </c>
      <c r="R1" s="38" t="s">
        <v>594</v>
      </c>
      <c r="S1" s="30" t="s">
        <v>589</v>
      </c>
      <c r="T1" s="30" t="s">
        <v>588</v>
      </c>
      <c r="U1" s="30" t="s">
        <v>590</v>
      </c>
    </row>
    <row r="2" spans="1:21" x14ac:dyDescent="0.25">
      <c r="A2" s="1" t="s">
        <v>252</v>
      </c>
      <c r="B2" s="2" t="s">
        <v>255</v>
      </c>
      <c r="C2" s="19">
        <v>50</v>
      </c>
      <c r="D2" s="3" t="s">
        <v>496</v>
      </c>
      <c r="E2" s="3" t="s">
        <v>3</v>
      </c>
      <c r="F2" s="23">
        <v>1311872</v>
      </c>
      <c r="G2" s="15">
        <v>2017</v>
      </c>
      <c r="H2" s="15">
        <f>Table_7[[#This Row],[Listing Price (USD)]]/10000</f>
        <v>131.18719999999999</v>
      </c>
      <c r="I2" s="28">
        <f>Table_7[[#This Row],[Length 
(ft)]]</f>
        <v>50</v>
      </c>
      <c r="J2" s="28">
        <f>2020-Table_7[[#This Row],[Year]]</f>
        <v>3</v>
      </c>
      <c r="K2">
        <v>2639008701648.2598</v>
      </c>
      <c r="L2">
        <v>39055.282928075401</v>
      </c>
      <c r="M2">
        <v>0.47649885272508302</v>
      </c>
      <c r="N2">
        <v>-7.7845864916787102</v>
      </c>
      <c r="O2">
        <v>37.5</v>
      </c>
      <c r="P2">
        <v>1112.002</v>
      </c>
      <c r="Q2">
        <v>480</v>
      </c>
      <c r="R2">
        <v>15.08</v>
      </c>
    </row>
    <row r="3" spans="1:21" x14ac:dyDescent="0.25">
      <c r="A3" s="1" t="s">
        <v>127</v>
      </c>
      <c r="B3" s="2">
        <v>55</v>
      </c>
      <c r="C3" s="19">
        <v>55</v>
      </c>
      <c r="D3" s="3" t="s">
        <v>496</v>
      </c>
      <c r="E3" s="3" t="s">
        <v>19</v>
      </c>
      <c r="F3" s="23">
        <v>766082</v>
      </c>
      <c r="G3" s="15">
        <v>2010</v>
      </c>
      <c r="H3" s="15">
        <f>Table_7[[#This Row],[Listing Price (USD)]]/10000</f>
        <v>76.608199999999997</v>
      </c>
      <c r="I3" s="28">
        <f>Table_7[[#This Row],[Length 
(ft)]]</f>
        <v>55</v>
      </c>
      <c r="J3" s="28">
        <f>2020-Table_7[[#This Row],[Year]]</f>
        <v>10</v>
      </c>
      <c r="K3">
        <v>4200000000</v>
      </c>
      <c r="L3">
        <v>39553.199999999997</v>
      </c>
      <c r="M3">
        <v>4.0999999999999996</v>
      </c>
      <c r="N3">
        <v>-2.1</v>
      </c>
      <c r="O3">
        <v>49.21</v>
      </c>
      <c r="P3">
        <v>1237.8499999999999</v>
      </c>
      <c r="Q3">
        <v>352</v>
      </c>
      <c r="R3">
        <v>15.68</v>
      </c>
    </row>
    <row r="4" spans="1:21" x14ac:dyDescent="0.25">
      <c r="A4" s="1" t="s">
        <v>127</v>
      </c>
      <c r="B4" s="2">
        <v>55</v>
      </c>
      <c r="C4" s="19">
        <v>55</v>
      </c>
      <c r="D4" s="3" t="s">
        <v>496</v>
      </c>
      <c r="E4" s="3" t="s">
        <v>19</v>
      </c>
      <c r="F4" s="23">
        <v>1885229</v>
      </c>
      <c r="G4" s="15">
        <v>2018</v>
      </c>
      <c r="H4" s="15">
        <f>Table_7[[#This Row],[Listing Price (USD)]]/10000</f>
        <v>188.52289999999999</v>
      </c>
      <c r="I4" s="28">
        <f>Table_7[[#This Row],[Length 
(ft)]]</f>
        <v>55</v>
      </c>
      <c r="J4" s="28">
        <f>2020-Table_7[[#This Row],[Year]]</f>
        <v>2</v>
      </c>
      <c r="K4">
        <v>4200000000</v>
      </c>
      <c r="L4">
        <v>39553.199999999997</v>
      </c>
      <c r="M4">
        <v>4.0999999999999996</v>
      </c>
      <c r="N4">
        <v>-2.1</v>
      </c>
      <c r="O4">
        <v>49.21</v>
      </c>
      <c r="P4">
        <v>1237.8499999999999</v>
      </c>
      <c r="Q4">
        <v>352</v>
      </c>
      <c r="R4">
        <v>15.68</v>
      </c>
    </row>
    <row r="5" spans="1:21" x14ac:dyDescent="0.25">
      <c r="A5" s="1" t="s">
        <v>164</v>
      </c>
      <c r="B5" s="2">
        <v>56</v>
      </c>
      <c r="C5" s="19">
        <v>55</v>
      </c>
      <c r="D5" s="3" t="s">
        <v>496</v>
      </c>
      <c r="E5" s="3" t="s">
        <v>24</v>
      </c>
      <c r="F5" s="23">
        <v>498026</v>
      </c>
      <c r="G5" s="15">
        <v>2011</v>
      </c>
      <c r="H5" s="15">
        <f>Table_7[[#This Row],[Listing Price (USD)]]/10000</f>
        <v>49.802599999999998</v>
      </c>
      <c r="I5" s="28">
        <f>Table_7[[#This Row],[Length 
(ft)]]</f>
        <v>55</v>
      </c>
      <c r="J5" s="28">
        <f>2020-Table_7[[#This Row],[Year]]</f>
        <v>9</v>
      </c>
      <c r="K5">
        <v>1896755301518.1399</v>
      </c>
      <c r="L5">
        <v>31911.0357890017</v>
      </c>
      <c r="M5">
        <v>-0.13770757391656999</v>
      </c>
      <c r="N5">
        <v>-9.0399534112288507</v>
      </c>
      <c r="O5">
        <v>49.21</v>
      </c>
      <c r="P5">
        <v>1237.8499999999999</v>
      </c>
      <c r="Q5">
        <v>352</v>
      </c>
      <c r="R5">
        <v>15.68</v>
      </c>
    </row>
    <row r="6" spans="1:21" x14ac:dyDescent="0.25">
      <c r="A6" s="1" t="s">
        <v>112</v>
      </c>
      <c r="B6" s="2" t="s">
        <v>116</v>
      </c>
      <c r="C6" s="19">
        <v>55</v>
      </c>
      <c r="D6" s="3" t="s">
        <v>496</v>
      </c>
      <c r="E6" s="3" t="s">
        <v>516</v>
      </c>
      <c r="F6" s="23">
        <v>589128</v>
      </c>
      <c r="G6" s="15">
        <v>2007</v>
      </c>
      <c r="H6" s="15">
        <f>Table_7[[#This Row],[Listing Price (USD)]]/10000</f>
        <v>58.912799999999997</v>
      </c>
      <c r="I6" s="28">
        <f>Table_7[[#This Row],[Length 
(ft)]]</f>
        <v>55</v>
      </c>
      <c r="J6" s="28">
        <f>2020-Table_7[[#This Row],[Year]]</f>
        <v>13</v>
      </c>
      <c r="K6">
        <v>909793466661.48096</v>
      </c>
      <c r="L6">
        <v>52162.570115040602</v>
      </c>
      <c r="M6">
        <v>1.2724603778917001</v>
      </c>
      <c r="N6">
        <v>-3.88608391819609</v>
      </c>
      <c r="O6">
        <v>49.21</v>
      </c>
      <c r="P6">
        <v>1237.8499999999999</v>
      </c>
      <c r="Q6">
        <v>352</v>
      </c>
      <c r="R6">
        <v>15.68</v>
      </c>
    </row>
    <row r="7" spans="1:21" x14ac:dyDescent="0.25">
      <c r="A7" s="1" t="s">
        <v>164</v>
      </c>
      <c r="B7" s="2" t="s">
        <v>174</v>
      </c>
      <c r="C7" s="19">
        <v>55</v>
      </c>
      <c r="D7" s="3" t="s">
        <v>496</v>
      </c>
      <c r="E7" s="3" t="s">
        <v>24</v>
      </c>
      <c r="F7" s="23">
        <v>498045</v>
      </c>
      <c r="G7" s="15">
        <v>2011</v>
      </c>
      <c r="H7" s="15">
        <f>Table_7[[#This Row],[Listing Price (USD)]]/10000</f>
        <v>49.804499999999997</v>
      </c>
      <c r="I7" s="28">
        <f>Table_7[[#This Row],[Length 
(ft)]]</f>
        <v>55</v>
      </c>
      <c r="J7" s="28">
        <f>2020-Table_7[[#This Row],[Year]]</f>
        <v>9</v>
      </c>
      <c r="K7">
        <v>1896755301518.1399</v>
      </c>
      <c r="L7">
        <v>31911.0357890017</v>
      </c>
      <c r="M7">
        <v>-0.13770757391656999</v>
      </c>
      <c r="N7">
        <v>-9.0399534112288507</v>
      </c>
      <c r="O7">
        <v>49.21</v>
      </c>
      <c r="P7">
        <v>1237.8499999999999</v>
      </c>
      <c r="Q7">
        <v>352</v>
      </c>
      <c r="R7">
        <v>15.68</v>
      </c>
    </row>
    <row r="8" spans="1:21" x14ac:dyDescent="0.25">
      <c r="A8" s="1" t="s">
        <v>191</v>
      </c>
      <c r="B8" s="3">
        <v>485</v>
      </c>
      <c r="C8" s="19">
        <v>52</v>
      </c>
      <c r="D8" s="3" t="s">
        <v>495</v>
      </c>
      <c r="E8" s="3" t="s">
        <v>500</v>
      </c>
      <c r="F8" s="23">
        <v>447000</v>
      </c>
      <c r="G8" s="15">
        <v>2007</v>
      </c>
      <c r="H8" s="15">
        <f>Table_7[[#This Row],[Listing Price (USD)]]/10000</f>
        <v>44.7</v>
      </c>
      <c r="I8" s="28">
        <f>Table_7[[#This Row],[Length 
(ft)]]</f>
        <v>52</v>
      </c>
      <c r="J8" s="28">
        <f>2020-Table_7[[#This Row],[Year]]</f>
        <v>13</v>
      </c>
      <c r="K8">
        <v>3007188000000</v>
      </c>
      <c r="L8">
        <v>76131.839999999997</v>
      </c>
      <c r="M8">
        <v>1.23</v>
      </c>
      <c r="N8">
        <v>2.7</v>
      </c>
      <c r="O8">
        <v>43.17</v>
      </c>
      <c r="P8">
        <v>1234</v>
      </c>
      <c r="Q8">
        <v>300</v>
      </c>
      <c r="R8">
        <v>15.33</v>
      </c>
    </row>
    <row r="9" spans="1:21" x14ac:dyDescent="0.25">
      <c r="A9" s="1" t="s">
        <v>191</v>
      </c>
      <c r="B9" s="2">
        <v>485</v>
      </c>
      <c r="C9" s="19">
        <v>52</v>
      </c>
      <c r="D9" s="3" t="s">
        <v>496</v>
      </c>
      <c r="E9" s="3" t="s">
        <v>22</v>
      </c>
      <c r="F9" s="23">
        <v>564834</v>
      </c>
      <c r="G9" s="15">
        <v>2009</v>
      </c>
      <c r="H9" s="15">
        <f>Table_7[[#This Row],[Listing Price (USD)]]/10000</f>
        <v>56.483400000000003</v>
      </c>
      <c r="I9" s="28">
        <f>Table_7[[#This Row],[Length 
(ft)]]</f>
        <v>52</v>
      </c>
      <c r="J9" s="28">
        <f>2020-Table_7[[#This Row],[Year]]</f>
        <v>11</v>
      </c>
      <c r="K9">
        <v>3889668895299.6201</v>
      </c>
      <c r="L9">
        <v>46772.825350754501</v>
      </c>
      <c r="M9">
        <v>0.50668988995327402</v>
      </c>
      <c r="N9">
        <v>-3.6967887053804298</v>
      </c>
      <c r="O9">
        <v>43.17</v>
      </c>
      <c r="P9">
        <v>1234</v>
      </c>
      <c r="Q9">
        <v>300</v>
      </c>
      <c r="R9">
        <v>15.33</v>
      </c>
    </row>
    <row r="10" spans="1:21" x14ac:dyDescent="0.25">
      <c r="A10" s="1" t="s">
        <v>97</v>
      </c>
      <c r="B10" s="2" t="s">
        <v>99</v>
      </c>
      <c r="C10" s="19">
        <v>53</v>
      </c>
      <c r="D10" s="3" t="s">
        <v>496</v>
      </c>
      <c r="E10" s="3" t="s">
        <v>516</v>
      </c>
      <c r="F10" s="23">
        <v>911022</v>
      </c>
      <c r="G10" s="15">
        <v>2007</v>
      </c>
      <c r="H10" s="15">
        <f>Table_7[[#This Row],[Listing Price (USD)]]/10000</f>
        <v>91.102199999999996</v>
      </c>
      <c r="I10" s="28">
        <f>Table_7[[#This Row],[Length 
(ft)]]</f>
        <v>53</v>
      </c>
      <c r="J10" s="28">
        <f>2020-Table_7[[#This Row],[Year]]</f>
        <v>13</v>
      </c>
      <c r="K10">
        <v>909793466661.48096</v>
      </c>
      <c r="L10">
        <v>52162.570115040602</v>
      </c>
      <c r="M10">
        <v>1.2724603778917001</v>
      </c>
      <c r="N10">
        <v>-3.88608391819609</v>
      </c>
      <c r="O10">
        <v>48.79</v>
      </c>
      <c r="P10">
        <v>1675.942</v>
      </c>
      <c r="Q10">
        <v>291</v>
      </c>
      <c r="R10">
        <v>15.22</v>
      </c>
    </row>
    <row r="11" spans="1:21" x14ac:dyDescent="0.25">
      <c r="A11" s="1" t="s">
        <v>250</v>
      </c>
      <c r="B11" s="2">
        <v>44</v>
      </c>
      <c r="C11" s="19">
        <v>43</v>
      </c>
      <c r="D11" s="3" t="s">
        <v>496</v>
      </c>
      <c r="E11" s="3" t="s">
        <v>536</v>
      </c>
      <c r="F11" s="23">
        <v>321907</v>
      </c>
      <c r="G11" s="15">
        <v>2005</v>
      </c>
      <c r="H11" s="15">
        <f>Table_7[[#This Row],[Listing Price (USD)]]/10000</f>
        <v>32.1907</v>
      </c>
      <c r="I11" s="28">
        <f>Table_7[[#This Row],[Length 
(ft)]]</f>
        <v>43</v>
      </c>
      <c r="J11" s="28">
        <f>2020-Table_7[[#This Row],[Year]]</f>
        <v>15</v>
      </c>
      <c r="K11">
        <v>355222449505.211</v>
      </c>
      <c r="L11">
        <v>60915.424399546202</v>
      </c>
      <c r="M11">
        <v>0.42071197411002598</v>
      </c>
      <c r="N11">
        <v>-1.99460756850381</v>
      </c>
      <c r="O11">
        <v>37.75</v>
      </c>
      <c r="P11">
        <v>1227</v>
      </c>
      <c r="Q11">
        <v>285</v>
      </c>
      <c r="R11">
        <v>12.17</v>
      </c>
    </row>
    <row r="12" spans="1:21" x14ac:dyDescent="0.25">
      <c r="A12" s="1" t="s">
        <v>330</v>
      </c>
      <c r="B12" s="3" t="s">
        <v>332</v>
      </c>
      <c r="C12" s="19">
        <v>48</v>
      </c>
      <c r="D12" s="3" t="s">
        <v>495</v>
      </c>
      <c r="E12" s="3" t="s">
        <v>333</v>
      </c>
      <c r="F12" s="23">
        <v>309950</v>
      </c>
      <c r="G12" s="15">
        <v>2008</v>
      </c>
      <c r="H12" s="15">
        <f>Table_7[[#This Row],[Listing Price (USD)]]/10000</f>
        <v>30.995000000000001</v>
      </c>
      <c r="I12" s="28">
        <f>Table_7[[#This Row],[Length 
(ft)]]</f>
        <v>48</v>
      </c>
      <c r="J12" s="28">
        <f>2020-Table_7[[#This Row],[Year]]</f>
        <v>12</v>
      </c>
      <c r="K12">
        <v>1106036000000</v>
      </c>
      <c r="L12">
        <v>51276.72</v>
      </c>
      <c r="M12">
        <v>1.23</v>
      </c>
      <c r="N12">
        <v>2.9</v>
      </c>
      <c r="O12">
        <v>39.5</v>
      </c>
      <c r="P12">
        <v>1014.002</v>
      </c>
      <c r="Q12">
        <v>277</v>
      </c>
      <c r="R12">
        <v>13.16</v>
      </c>
    </row>
    <row r="13" spans="1:21" x14ac:dyDescent="0.25">
      <c r="A13" s="1" t="s">
        <v>330</v>
      </c>
      <c r="B13" s="3" t="s">
        <v>332</v>
      </c>
      <c r="C13" s="19">
        <v>48</v>
      </c>
      <c r="D13" s="3" t="s">
        <v>495</v>
      </c>
      <c r="E13" s="3" t="s">
        <v>333</v>
      </c>
      <c r="F13" s="23">
        <v>339950</v>
      </c>
      <c r="G13" s="15">
        <v>2007</v>
      </c>
      <c r="H13" s="15">
        <f>Table_7[[#This Row],[Listing Price (USD)]]/10000</f>
        <v>33.994999999999997</v>
      </c>
      <c r="I13" s="28">
        <f>Table_7[[#This Row],[Length 
(ft)]]</f>
        <v>48</v>
      </c>
      <c r="J13" s="28">
        <f>2020-Table_7[[#This Row],[Year]]</f>
        <v>13</v>
      </c>
      <c r="K13">
        <v>1106036000000</v>
      </c>
      <c r="L13">
        <v>51276.72</v>
      </c>
      <c r="M13">
        <v>1.23</v>
      </c>
      <c r="N13">
        <v>2.9</v>
      </c>
      <c r="O13">
        <v>39.5</v>
      </c>
      <c r="P13">
        <v>1014.002</v>
      </c>
      <c r="Q13">
        <v>277</v>
      </c>
      <c r="R13">
        <v>13.16</v>
      </c>
    </row>
    <row r="14" spans="1:21" x14ac:dyDescent="0.25">
      <c r="A14" s="1" t="s">
        <v>330</v>
      </c>
      <c r="B14" s="3" t="s">
        <v>334</v>
      </c>
      <c r="C14" s="19">
        <v>48</v>
      </c>
      <c r="D14" s="3" t="s">
        <v>495</v>
      </c>
      <c r="E14" s="3" t="s">
        <v>523</v>
      </c>
      <c r="F14" s="23">
        <v>389900</v>
      </c>
      <c r="G14" s="15">
        <v>2007</v>
      </c>
      <c r="H14" s="15">
        <f>Table_7[[#This Row],[Listing Price (USD)]]/10000</f>
        <v>38.99</v>
      </c>
      <c r="I14" s="28">
        <f>Table_7[[#This Row],[Length 
(ft)]]</f>
        <v>48</v>
      </c>
      <c r="J14" s="28">
        <f>2020-Table_7[[#This Row],[Year]]</f>
        <v>13</v>
      </c>
      <c r="K14">
        <v>1775588000000</v>
      </c>
      <c r="L14">
        <v>60771.06</v>
      </c>
      <c r="M14">
        <v>1.23</v>
      </c>
      <c r="N14">
        <v>5.0999999999999996</v>
      </c>
      <c r="O14">
        <v>39.5</v>
      </c>
      <c r="P14">
        <v>1014.002</v>
      </c>
      <c r="Q14">
        <v>277</v>
      </c>
      <c r="R14">
        <v>13.16</v>
      </c>
    </row>
    <row r="15" spans="1:21" x14ac:dyDescent="0.25">
      <c r="A15" s="1" t="s">
        <v>260</v>
      </c>
      <c r="B15" s="2">
        <v>545</v>
      </c>
      <c r="C15" s="19">
        <v>54</v>
      </c>
      <c r="D15" s="3" t="s">
        <v>496</v>
      </c>
      <c r="E15" s="3" t="s">
        <v>19</v>
      </c>
      <c r="F15" s="23">
        <v>1259040</v>
      </c>
      <c r="G15" s="15">
        <v>2015</v>
      </c>
      <c r="H15" s="15">
        <f>Table_7[[#This Row],[Listing Price (USD)]]/10000</f>
        <v>125.904</v>
      </c>
      <c r="I15" s="28">
        <f>Table_7[[#This Row],[Length 
(ft)]]</f>
        <v>54</v>
      </c>
      <c r="J15" s="28">
        <f>2020-Table_7[[#This Row],[Year]]</f>
        <v>5</v>
      </c>
      <c r="K15">
        <v>4200000000</v>
      </c>
      <c r="L15">
        <v>39553.199999999997</v>
      </c>
      <c r="M15">
        <v>4.0999999999999996</v>
      </c>
      <c r="N15">
        <v>-2.1</v>
      </c>
      <c r="O15">
        <v>52.26</v>
      </c>
      <c r="P15">
        <v>1765.28</v>
      </c>
      <c r="Q15">
        <v>251</v>
      </c>
      <c r="R15">
        <v>16.829999999999998</v>
      </c>
    </row>
    <row r="16" spans="1:21" x14ac:dyDescent="0.25">
      <c r="A16" s="1" t="s">
        <v>357</v>
      </c>
      <c r="B16" s="3" t="s">
        <v>359</v>
      </c>
      <c r="C16" s="19">
        <v>51</v>
      </c>
      <c r="D16" s="3" t="s">
        <v>495</v>
      </c>
      <c r="E16" s="3" t="s">
        <v>515</v>
      </c>
      <c r="F16" s="23">
        <v>635000</v>
      </c>
      <c r="G16" s="15">
        <v>2006</v>
      </c>
      <c r="H16" s="15">
        <f>Table_7[[#This Row],[Listing Price (USD)]]/10000</f>
        <v>63.5</v>
      </c>
      <c r="I16" s="28">
        <f>Table_7[[#This Row],[Length 
(ft)]]</f>
        <v>51</v>
      </c>
      <c r="J16" s="28">
        <f>2020-Table_7[[#This Row],[Year]]</f>
        <v>14</v>
      </c>
      <c r="K16">
        <v>410675000000</v>
      </c>
      <c r="L16">
        <v>66531.03</v>
      </c>
      <c r="M16">
        <v>1.23</v>
      </c>
      <c r="N16">
        <v>1.8</v>
      </c>
      <c r="O16">
        <v>44</v>
      </c>
      <c r="P16">
        <v>1231.002</v>
      </c>
      <c r="Q16">
        <v>250</v>
      </c>
      <c r="R16">
        <v>15.15</v>
      </c>
    </row>
    <row r="17" spans="1:18" x14ac:dyDescent="0.25">
      <c r="A17" s="1" t="s">
        <v>357</v>
      </c>
      <c r="B17" s="3" t="s">
        <v>361</v>
      </c>
      <c r="C17" s="19">
        <v>54</v>
      </c>
      <c r="D17" s="3" t="s">
        <v>495</v>
      </c>
      <c r="E17" s="3" t="s">
        <v>515</v>
      </c>
      <c r="F17" s="23">
        <v>935000</v>
      </c>
      <c r="G17" s="15">
        <v>2012</v>
      </c>
      <c r="H17" s="15">
        <f>Table_7[[#This Row],[Listing Price (USD)]]/10000</f>
        <v>93.5</v>
      </c>
      <c r="I17" s="28">
        <f>Table_7[[#This Row],[Length 
(ft)]]</f>
        <v>54</v>
      </c>
      <c r="J17" s="28">
        <f>2020-Table_7[[#This Row],[Year]]</f>
        <v>8</v>
      </c>
      <c r="K17">
        <v>410675000000</v>
      </c>
      <c r="L17">
        <v>66531.03</v>
      </c>
      <c r="M17">
        <v>1.23</v>
      </c>
      <c r="N17">
        <v>1.8</v>
      </c>
      <c r="O17">
        <v>45.47</v>
      </c>
      <c r="P17">
        <v>1385.002</v>
      </c>
      <c r="Q17">
        <v>250</v>
      </c>
      <c r="R17">
        <v>15.15</v>
      </c>
    </row>
    <row r="18" spans="1:18" x14ac:dyDescent="0.25">
      <c r="A18" s="1" t="s">
        <v>357</v>
      </c>
      <c r="B18" s="3" t="s">
        <v>361</v>
      </c>
      <c r="C18" s="19">
        <v>54</v>
      </c>
      <c r="D18" s="3" t="s">
        <v>495</v>
      </c>
      <c r="E18" s="3" t="s">
        <v>526</v>
      </c>
      <c r="F18" s="23">
        <v>998000</v>
      </c>
      <c r="G18" s="15">
        <v>2014</v>
      </c>
      <c r="H18" s="15">
        <f>Table_7[[#This Row],[Listing Price (USD)]]/10000</f>
        <v>99.8</v>
      </c>
      <c r="I18" s="28">
        <f>Table_7[[#This Row],[Length 
(ft)]]</f>
        <v>54</v>
      </c>
      <c r="J18" s="28">
        <f>2020-Table_7[[#This Row],[Year]]</f>
        <v>6</v>
      </c>
      <c r="K18">
        <v>4200000000</v>
      </c>
      <c r="L18">
        <v>39553.199999999997</v>
      </c>
      <c r="M18">
        <v>4.0999999999999996</v>
      </c>
      <c r="N18">
        <v>-2.1</v>
      </c>
      <c r="O18">
        <v>45.47</v>
      </c>
      <c r="P18">
        <v>1385.002</v>
      </c>
      <c r="Q18">
        <v>250</v>
      </c>
      <c r="R18">
        <v>15.15</v>
      </c>
    </row>
    <row r="19" spans="1:18" x14ac:dyDescent="0.25">
      <c r="A19" s="1" t="s">
        <v>10</v>
      </c>
      <c r="B19" s="2">
        <v>54</v>
      </c>
      <c r="C19" s="19">
        <v>56</v>
      </c>
      <c r="D19" s="3" t="s">
        <v>496</v>
      </c>
      <c r="E19" s="3" t="s">
        <v>9</v>
      </c>
      <c r="F19" s="23">
        <v>504099</v>
      </c>
      <c r="G19" s="15">
        <v>2007</v>
      </c>
      <c r="H19" s="15">
        <f>Table_7[[#This Row],[Listing Price (USD)]]/10000</f>
        <v>50.4099</v>
      </c>
      <c r="I19" s="28">
        <f>Table_7[[#This Row],[Length 
(ft)]]</f>
        <v>56</v>
      </c>
      <c r="J19" s="28">
        <f>2020-Table_7[[#This Row],[Year]]</f>
        <v>13</v>
      </c>
      <c r="K19">
        <v>1276962685648.25</v>
      </c>
      <c r="L19">
        <v>26959.675436732599</v>
      </c>
      <c r="M19">
        <v>-0.32275301729970501</v>
      </c>
      <c r="N19">
        <v>-11.3254383222864</v>
      </c>
      <c r="O19">
        <v>50.36</v>
      </c>
      <c r="P19">
        <v>1506</v>
      </c>
      <c r="Q19">
        <v>238</v>
      </c>
      <c r="R19">
        <v>15.75</v>
      </c>
    </row>
    <row r="20" spans="1:18" x14ac:dyDescent="0.25">
      <c r="A20" s="1" t="s">
        <v>10</v>
      </c>
      <c r="B20" s="2">
        <v>54</v>
      </c>
      <c r="C20" s="19">
        <v>56</v>
      </c>
      <c r="D20" s="3" t="s">
        <v>496</v>
      </c>
      <c r="E20" s="3" t="s">
        <v>24</v>
      </c>
      <c r="F20" s="23">
        <v>558760</v>
      </c>
      <c r="G20" s="15">
        <v>2008</v>
      </c>
      <c r="H20" s="15">
        <f>Table_7[[#This Row],[Listing Price (USD)]]/10000</f>
        <v>55.875999999999998</v>
      </c>
      <c r="I20" s="28">
        <f>Table_7[[#This Row],[Length 
(ft)]]</f>
        <v>56</v>
      </c>
      <c r="J20" s="28">
        <f>2020-Table_7[[#This Row],[Year]]</f>
        <v>12</v>
      </c>
      <c r="K20">
        <v>1896755301518.1399</v>
      </c>
      <c r="L20">
        <v>31911.0357890017</v>
      </c>
      <c r="M20">
        <v>-0.13770757391656999</v>
      </c>
      <c r="N20">
        <v>-9.0399534112288507</v>
      </c>
      <c r="O20">
        <v>50.36</v>
      </c>
      <c r="P20">
        <v>1506</v>
      </c>
      <c r="Q20">
        <v>238</v>
      </c>
      <c r="R20">
        <v>15.75</v>
      </c>
    </row>
    <row r="21" spans="1:18" x14ac:dyDescent="0.25">
      <c r="A21" s="1" t="s">
        <v>604</v>
      </c>
      <c r="B21" s="2">
        <v>54</v>
      </c>
      <c r="C21" s="19">
        <v>55</v>
      </c>
      <c r="D21" s="3" t="s">
        <v>496</v>
      </c>
      <c r="E21" s="3" t="s">
        <v>24</v>
      </c>
      <c r="F21" s="23">
        <v>789445</v>
      </c>
      <c r="G21" s="15">
        <v>2007</v>
      </c>
      <c r="H21" s="15">
        <f>Table_7[[#This Row],[Listing Price (USD)]]/10000</f>
        <v>78.944500000000005</v>
      </c>
      <c r="I21" s="28">
        <f>Table_7[[#This Row],[Length 
(ft)]]</f>
        <v>55</v>
      </c>
      <c r="J21" s="28">
        <f>2020-Table_7[[#This Row],[Year]]</f>
        <v>13</v>
      </c>
      <c r="K21">
        <v>1896755301518.1399</v>
      </c>
      <c r="L21">
        <v>31911.0357890017</v>
      </c>
      <c r="M21">
        <v>-0.13770757391656999</v>
      </c>
      <c r="N21">
        <v>-9.0399534112288507</v>
      </c>
      <c r="O21">
        <v>46.92</v>
      </c>
      <c r="P21">
        <v>1523</v>
      </c>
      <c r="Q21">
        <v>238</v>
      </c>
      <c r="R21">
        <v>15.42</v>
      </c>
    </row>
    <row r="22" spans="1:18" x14ac:dyDescent="0.25">
      <c r="A22" s="1" t="s">
        <v>175</v>
      </c>
      <c r="B22" s="2">
        <v>54</v>
      </c>
      <c r="C22" s="19">
        <v>55</v>
      </c>
      <c r="D22" s="3" t="s">
        <v>496</v>
      </c>
      <c r="E22" s="3" t="s">
        <v>31</v>
      </c>
      <c r="F22" s="23">
        <v>971625</v>
      </c>
      <c r="G22" s="15">
        <v>2009</v>
      </c>
      <c r="H22" s="15">
        <f>Table_7[[#This Row],[Listing Price (USD)]]/10000</f>
        <v>97.162499999999994</v>
      </c>
      <c r="I22" s="28">
        <f>Table_7[[#This Row],[Length 
(ft)]]</f>
        <v>55</v>
      </c>
      <c r="J22" s="28">
        <f>2020-Table_7[[#This Row],[Year]]</f>
        <v>11</v>
      </c>
      <c r="K22">
        <v>57472012426.685303</v>
      </c>
      <c r="L22">
        <v>14198.753959474399</v>
      </c>
      <c r="M22">
        <v>0.15481137456202801</v>
      </c>
      <c r="N22">
        <v>-8.5803430210621805</v>
      </c>
      <c r="O22">
        <v>46.92</v>
      </c>
      <c r="P22">
        <v>1523</v>
      </c>
      <c r="Q22">
        <v>238</v>
      </c>
      <c r="R22">
        <v>15.42</v>
      </c>
    </row>
    <row r="23" spans="1:18" x14ac:dyDescent="0.25">
      <c r="A23" s="1" t="s">
        <v>175</v>
      </c>
      <c r="B23" s="2">
        <v>54</v>
      </c>
      <c r="C23" s="19">
        <v>55</v>
      </c>
      <c r="D23" s="3" t="s">
        <v>496</v>
      </c>
      <c r="E23" s="3" t="s">
        <v>516</v>
      </c>
      <c r="F23" s="23">
        <v>1001988</v>
      </c>
      <c r="G23" s="15">
        <v>2008</v>
      </c>
      <c r="H23" s="15">
        <f>Table_7[[#This Row],[Listing Price (USD)]]/10000</f>
        <v>100.19880000000001</v>
      </c>
      <c r="I23" s="28">
        <f>Table_7[[#This Row],[Length 
(ft)]]</f>
        <v>55</v>
      </c>
      <c r="J23" s="28">
        <f>2020-Table_7[[#This Row],[Year]]</f>
        <v>12</v>
      </c>
      <c r="K23">
        <v>909793466661.48096</v>
      </c>
      <c r="L23">
        <v>52162.570115040602</v>
      </c>
      <c r="M23">
        <v>1.2724603778917001</v>
      </c>
      <c r="N23">
        <v>-3.88608391819609</v>
      </c>
      <c r="O23">
        <v>46.92</v>
      </c>
      <c r="P23">
        <v>1523</v>
      </c>
      <c r="Q23">
        <v>238</v>
      </c>
      <c r="R23">
        <v>15.42</v>
      </c>
    </row>
    <row r="24" spans="1:18" x14ac:dyDescent="0.25">
      <c r="A24" s="1" t="s">
        <v>175</v>
      </c>
      <c r="B24" s="2">
        <v>54</v>
      </c>
      <c r="C24" s="19">
        <v>55</v>
      </c>
      <c r="D24" s="3" t="s">
        <v>496</v>
      </c>
      <c r="E24" s="3" t="s">
        <v>9</v>
      </c>
      <c r="F24" s="23">
        <v>1032351</v>
      </c>
      <c r="G24" s="15">
        <v>2009</v>
      </c>
      <c r="H24" s="15">
        <f>Table_7[[#This Row],[Listing Price (USD)]]/10000</f>
        <v>103.2351</v>
      </c>
      <c r="I24" s="28">
        <f>Table_7[[#This Row],[Length 
(ft)]]</f>
        <v>55</v>
      </c>
      <c r="J24" s="28">
        <f>2020-Table_7[[#This Row],[Year]]</f>
        <v>11</v>
      </c>
      <c r="K24">
        <v>1276962685648.25</v>
      </c>
      <c r="L24">
        <v>26959.675436732599</v>
      </c>
      <c r="M24">
        <v>-0.32275301729970501</v>
      </c>
      <c r="N24">
        <v>-11.3254383222864</v>
      </c>
      <c r="O24">
        <v>46.92</v>
      </c>
      <c r="P24">
        <v>1523</v>
      </c>
      <c r="Q24">
        <v>238</v>
      </c>
      <c r="R24">
        <v>15.42</v>
      </c>
    </row>
    <row r="25" spans="1:18" x14ac:dyDescent="0.25">
      <c r="A25" s="1" t="s">
        <v>175</v>
      </c>
      <c r="B25" s="2">
        <v>54</v>
      </c>
      <c r="C25" s="19">
        <v>55</v>
      </c>
      <c r="D25" s="3" t="s">
        <v>496</v>
      </c>
      <c r="E25" s="3" t="s">
        <v>18</v>
      </c>
      <c r="F25" s="23">
        <v>1080933</v>
      </c>
      <c r="G25" s="15">
        <v>2012</v>
      </c>
      <c r="H25" s="15">
        <f>Table_7[[#This Row],[Listing Price (USD)]]/10000</f>
        <v>108.0933</v>
      </c>
      <c r="I25" s="28">
        <f>Table_7[[#This Row],[Length 
(ft)]]</f>
        <v>55</v>
      </c>
      <c r="J25" s="28">
        <f>2020-Table_7[[#This Row],[Year]]</f>
        <v>8</v>
      </c>
      <c r="K25">
        <v>188925995936.80701</v>
      </c>
      <c r="L25">
        <v>17658.947301119199</v>
      </c>
      <c r="M25">
        <v>-1.2479835558140799</v>
      </c>
      <c r="N25">
        <v>-9.0040436420214593</v>
      </c>
      <c r="O25">
        <v>46.92</v>
      </c>
      <c r="P25">
        <v>1523</v>
      </c>
      <c r="Q25">
        <v>238</v>
      </c>
      <c r="R25">
        <v>15.42</v>
      </c>
    </row>
    <row r="26" spans="1:18" x14ac:dyDescent="0.25">
      <c r="A26" s="1" t="s">
        <v>605</v>
      </c>
      <c r="B26" s="3">
        <v>54</v>
      </c>
      <c r="C26" s="19">
        <v>54</v>
      </c>
      <c r="D26" s="3" t="s">
        <v>495</v>
      </c>
      <c r="E26" s="3" t="s">
        <v>515</v>
      </c>
      <c r="F26" s="23">
        <v>615000</v>
      </c>
      <c r="G26" s="15">
        <v>2010</v>
      </c>
      <c r="H26" s="15">
        <f>Table_7[[#This Row],[Listing Price (USD)]]/10000</f>
        <v>61.5</v>
      </c>
      <c r="I26" s="28">
        <f>Table_7[[#This Row],[Length 
(ft)]]</f>
        <v>54</v>
      </c>
      <c r="J26" s="28">
        <f>2020-Table_7[[#This Row],[Year]]</f>
        <v>10</v>
      </c>
      <c r="K26">
        <v>410675000000</v>
      </c>
      <c r="L26">
        <v>66531.03</v>
      </c>
      <c r="M26">
        <v>1.23</v>
      </c>
      <c r="N26">
        <v>1.8</v>
      </c>
      <c r="O26">
        <v>46.26</v>
      </c>
      <c r="P26">
        <v>1657</v>
      </c>
      <c r="Q26">
        <v>224</v>
      </c>
      <c r="R26">
        <v>15.58</v>
      </c>
    </row>
    <row r="27" spans="1:18" x14ac:dyDescent="0.25">
      <c r="A27" s="1" t="s">
        <v>260</v>
      </c>
      <c r="B27" s="2">
        <v>54</v>
      </c>
      <c r="C27" s="19">
        <v>54</v>
      </c>
      <c r="D27" s="3" t="s">
        <v>496</v>
      </c>
      <c r="E27" s="3" t="s">
        <v>19</v>
      </c>
      <c r="F27" s="23">
        <v>692805</v>
      </c>
      <c r="G27" s="15">
        <v>2009</v>
      </c>
      <c r="H27" s="15">
        <f>Table_7[[#This Row],[Listing Price (USD)]]/10000</f>
        <v>69.280500000000004</v>
      </c>
      <c r="I27" s="28">
        <f>Table_7[[#This Row],[Length 
(ft)]]</f>
        <v>54</v>
      </c>
      <c r="J27" s="28">
        <f>2020-Table_7[[#This Row],[Year]]</f>
        <v>11</v>
      </c>
      <c r="K27">
        <v>4200000000</v>
      </c>
      <c r="L27">
        <v>39553.199999999997</v>
      </c>
      <c r="M27">
        <v>4.0999999999999996</v>
      </c>
      <c r="N27">
        <v>-2.1</v>
      </c>
      <c r="O27">
        <v>46.26</v>
      </c>
      <c r="P27">
        <v>1657</v>
      </c>
      <c r="Q27">
        <v>224</v>
      </c>
      <c r="R27">
        <v>15.58</v>
      </c>
    </row>
    <row r="28" spans="1:18" x14ac:dyDescent="0.25">
      <c r="A28" s="1" t="s">
        <v>281</v>
      </c>
      <c r="B28" s="2">
        <v>54</v>
      </c>
      <c r="C28" s="19">
        <v>54</v>
      </c>
      <c r="D28" s="3" t="s">
        <v>496</v>
      </c>
      <c r="E28" s="3" t="s">
        <v>516</v>
      </c>
      <c r="F28" s="23">
        <v>727025</v>
      </c>
      <c r="G28" s="15">
        <v>2008</v>
      </c>
      <c r="H28" s="15">
        <f>Table_7[[#This Row],[Listing Price (USD)]]/10000</f>
        <v>72.702500000000001</v>
      </c>
      <c r="I28" s="28">
        <f>Table_7[[#This Row],[Length 
(ft)]]</f>
        <v>54</v>
      </c>
      <c r="J28" s="28">
        <f>2020-Table_7[[#This Row],[Year]]</f>
        <v>12</v>
      </c>
      <c r="K28">
        <v>909793466661.48096</v>
      </c>
      <c r="L28">
        <v>52162.570115040602</v>
      </c>
      <c r="M28">
        <v>1.2724603778917001</v>
      </c>
      <c r="N28">
        <v>-3.88608391819609</v>
      </c>
      <c r="O28">
        <v>46.26</v>
      </c>
      <c r="P28">
        <v>1657</v>
      </c>
      <c r="Q28">
        <v>224</v>
      </c>
      <c r="R28">
        <v>15.58</v>
      </c>
    </row>
    <row r="29" spans="1:18" x14ac:dyDescent="0.25">
      <c r="A29" s="1" t="s">
        <v>260</v>
      </c>
      <c r="B29" s="2">
        <v>54</v>
      </c>
      <c r="C29" s="19">
        <v>54</v>
      </c>
      <c r="D29" s="3" t="s">
        <v>496</v>
      </c>
      <c r="E29" s="3" t="s">
        <v>537</v>
      </c>
      <c r="F29" s="23">
        <v>792729</v>
      </c>
      <c r="G29" s="15">
        <v>2008</v>
      </c>
      <c r="H29" s="15">
        <f>Table_7[[#This Row],[Listing Price (USD)]]/10000</f>
        <v>79.272900000000007</v>
      </c>
      <c r="I29" s="28">
        <f>Table_7[[#This Row],[Length 
(ft)]]</f>
        <v>54</v>
      </c>
      <c r="J29" s="28">
        <f>2020-Table_7[[#This Row],[Year]]</f>
        <v>12</v>
      </c>
      <c r="K29">
        <v>188925995936.80701</v>
      </c>
      <c r="L29">
        <v>17658.947301119199</v>
      </c>
      <c r="M29">
        <v>-1.2479835558140799</v>
      </c>
      <c r="N29">
        <v>-9.0040436420214593</v>
      </c>
      <c r="O29">
        <v>46.26</v>
      </c>
      <c r="P29">
        <v>1657</v>
      </c>
      <c r="Q29">
        <v>224</v>
      </c>
      <c r="R29">
        <v>15.58</v>
      </c>
    </row>
    <row r="30" spans="1:18" x14ac:dyDescent="0.25">
      <c r="A30" s="1" t="s">
        <v>260</v>
      </c>
      <c r="B30" s="2">
        <v>54</v>
      </c>
      <c r="C30" s="19">
        <v>54</v>
      </c>
      <c r="D30" s="3" t="s">
        <v>496</v>
      </c>
      <c r="E30" s="3" t="s">
        <v>9</v>
      </c>
      <c r="F30" s="23">
        <v>839360</v>
      </c>
      <c r="G30" s="15">
        <v>2011</v>
      </c>
      <c r="H30" s="15">
        <f>Table_7[[#This Row],[Listing Price (USD)]]/10000</f>
        <v>83.936000000000007</v>
      </c>
      <c r="I30" s="28">
        <f>Table_7[[#This Row],[Length 
(ft)]]</f>
        <v>54</v>
      </c>
      <c r="J30" s="28">
        <f>2020-Table_7[[#This Row],[Year]]</f>
        <v>9</v>
      </c>
      <c r="K30">
        <v>1276962685648.25</v>
      </c>
      <c r="L30">
        <v>26959.675436732599</v>
      </c>
      <c r="M30">
        <v>-0.32275301729970501</v>
      </c>
      <c r="N30">
        <v>-11.3254383222864</v>
      </c>
      <c r="O30">
        <v>46.26</v>
      </c>
      <c r="P30">
        <v>1657</v>
      </c>
      <c r="Q30">
        <v>224</v>
      </c>
      <c r="R30">
        <v>15.58</v>
      </c>
    </row>
    <row r="31" spans="1:18" x14ac:dyDescent="0.25">
      <c r="A31" s="1" t="s">
        <v>250</v>
      </c>
      <c r="B31" s="2">
        <v>441</v>
      </c>
      <c r="C31" s="19">
        <v>44</v>
      </c>
      <c r="D31" s="3" t="s">
        <v>496</v>
      </c>
      <c r="E31" s="3" t="s">
        <v>63</v>
      </c>
      <c r="F31" s="23">
        <v>564977</v>
      </c>
      <c r="G31" s="15">
        <v>2009</v>
      </c>
      <c r="H31" s="15">
        <f>Table_7[[#This Row],[Listing Price (USD)]]/10000</f>
        <v>56.497700000000002</v>
      </c>
      <c r="I31" s="28">
        <f>Table_7[[#This Row],[Length 
(ft)]]</f>
        <v>44</v>
      </c>
      <c r="J31" s="28">
        <f>2020-Table_7[[#This Row],[Year]]</f>
        <v>11</v>
      </c>
      <c r="K31">
        <v>720290000000</v>
      </c>
      <c r="L31">
        <v>13341.6</v>
      </c>
      <c r="M31">
        <v>13</v>
      </c>
      <c r="N31">
        <v>-3</v>
      </c>
      <c r="O31">
        <v>36.909999999999997</v>
      </c>
      <c r="P31">
        <v>926.77</v>
      </c>
      <c r="Q31">
        <v>222</v>
      </c>
      <c r="R31">
        <v>12.3</v>
      </c>
    </row>
    <row r="32" spans="1:18" x14ac:dyDescent="0.25">
      <c r="A32" s="1" t="s">
        <v>191</v>
      </c>
      <c r="B32" s="3" t="s">
        <v>347</v>
      </c>
      <c r="C32" s="19">
        <v>41</v>
      </c>
      <c r="D32" s="3" t="s">
        <v>495</v>
      </c>
      <c r="E32" s="3" t="s">
        <v>515</v>
      </c>
      <c r="F32" s="23">
        <v>265900</v>
      </c>
      <c r="G32" s="15">
        <v>2007</v>
      </c>
      <c r="H32" s="15">
        <f>Table_7[[#This Row],[Listing Price (USD)]]/10000</f>
        <v>26.59</v>
      </c>
      <c r="I32" s="28">
        <f>Table_7[[#This Row],[Length 
(ft)]]</f>
        <v>41</v>
      </c>
      <c r="J32" s="28">
        <f>2020-Table_7[[#This Row],[Year]]</f>
        <v>13</v>
      </c>
      <c r="K32">
        <v>410675000000</v>
      </c>
      <c r="L32">
        <v>66531.03</v>
      </c>
      <c r="M32">
        <v>1.23</v>
      </c>
      <c r="N32">
        <v>1.8</v>
      </c>
      <c r="O32">
        <v>34.75</v>
      </c>
      <c r="P32">
        <v>714.00199999999995</v>
      </c>
      <c r="Q32">
        <v>220</v>
      </c>
      <c r="R32">
        <v>12.75</v>
      </c>
    </row>
    <row r="33" spans="1:18" x14ac:dyDescent="0.25">
      <c r="A33" s="1" t="s">
        <v>191</v>
      </c>
      <c r="B33" s="3" t="s">
        <v>347</v>
      </c>
      <c r="C33" s="19">
        <v>41</v>
      </c>
      <c r="D33" s="3" t="s">
        <v>495</v>
      </c>
      <c r="E33" s="3" t="s">
        <v>555</v>
      </c>
      <c r="F33" s="23">
        <v>275000</v>
      </c>
      <c r="G33" s="15">
        <v>2007</v>
      </c>
      <c r="H33" s="15">
        <f>Table_7[[#This Row],[Listing Price (USD)]]/10000</f>
        <v>27.5</v>
      </c>
      <c r="I33" s="28">
        <f>Table_7[[#This Row],[Length 
(ft)]]</f>
        <v>41</v>
      </c>
      <c r="J33" s="28">
        <f>2020-Table_7[[#This Row],[Year]]</f>
        <v>13</v>
      </c>
      <c r="K33">
        <v>4200000000</v>
      </c>
      <c r="L33">
        <v>39553.199999999997</v>
      </c>
      <c r="M33">
        <v>1.23</v>
      </c>
      <c r="N33">
        <v>-2.1</v>
      </c>
      <c r="O33">
        <v>34.75</v>
      </c>
      <c r="P33">
        <v>714.00199999999995</v>
      </c>
      <c r="Q33">
        <v>220</v>
      </c>
      <c r="R33">
        <v>12.75</v>
      </c>
    </row>
    <row r="34" spans="1:18" x14ac:dyDescent="0.25">
      <c r="A34" s="1" t="s">
        <v>191</v>
      </c>
      <c r="B34" s="3" t="s">
        <v>347</v>
      </c>
      <c r="C34" s="19">
        <v>41</v>
      </c>
      <c r="D34" s="3" t="s">
        <v>495</v>
      </c>
      <c r="E34" s="3" t="s">
        <v>521</v>
      </c>
      <c r="F34" s="23">
        <v>299500</v>
      </c>
      <c r="G34" s="15">
        <v>2010</v>
      </c>
      <c r="H34" s="15">
        <f>Table_7[[#This Row],[Listing Price (USD)]]/10000</f>
        <v>29.95</v>
      </c>
      <c r="I34" s="28">
        <f>Table_7[[#This Row],[Length 
(ft)]]</f>
        <v>41</v>
      </c>
      <c r="J34" s="28">
        <f>2020-Table_7[[#This Row],[Year]]</f>
        <v>10</v>
      </c>
      <c r="K34">
        <v>60556000000</v>
      </c>
      <c r="L34">
        <v>55240.56</v>
      </c>
      <c r="M34">
        <v>3</v>
      </c>
      <c r="N34">
        <v>2.2000000000000002</v>
      </c>
      <c r="O34">
        <v>34.75</v>
      </c>
      <c r="P34">
        <v>714.00199999999995</v>
      </c>
      <c r="Q34">
        <v>220</v>
      </c>
      <c r="R34">
        <v>12.75</v>
      </c>
    </row>
    <row r="35" spans="1:18" x14ac:dyDescent="0.25">
      <c r="A35" s="1" t="s">
        <v>45</v>
      </c>
      <c r="B35" s="2" t="s">
        <v>93</v>
      </c>
      <c r="C35" s="19">
        <v>56</v>
      </c>
      <c r="D35" s="3" t="s">
        <v>496</v>
      </c>
      <c r="E35" s="3" t="s">
        <v>3</v>
      </c>
      <c r="F35" s="23">
        <v>352262</v>
      </c>
      <c r="G35" s="15">
        <v>2012</v>
      </c>
      <c r="H35" s="15">
        <f>Table_7[[#This Row],[Listing Price (USD)]]/10000</f>
        <v>35.226199999999999</v>
      </c>
      <c r="I35" s="28">
        <f>Table_7[[#This Row],[Length 
(ft)]]</f>
        <v>56</v>
      </c>
      <c r="J35" s="28">
        <f>2020-Table_7[[#This Row],[Year]]</f>
        <v>8</v>
      </c>
      <c r="K35">
        <v>2639008701648.2598</v>
      </c>
      <c r="L35">
        <v>39055.282928075401</v>
      </c>
      <c r="M35">
        <v>0.47649885272508302</v>
      </c>
      <c r="N35">
        <v>-7.7845864916787102</v>
      </c>
      <c r="O35">
        <v>0</v>
      </c>
      <c r="P35">
        <v>1641.002</v>
      </c>
      <c r="Q35">
        <v>219</v>
      </c>
      <c r="R35">
        <v>16.309999999999999</v>
      </c>
    </row>
    <row r="36" spans="1:18" x14ac:dyDescent="0.25">
      <c r="A36" s="1" t="s">
        <v>45</v>
      </c>
      <c r="B36" s="2" t="s">
        <v>93</v>
      </c>
      <c r="C36" s="19">
        <v>56</v>
      </c>
      <c r="D36" s="3" t="s">
        <v>496</v>
      </c>
      <c r="E36" s="3" t="s">
        <v>63</v>
      </c>
      <c r="F36" s="23">
        <v>376313</v>
      </c>
      <c r="G36" s="15">
        <v>2014</v>
      </c>
      <c r="H36" s="15">
        <f>Table_7[[#This Row],[Listing Price (USD)]]/10000</f>
        <v>37.631300000000003</v>
      </c>
      <c r="I36" s="28">
        <f>Table_7[[#This Row],[Length 
(ft)]]</f>
        <v>56</v>
      </c>
      <c r="J36" s="28">
        <f>2020-Table_7[[#This Row],[Year]]</f>
        <v>6</v>
      </c>
      <c r="K36">
        <v>720290000007</v>
      </c>
      <c r="L36">
        <v>13341.6</v>
      </c>
      <c r="M36">
        <v>13</v>
      </c>
      <c r="N36">
        <v>-3</v>
      </c>
      <c r="O36">
        <v>0</v>
      </c>
      <c r="P36">
        <v>1641.002</v>
      </c>
      <c r="Q36">
        <v>219</v>
      </c>
      <c r="R36">
        <v>16.309999999999999</v>
      </c>
    </row>
    <row r="37" spans="1:18" x14ac:dyDescent="0.25">
      <c r="A37" s="1" t="s">
        <v>330</v>
      </c>
      <c r="B37" s="3" t="s">
        <v>331</v>
      </c>
      <c r="C37" s="19">
        <v>41</v>
      </c>
      <c r="D37" s="3" t="s">
        <v>495</v>
      </c>
      <c r="E37" s="3" t="s">
        <v>333</v>
      </c>
      <c r="F37" s="23">
        <v>259000</v>
      </c>
      <c r="G37" s="15">
        <v>2005</v>
      </c>
      <c r="H37" s="15">
        <f>Table_7[[#This Row],[Listing Price (USD)]]/10000</f>
        <v>25.9</v>
      </c>
      <c r="I37" s="28">
        <f>Table_7[[#This Row],[Length 
(ft)]]</f>
        <v>41</v>
      </c>
      <c r="J37" s="28">
        <f>2020-Table_7[[#This Row],[Year]]</f>
        <v>15</v>
      </c>
      <c r="K37">
        <v>1106036000000</v>
      </c>
      <c r="L37">
        <v>51276.72</v>
      </c>
      <c r="M37">
        <v>1.23</v>
      </c>
      <c r="N37">
        <v>2.9</v>
      </c>
      <c r="O37">
        <v>32.5</v>
      </c>
      <c r="P37">
        <v>739.00199999999995</v>
      </c>
      <c r="Q37">
        <v>212</v>
      </c>
      <c r="R37">
        <v>12.67</v>
      </c>
    </row>
    <row r="38" spans="1:18" x14ac:dyDescent="0.25">
      <c r="A38" s="1" t="s">
        <v>187</v>
      </c>
      <c r="B38" s="3" t="s">
        <v>345</v>
      </c>
      <c r="C38" s="19">
        <v>50</v>
      </c>
      <c r="D38" s="3" t="s">
        <v>495</v>
      </c>
      <c r="E38" s="3" t="s">
        <v>333</v>
      </c>
      <c r="F38" s="23">
        <v>250000</v>
      </c>
      <c r="G38" s="15">
        <v>2010</v>
      </c>
      <c r="H38" s="15">
        <f>Table_7[[#This Row],[Listing Price (USD)]]/10000</f>
        <v>25</v>
      </c>
      <c r="I38" s="28">
        <f>Table_7[[#This Row],[Length 
(ft)]]</f>
        <v>50</v>
      </c>
      <c r="J38" s="28">
        <f>2020-Table_7[[#This Row],[Year]]</f>
        <v>10</v>
      </c>
      <c r="K38">
        <v>1106036000000</v>
      </c>
      <c r="L38">
        <v>51276.72</v>
      </c>
      <c r="M38">
        <v>1.23</v>
      </c>
      <c r="N38">
        <v>2.9</v>
      </c>
      <c r="O38">
        <v>45.28</v>
      </c>
      <c r="P38">
        <v>1345.492</v>
      </c>
      <c r="Q38">
        <v>211</v>
      </c>
      <c r="R38">
        <v>27.89</v>
      </c>
    </row>
    <row r="39" spans="1:18" x14ac:dyDescent="0.25">
      <c r="A39" s="1" t="s">
        <v>187</v>
      </c>
      <c r="B39" s="3" t="s">
        <v>345</v>
      </c>
      <c r="C39" s="19">
        <v>50</v>
      </c>
      <c r="D39" s="3" t="s">
        <v>495</v>
      </c>
      <c r="E39" s="3" t="s">
        <v>515</v>
      </c>
      <c r="F39" s="23">
        <v>277500</v>
      </c>
      <c r="G39" s="15">
        <v>2011</v>
      </c>
      <c r="H39" s="15">
        <f>Table_7[[#This Row],[Listing Price (USD)]]/10000</f>
        <v>27.75</v>
      </c>
      <c r="I39" s="28">
        <f>Table_7[[#This Row],[Length 
(ft)]]</f>
        <v>50</v>
      </c>
      <c r="J39" s="28">
        <f>2020-Table_7[[#This Row],[Year]]</f>
        <v>9</v>
      </c>
      <c r="K39">
        <v>410675000000</v>
      </c>
      <c r="L39">
        <v>66531.03</v>
      </c>
      <c r="M39">
        <v>1.23</v>
      </c>
      <c r="N39">
        <v>1.8</v>
      </c>
      <c r="O39">
        <v>45.28</v>
      </c>
      <c r="P39">
        <v>1345.492</v>
      </c>
      <c r="Q39">
        <v>211</v>
      </c>
      <c r="R39">
        <v>27.89</v>
      </c>
    </row>
    <row r="40" spans="1:18" x14ac:dyDescent="0.25">
      <c r="A40" s="1" t="s">
        <v>187</v>
      </c>
      <c r="B40" s="3" t="s">
        <v>345</v>
      </c>
      <c r="C40" s="19">
        <v>50</v>
      </c>
      <c r="D40" s="3" t="s">
        <v>495</v>
      </c>
      <c r="E40" s="3" t="s">
        <v>554</v>
      </c>
      <c r="F40" s="23">
        <v>340000</v>
      </c>
      <c r="G40" s="15">
        <v>2013</v>
      </c>
      <c r="H40" s="15">
        <f>Table_7[[#This Row],[Listing Price (USD)]]/10000</f>
        <v>34</v>
      </c>
      <c r="I40" s="28">
        <f>Table_7[[#This Row],[Length 
(ft)]]</f>
        <v>50</v>
      </c>
      <c r="J40" s="28">
        <f>2020-Table_7[[#This Row],[Year]]</f>
        <v>7</v>
      </c>
      <c r="K40">
        <v>4200000000</v>
      </c>
      <c r="L40">
        <v>39553.199999999997</v>
      </c>
      <c r="M40">
        <v>4.0999999999999996</v>
      </c>
      <c r="N40">
        <v>-2.1</v>
      </c>
      <c r="O40">
        <v>45.28</v>
      </c>
      <c r="P40">
        <v>1345.492</v>
      </c>
      <c r="Q40">
        <v>211</v>
      </c>
      <c r="R40">
        <v>27.89</v>
      </c>
    </row>
    <row r="41" spans="1:18" x14ac:dyDescent="0.25">
      <c r="A41" s="1" t="s">
        <v>269</v>
      </c>
      <c r="B41" s="2">
        <v>44</v>
      </c>
      <c r="C41" s="19">
        <v>44</v>
      </c>
      <c r="D41" s="3" t="s">
        <v>496</v>
      </c>
      <c r="E41" s="3" t="s">
        <v>19</v>
      </c>
      <c r="F41" s="23">
        <v>492394</v>
      </c>
      <c r="G41" s="15">
        <v>2011</v>
      </c>
      <c r="H41" s="15">
        <f>Table_7[[#This Row],[Listing Price (USD)]]/10000</f>
        <v>49.239400000000003</v>
      </c>
      <c r="I41" s="28">
        <f>Table_7[[#This Row],[Length 
(ft)]]</f>
        <v>44</v>
      </c>
      <c r="J41" s="28">
        <f>2020-Table_7[[#This Row],[Year]]</f>
        <v>9</v>
      </c>
      <c r="K41">
        <v>4200000000</v>
      </c>
      <c r="L41">
        <v>39553.199999999997</v>
      </c>
      <c r="M41">
        <v>4.0999999999999996</v>
      </c>
      <c r="N41">
        <v>-2.1</v>
      </c>
      <c r="O41">
        <v>36.22</v>
      </c>
      <c r="P41">
        <v>993</v>
      </c>
      <c r="Q41">
        <v>210</v>
      </c>
      <c r="R41">
        <v>13.78</v>
      </c>
    </row>
    <row r="42" spans="1:18" x14ac:dyDescent="0.25">
      <c r="A42" s="1" t="s">
        <v>175</v>
      </c>
      <c r="B42" s="2">
        <v>48</v>
      </c>
      <c r="C42" s="19">
        <v>49</v>
      </c>
      <c r="D42" s="3" t="s">
        <v>496</v>
      </c>
      <c r="E42" s="3" t="s">
        <v>124</v>
      </c>
      <c r="F42" s="23">
        <v>708144</v>
      </c>
      <c r="G42" s="15">
        <v>2012</v>
      </c>
      <c r="H42" s="15">
        <f>Table_7[[#This Row],[Listing Price (USD)]]/10000</f>
        <v>70.814400000000006</v>
      </c>
      <c r="I42" s="28">
        <f>Table_7[[#This Row],[Length 
(ft)]]</f>
        <v>49</v>
      </c>
      <c r="J42" s="28">
        <f>2020-Table_7[[#This Row],[Year]]</f>
        <v>8</v>
      </c>
      <c r="K42">
        <v>547054174235.87598</v>
      </c>
      <c r="L42">
        <v>52837.903977814902</v>
      </c>
      <c r="M42">
        <v>0.497367318853562</v>
      </c>
      <c r="N42">
        <v>-2.1702131788587198</v>
      </c>
      <c r="O42">
        <v>43.45</v>
      </c>
      <c r="P42">
        <v>1246</v>
      </c>
      <c r="Q42">
        <v>210</v>
      </c>
      <c r="R42">
        <v>14.23</v>
      </c>
    </row>
    <row r="43" spans="1:18" x14ac:dyDescent="0.25">
      <c r="A43" s="1" t="s">
        <v>260</v>
      </c>
      <c r="B43" s="3">
        <v>475</v>
      </c>
      <c r="C43" s="19">
        <v>48</v>
      </c>
      <c r="D43" s="3" t="s">
        <v>495</v>
      </c>
      <c r="E43" s="3" t="s">
        <v>521</v>
      </c>
      <c r="F43" s="23">
        <v>799000</v>
      </c>
      <c r="G43" s="15">
        <v>2015</v>
      </c>
      <c r="H43" s="15">
        <f>Table_7[[#This Row],[Listing Price (USD)]]/10000</f>
        <v>79.900000000000006</v>
      </c>
      <c r="I43" s="28">
        <f>Table_7[[#This Row],[Length 
(ft)]]</f>
        <v>48</v>
      </c>
      <c r="J43" s="28">
        <f>2020-Table_7[[#This Row],[Year]]</f>
        <v>5</v>
      </c>
      <c r="K43">
        <v>60556000000</v>
      </c>
      <c r="L43">
        <v>55240.56</v>
      </c>
      <c r="M43">
        <v>3</v>
      </c>
      <c r="N43">
        <v>2.2000000000000002</v>
      </c>
      <c r="O43">
        <v>40.549999999999997</v>
      </c>
      <c r="P43">
        <v>1291</v>
      </c>
      <c r="Q43">
        <v>198</v>
      </c>
      <c r="R43">
        <v>14.47</v>
      </c>
    </row>
    <row r="44" spans="1:18" x14ac:dyDescent="0.25">
      <c r="A44" s="1" t="s">
        <v>260</v>
      </c>
      <c r="B44" s="3">
        <v>475</v>
      </c>
      <c r="C44" s="19">
        <v>48</v>
      </c>
      <c r="D44" s="3" t="s">
        <v>495</v>
      </c>
      <c r="E44" s="3" t="s">
        <v>552</v>
      </c>
      <c r="F44" s="23">
        <v>849000</v>
      </c>
      <c r="G44" s="15">
        <v>2017</v>
      </c>
      <c r="H44" s="15">
        <f>Table_7[[#This Row],[Listing Price (USD)]]/10000</f>
        <v>84.9</v>
      </c>
      <c r="I44" s="28">
        <f>Table_7[[#This Row],[Length 
(ft)]]</f>
        <v>48</v>
      </c>
      <c r="J44" s="28">
        <f>2020-Table_7[[#This Row],[Year]]</f>
        <v>3</v>
      </c>
      <c r="K44">
        <v>244882000000</v>
      </c>
      <c r="L44">
        <v>47728.44</v>
      </c>
      <c r="M44">
        <v>1.23</v>
      </c>
      <c r="N44">
        <v>2.5</v>
      </c>
      <c r="O44">
        <v>40.549999999999997</v>
      </c>
      <c r="P44">
        <v>1291</v>
      </c>
      <c r="Q44">
        <v>198</v>
      </c>
      <c r="R44">
        <v>14.47</v>
      </c>
    </row>
    <row r="45" spans="1:18" x14ac:dyDescent="0.25">
      <c r="A45" s="1" t="s">
        <v>195</v>
      </c>
      <c r="B45" s="2" t="s">
        <v>238</v>
      </c>
      <c r="C45" s="19">
        <v>55</v>
      </c>
      <c r="D45" s="3" t="s">
        <v>496</v>
      </c>
      <c r="E45" s="3" t="s">
        <v>31</v>
      </c>
      <c r="F45" s="23">
        <v>169791</v>
      </c>
      <c r="G45" s="15">
        <v>2008</v>
      </c>
      <c r="H45" s="15">
        <f>Table_7[[#This Row],[Listing Price (USD)]]/10000</f>
        <v>16.979099999999999</v>
      </c>
      <c r="I45" s="28">
        <f>Table_7[[#This Row],[Length 
(ft)]]</f>
        <v>55</v>
      </c>
      <c r="J45" s="28">
        <f>2020-Table_7[[#This Row],[Year]]</f>
        <v>12</v>
      </c>
      <c r="K45">
        <v>57472012426.685303</v>
      </c>
      <c r="L45">
        <v>14198.753959474399</v>
      </c>
      <c r="M45">
        <v>0.15481137456202801</v>
      </c>
      <c r="N45">
        <v>-8.5803430210621805</v>
      </c>
      <c r="O45">
        <v>48.5</v>
      </c>
      <c r="P45">
        <v>1214</v>
      </c>
      <c r="Q45">
        <v>191</v>
      </c>
      <c r="R45">
        <v>15.92</v>
      </c>
    </row>
    <row r="46" spans="1:18" x14ac:dyDescent="0.25">
      <c r="A46" s="1" t="s">
        <v>195</v>
      </c>
      <c r="B46" s="2" t="s">
        <v>238</v>
      </c>
      <c r="C46" s="19">
        <v>55</v>
      </c>
      <c r="D46" s="3" t="s">
        <v>496</v>
      </c>
      <c r="E46" s="3" t="s">
        <v>31</v>
      </c>
      <c r="F46" s="23">
        <v>169815</v>
      </c>
      <c r="G46" s="15">
        <v>2008</v>
      </c>
      <c r="H46" s="15">
        <f>Table_7[[#This Row],[Listing Price (USD)]]/10000</f>
        <v>16.9815</v>
      </c>
      <c r="I46" s="28">
        <f>Table_7[[#This Row],[Length 
(ft)]]</f>
        <v>55</v>
      </c>
      <c r="J46" s="28">
        <f>2020-Table_7[[#This Row],[Year]]</f>
        <v>12</v>
      </c>
      <c r="K46">
        <v>57472012426.685303</v>
      </c>
      <c r="L46">
        <v>14198.753959474399</v>
      </c>
      <c r="M46">
        <v>0.15481137456202801</v>
      </c>
      <c r="N46">
        <v>-8.5803430210621805</v>
      </c>
      <c r="O46">
        <v>48.5</v>
      </c>
      <c r="P46">
        <v>1214</v>
      </c>
      <c r="Q46">
        <v>191</v>
      </c>
      <c r="R46">
        <v>15.92</v>
      </c>
    </row>
    <row r="47" spans="1:18" x14ac:dyDescent="0.25">
      <c r="A47" s="1" t="s">
        <v>195</v>
      </c>
      <c r="B47" s="2" t="s">
        <v>238</v>
      </c>
      <c r="C47" s="19">
        <v>55</v>
      </c>
      <c r="D47" s="3" t="s">
        <v>496</v>
      </c>
      <c r="E47" s="3" t="s">
        <v>31</v>
      </c>
      <c r="F47" s="23">
        <v>179775</v>
      </c>
      <c r="G47" s="15">
        <v>2006</v>
      </c>
      <c r="H47" s="15">
        <f>Table_7[[#This Row],[Listing Price (USD)]]/10000</f>
        <v>17.977499999999999</v>
      </c>
      <c r="I47" s="28">
        <f>Table_7[[#This Row],[Length 
(ft)]]</f>
        <v>55</v>
      </c>
      <c r="J47" s="28">
        <f>2020-Table_7[[#This Row],[Year]]</f>
        <v>14</v>
      </c>
      <c r="K47">
        <v>57472012426.685303</v>
      </c>
      <c r="L47">
        <v>14198.753959474399</v>
      </c>
      <c r="M47">
        <v>0.15481137456202801</v>
      </c>
      <c r="N47">
        <v>-8.5803430210621805</v>
      </c>
      <c r="O47">
        <v>48.5</v>
      </c>
      <c r="P47">
        <v>1214</v>
      </c>
      <c r="Q47">
        <v>191</v>
      </c>
      <c r="R47">
        <v>15.92</v>
      </c>
    </row>
    <row r="48" spans="1:18" x14ac:dyDescent="0.25">
      <c r="A48" s="1" t="s">
        <v>195</v>
      </c>
      <c r="B48" s="2" t="s">
        <v>238</v>
      </c>
      <c r="C48" s="19">
        <v>55</v>
      </c>
      <c r="D48" s="3" t="s">
        <v>497</v>
      </c>
      <c r="E48" s="3" t="s">
        <v>377</v>
      </c>
      <c r="F48" s="23">
        <v>219940</v>
      </c>
      <c r="G48" s="15">
        <v>2009</v>
      </c>
      <c r="H48" s="15">
        <f>Table_7[[#This Row],[Listing Price (USD)]]/10000</f>
        <v>21.994</v>
      </c>
      <c r="I48" s="28">
        <f>Table_7[[#This Row],[Length 
(ft)]]</f>
        <v>55</v>
      </c>
      <c r="J48" s="28">
        <f>2020-Table_7[[#This Row],[Year]]</f>
        <v>11</v>
      </c>
      <c r="K48">
        <v>77625486978.256104</v>
      </c>
      <c r="L48">
        <v>4604.5766789786403</v>
      </c>
      <c r="M48">
        <v>3.21444062197346</v>
      </c>
      <c r="N48">
        <v>-1.76408292563957</v>
      </c>
      <c r="O48">
        <v>48.5</v>
      </c>
      <c r="P48">
        <v>1214</v>
      </c>
      <c r="Q48">
        <v>191</v>
      </c>
      <c r="R48">
        <v>15.92</v>
      </c>
    </row>
    <row r="49" spans="1:18" x14ac:dyDescent="0.25">
      <c r="A49" s="1" t="s">
        <v>195</v>
      </c>
      <c r="B49" s="2" t="s">
        <v>238</v>
      </c>
      <c r="C49" s="19">
        <v>55</v>
      </c>
      <c r="D49" s="3" t="s">
        <v>497</v>
      </c>
      <c r="E49" s="3" t="s">
        <v>483</v>
      </c>
      <c r="F49" s="23">
        <v>219940</v>
      </c>
      <c r="G49" s="15">
        <v>2010</v>
      </c>
      <c r="H49" s="15">
        <f>Table_7[[#This Row],[Listing Price (USD)]]/10000</f>
        <v>21.994</v>
      </c>
      <c r="I49" s="28">
        <f>Table_7[[#This Row],[Length 
(ft)]]</f>
        <v>55</v>
      </c>
      <c r="J49" s="28">
        <f>2020-Table_7[[#This Row],[Year]]</f>
        <v>10</v>
      </c>
      <c r="K49">
        <v>4200000000</v>
      </c>
      <c r="L49">
        <v>39553.199999999997</v>
      </c>
      <c r="M49">
        <v>2.5</v>
      </c>
      <c r="N49">
        <v>-2.1</v>
      </c>
      <c r="O49">
        <v>48.5</v>
      </c>
      <c r="P49">
        <v>1214</v>
      </c>
      <c r="Q49">
        <v>191</v>
      </c>
      <c r="R49">
        <v>15.92</v>
      </c>
    </row>
    <row r="50" spans="1:18" x14ac:dyDescent="0.25">
      <c r="A50" s="1" t="s">
        <v>195</v>
      </c>
      <c r="B50" s="2" t="s">
        <v>238</v>
      </c>
      <c r="C50" s="19">
        <v>55</v>
      </c>
      <c r="D50" s="3" t="s">
        <v>497</v>
      </c>
      <c r="E50" s="3" t="s">
        <v>483</v>
      </c>
      <c r="F50" s="23">
        <v>220548</v>
      </c>
      <c r="G50" s="15">
        <v>2009</v>
      </c>
      <c r="H50" s="15">
        <f>Table_7[[#This Row],[Listing Price (USD)]]/10000</f>
        <v>22.0548</v>
      </c>
      <c r="I50" s="28">
        <f>Table_7[[#This Row],[Length 
(ft)]]</f>
        <v>55</v>
      </c>
      <c r="J50" s="28">
        <f>2020-Table_7[[#This Row],[Year]]</f>
        <v>11</v>
      </c>
      <c r="K50">
        <v>4200000000</v>
      </c>
      <c r="L50">
        <v>39553.199999999997</v>
      </c>
      <c r="M50">
        <v>2.5</v>
      </c>
      <c r="N50">
        <v>-2.1</v>
      </c>
      <c r="O50">
        <v>48.5</v>
      </c>
      <c r="P50">
        <v>1214</v>
      </c>
      <c r="Q50">
        <v>191</v>
      </c>
      <c r="R50">
        <v>15.92</v>
      </c>
    </row>
    <row r="51" spans="1:18" x14ac:dyDescent="0.25">
      <c r="A51" s="1" t="s">
        <v>195</v>
      </c>
      <c r="B51" s="2" t="s">
        <v>238</v>
      </c>
      <c r="C51" s="19">
        <v>55</v>
      </c>
      <c r="D51" s="3" t="s">
        <v>496</v>
      </c>
      <c r="E51" s="3" t="s">
        <v>24</v>
      </c>
      <c r="F51" s="23">
        <v>224719</v>
      </c>
      <c r="G51" s="15">
        <v>2009</v>
      </c>
      <c r="H51" s="15">
        <f>Table_7[[#This Row],[Listing Price (USD)]]/10000</f>
        <v>22.471900000000002</v>
      </c>
      <c r="I51" s="28">
        <f>Table_7[[#This Row],[Length 
(ft)]]</f>
        <v>55</v>
      </c>
      <c r="J51" s="28">
        <f>2020-Table_7[[#This Row],[Year]]</f>
        <v>11</v>
      </c>
      <c r="K51">
        <v>1896755301518.1399</v>
      </c>
      <c r="L51">
        <v>31911.0357890017</v>
      </c>
      <c r="M51">
        <v>-0.13770757391656999</v>
      </c>
      <c r="N51">
        <v>-9.0399534112288507</v>
      </c>
      <c r="O51">
        <v>48.5</v>
      </c>
      <c r="P51">
        <v>1214</v>
      </c>
      <c r="Q51">
        <v>191</v>
      </c>
      <c r="R51">
        <v>15.92</v>
      </c>
    </row>
    <row r="52" spans="1:18" x14ac:dyDescent="0.25">
      <c r="A52" s="1" t="s">
        <v>195</v>
      </c>
      <c r="B52" s="2" t="s">
        <v>238</v>
      </c>
      <c r="C52" s="19">
        <v>55</v>
      </c>
      <c r="D52" s="3" t="s">
        <v>496</v>
      </c>
      <c r="E52" s="3" t="s">
        <v>24</v>
      </c>
      <c r="F52" s="23">
        <v>230792</v>
      </c>
      <c r="G52" s="15">
        <v>2006</v>
      </c>
      <c r="H52" s="15">
        <f>Table_7[[#This Row],[Listing Price (USD)]]/10000</f>
        <v>23.0792</v>
      </c>
      <c r="I52" s="28">
        <f>Table_7[[#This Row],[Length 
(ft)]]</f>
        <v>55</v>
      </c>
      <c r="J52" s="28">
        <f>2020-Table_7[[#This Row],[Year]]</f>
        <v>14</v>
      </c>
      <c r="K52">
        <v>1896755301518.1399</v>
      </c>
      <c r="L52">
        <v>31911.0357890017</v>
      </c>
      <c r="M52">
        <v>-0.13770757391656999</v>
      </c>
      <c r="N52">
        <v>-9.0399534112288507</v>
      </c>
      <c r="O52">
        <v>48.5</v>
      </c>
      <c r="P52">
        <v>1214</v>
      </c>
      <c r="Q52">
        <v>191</v>
      </c>
      <c r="R52">
        <v>15.92</v>
      </c>
    </row>
    <row r="53" spans="1:18" x14ac:dyDescent="0.25">
      <c r="A53" s="1" t="s">
        <v>195</v>
      </c>
      <c r="B53" s="2" t="s">
        <v>238</v>
      </c>
      <c r="C53" s="19">
        <v>55</v>
      </c>
      <c r="D53" s="3" t="s">
        <v>496</v>
      </c>
      <c r="E53" s="3" t="s">
        <v>24</v>
      </c>
      <c r="F53" s="23">
        <v>236866</v>
      </c>
      <c r="G53" s="15">
        <v>2005</v>
      </c>
      <c r="H53" s="15">
        <f>Table_7[[#This Row],[Listing Price (USD)]]/10000</f>
        <v>23.686599999999999</v>
      </c>
      <c r="I53" s="28">
        <f>Table_7[[#This Row],[Length 
(ft)]]</f>
        <v>55</v>
      </c>
      <c r="J53" s="28">
        <f>2020-Table_7[[#This Row],[Year]]</f>
        <v>15</v>
      </c>
      <c r="K53">
        <v>1896755301518.1399</v>
      </c>
      <c r="L53">
        <v>31911.0357890017</v>
      </c>
      <c r="M53">
        <v>-0.13770757391656999</v>
      </c>
      <c r="N53">
        <v>-9.0399534112288507</v>
      </c>
      <c r="O53">
        <v>48.5</v>
      </c>
      <c r="P53">
        <v>1214</v>
      </c>
      <c r="Q53">
        <v>191</v>
      </c>
      <c r="R53">
        <v>15.92</v>
      </c>
    </row>
    <row r="54" spans="1:18" x14ac:dyDescent="0.25">
      <c r="A54" s="1" t="s">
        <v>195</v>
      </c>
      <c r="B54" s="2" t="s">
        <v>238</v>
      </c>
      <c r="C54" s="19">
        <v>55</v>
      </c>
      <c r="D54" s="3" t="s">
        <v>496</v>
      </c>
      <c r="E54" s="3" t="s">
        <v>24</v>
      </c>
      <c r="F54" s="23">
        <v>242939</v>
      </c>
      <c r="G54" s="15">
        <v>2005</v>
      </c>
      <c r="H54" s="15">
        <f>Table_7[[#This Row],[Listing Price (USD)]]/10000</f>
        <v>24.293900000000001</v>
      </c>
      <c r="I54" s="28">
        <f>Table_7[[#This Row],[Length 
(ft)]]</f>
        <v>55</v>
      </c>
      <c r="J54" s="28">
        <f>2020-Table_7[[#This Row],[Year]]</f>
        <v>15</v>
      </c>
      <c r="K54">
        <v>1896755301518.1399</v>
      </c>
      <c r="L54">
        <v>31911.0357890017</v>
      </c>
      <c r="M54">
        <v>-0.13770757391656999</v>
      </c>
      <c r="N54">
        <v>-9.0399534112288507</v>
      </c>
      <c r="O54">
        <v>48.5</v>
      </c>
      <c r="P54">
        <v>1214</v>
      </c>
      <c r="Q54">
        <v>191</v>
      </c>
      <c r="R54">
        <v>15.92</v>
      </c>
    </row>
    <row r="55" spans="1:18" x14ac:dyDescent="0.25">
      <c r="A55" s="1" t="s">
        <v>195</v>
      </c>
      <c r="B55" s="2" t="s">
        <v>238</v>
      </c>
      <c r="C55" s="19">
        <v>55</v>
      </c>
      <c r="D55" s="3" t="s">
        <v>496</v>
      </c>
      <c r="E55" s="3" t="s">
        <v>18</v>
      </c>
      <c r="F55" s="23">
        <v>251808</v>
      </c>
      <c r="G55" s="15">
        <v>2005</v>
      </c>
      <c r="H55" s="15">
        <f>Table_7[[#This Row],[Listing Price (USD)]]/10000</f>
        <v>25.180800000000001</v>
      </c>
      <c r="I55" s="28">
        <f>Table_7[[#This Row],[Length 
(ft)]]</f>
        <v>55</v>
      </c>
      <c r="J55" s="28">
        <f>2020-Table_7[[#This Row],[Year]]</f>
        <v>15</v>
      </c>
      <c r="K55">
        <v>188925995936.80701</v>
      </c>
      <c r="L55">
        <v>17658.947301119199</v>
      </c>
      <c r="M55">
        <v>-1.2479835558140799</v>
      </c>
      <c r="N55">
        <v>-9.0040436420214593</v>
      </c>
      <c r="O55">
        <v>48.5</v>
      </c>
      <c r="P55">
        <v>1214</v>
      </c>
      <c r="Q55">
        <v>191</v>
      </c>
      <c r="R55">
        <v>15.92</v>
      </c>
    </row>
    <row r="56" spans="1:18" x14ac:dyDescent="0.25">
      <c r="A56" s="1" t="s">
        <v>195</v>
      </c>
      <c r="B56" s="2" t="s">
        <v>238</v>
      </c>
      <c r="C56" s="19">
        <v>55</v>
      </c>
      <c r="D56" s="3" t="s">
        <v>496</v>
      </c>
      <c r="E56" s="3" t="s">
        <v>18</v>
      </c>
      <c r="F56" s="23">
        <v>261124</v>
      </c>
      <c r="G56" s="15">
        <v>2008</v>
      </c>
      <c r="H56" s="15">
        <f>Table_7[[#This Row],[Listing Price (USD)]]/10000</f>
        <v>26.112400000000001</v>
      </c>
      <c r="I56" s="28">
        <f>Table_7[[#This Row],[Length 
(ft)]]</f>
        <v>55</v>
      </c>
      <c r="J56" s="28">
        <f>2020-Table_7[[#This Row],[Year]]</f>
        <v>12</v>
      </c>
      <c r="K56">
        <v>188925995936.80701</v>
      </c>
      <c r="L56">
        <v>17658.947301119199</v>
      </c>
      <c r="M56">
        <v>-1.2479835558140799</v>
      </c>
      <c r="N56">
        <v>-9.0040436420214593</v>
      </c>
      <c r="O56">
        <v>48.5</v>
      </c>
      <c r="P56">
        <v>1214</v>
      </c>
      <c r="Q56">
        <v>191</v>
      </c>
      <c r="R56">
        <v>15.92</v>
      </c>
    </row>
    <row r="57" spans="1:18" x14ac:dyDescent="0.25">
      <c r="A57" s="1" t="s">
        <v>195</v>
      </c>
      <c r="B57" s="2" t="s">
        <v>238</v>
      </c>
      <c r="C57" s="19">
        <v>55</v>
      </c>
      <c r="D57" s="3" t="s">
        <v>496</v>
      </c>
      <c r="E57" s="3" t="s">
        <v>237</v>
      </c>
      <c r="F57" s="23">
        <v>267233</v>
      </c>
      <c r="G57" s="15">
        <v>2005</v>
      </c>
      <c r="H57" s="15">
        <f>Table_7[[#This Row],[Listing Price (USD)]]/10000</f>
        <v>26.723299999999998</v>
      </c>
      <c r="I57" s="28">
        <f>Table_7[[#This Row],[Length 
(ft)]]</f>
        <v>55</v>
      </c>
      <c r="J57" s="28">
        <f>2020-Table_7[[#This Row],[Year]]</f>
        <v>15</v>
      </c>
      <c r="K57">
        <v>229031860520.77701</v>
      </c>
      <c r="L57">
        <v>22242.406417972001</v>
      </c>
      <c r="M57">
        <v>-1.2438329957616699E-2</v>
      </c>
      <c r="N57">
        <v>-8.3005160422115107</v>
      </c>
      <c r="O57">
        <v>48.5</v>
      </c>
      <c r="P57">
        <v>1214</v>
      </c>
      <c r="Q57">
        <v>191</v>
      </c>
      <c r="R57">
        <v>15.92</v>
      </c>
    </row>
    <row r="58" spans="1:18" x14ac:dyDescent="0.25">
      <c r="A58" s="1" t="s">
        <v>195</v>
      </c>
      <c r="B58" s="2" t="s">
        <v>238</v>
      </c>
      <c r="C58" s="19">
        <v>55</v>
      </c>
      <c r="D58" s="3" t="s">
        <v>496</v>
      </c>
      <c r="E58" s="3" t="s">
        <v>3</v>
      </c>
      <c r="F58" s="23">
        <v>267244</v>
      </c>
      <c r="G58" s="15">
        <v>2007</v>
      </c>
      <c r="H58" s="15">
        <f>Table_7[[#This Row],[Listing Price (USD)]]/10000</f>
        <v>26.724399999999999</v>
      </c>
      <c r="I58" s="28">
        <f>Table_7[[#This Row],[Length 
(ft)]]</f>
        <v>55</v>
      </c>
      <c r="J58" s="28">
        <f>2020-Table_7[[#This Row],[Year]]</f>
        <v>13</v>
      </c>
      <c r="K58">
        <v>2639008701648.2598</v>
      </c>
      <c r="L58">
        <v>39055.282928075401</v>
      </c>
      <c r="M58">
        <v>0.47649885272508302</v>
      </c>
      <c r="N58">
        <v>-7.7845864916787102</v>
      </c>
      <c r="O58">
        <v>48.5</v>
      </c>
      <c r="P58">
        <v>1214</v>
      </c>
      <c r="Q58">
        <v>191</v>
      </c>
      <c r="R58">
        <v>15.92</v>
      </c>
    </row>
    <row r="59" spans="1:18" x14ac:dyDescent="0.25">
      <c r="A59" s="1" t="s">
        <v>195</v>
      </c>
      <c r="B59" s="2" t="s">
        <v>238</v>
      </c>
      <c r="C59" s="19">
        <v>55</v>
      </c>
      <c r="D59" s="3" t="s">
        <v>496</v>
      </c>
      <c r="E59" s="3" t="s">
        <v>18</v>
      </c>
      <c r="F59" s="23">
        <v>273270</v>
      </c>
      <c r="G59" s="15">
        <v>2008</v>
      </c>
      <c r="H59" s="15">
        <f>Table_7[[#This Row],[Listing Price (USD)]]/10000</f>
        <v>27.327000000000002</v>
      </c>
      <c r="I59" s="28">
        <f>Table_7[[#This Row],[Length 
(ft)]]</f>
        <v>55</v>
      </c>
      <c r="J59" s="28">
        <f>2020-Table_7[[#This Row],[Year]]</f>
        <v>12</v>
      </c>
      <c r="K59">
        <v>188925995936.80701</v>
      </c>
      <c r="L59">
        <v>17658.947301119199</v>
      </c>
      <c r="M59">
        <v>-1.2479835558140799</v>
      </c>
      <c r="N59">
        <v>-9.0040436420214593</v>
      </c>
      <c r="O59">
        <v>48.5</v>
      </c>
      <c r="P59">
        <v>1214</v>
      </c>
      <c r="Q59">
        <v>191</v>
      </c>
      <c r="R59">
        <v>15.92</v>
      </c>
    </row>
    <row r="60" spans="1:18" x14ac:dyDescent="0.25">
      <c r="A60" s="1" t="s">
        <v>195</v>
      </c>
      <c r="B60" s="2" t="s">
        <v>238</v>
      </c>
      <c r="C60" s="19">
        <v>55</v>
      </c>
      <c r="D60" s="3" t="s">
        <v>496</v>
      </c>
      <c r="E60" s="3" t="s">
        <v>31</v>
      </c>
      <c r="F60" s="23">
        <v>278165</v>
      </c>
      <c r="G60" s="15">
        <v>2007</v>
      </c>
      <c r="H60" s="15">
        <f>Table_7[[#This Row],[Listing Price (USD)]]/10000</f>
        <v>27.816500000000001</v>
      </c>
      <c r="I60" s="28">
        <f>Table_7[[#This Row],[Length 
(ft)]]</f>
        <v>55</v>
      </c>
      <c r="J60" s="28">
        <f>2020-Table_7[[#This Row],[Year]]</f>
        <v>13</v>
      </c>
      <c r="K60">
        <v>57472012426.685303</v>
      </c>
      <c r="L60">
        <v>14198.753959474399</v>
      </c>
      <c r="M60">
        <v>0.15481137456202801</v>
      </c>
      <c r="N60">
        <v>-8.5803430210621805</v>
      </c>
      <c r="O60">
        <v>48.5</v>
      </c>
      <c r="P60">
        <v>1214</v>
      </c>
      <c r="Q60">
        <v>191</v>
      </c>
      <c r="R60">
        <v>15.92</v>
      </c>
    </row>
    <row r="61" spans="1:18" x14ac:dyDescent="0.25">
      <c r="A61" s="1" t="s">
        <v>195</v>
      </c>
      <c r="B61" s="2" t="s">
        <v>238</v>
      </c>
      <c r="C61" s="19">
        <v>55</v>
      </c>
      <c r="D61" s="3" t="s">
        <v>496</v>
      </c>
      <c r="E61" s="3" t="s">
        <v>19</v>
      </c>
      <c r="F61" s="23">
        <v>278454</v>
      </c>
      <c r="G61" s="15">
        <v>2008</v>
      </c>
      <c r="H61" s="15">
        <f>Table_7[[#This Row],[Listing Price (USD)]]/10000</f>
        <v>27.845400000000001</v>
      </c>
      <c r="I61" s="28">
        <f>Table_7[[#This Row],[Length 
(ft)]]</f>
        <v>55</v>
      </c>
      <c r="J61" s="28">
        <f>2020-Table_7[[#This Row],[Year]]</f>
        <v>12</v>
      </c>
      <c r="K61">
        <v>4200000000</v>
      </c>
      <c r="L61">
        <v>39553.199999999997</v>
      </c>
      <c r="M61">
        <v>4.0999999999999996</v>
      </c>
      <c r="N61">
        <v>-2.1</v>
      </c>
      <c r="O61">
        <v>48.5</v>
      </c>
      <c r="P61">
        <v>1214</v>
      </c>
      <c r="Q61">
        <v>191</v>
      </c>
      <c r="R61">
        <v>15.92</v>
      </c>
    </row>
    <row r="62" spans="1:18" x14ac:dyDescent="0.25">
      <c r="A62" s="1" t="s">
        <v>195</v>
      </c>
      <c r="B62" s="2" t="s">
        <v>238</v>
      </c>
      <c r="C62" s="19">
        <v>55</v>
      </c>
      <c r="D62" s="3" t="s">
        <v>496</v>
      </c>
      <c r="E62" s="3" t="s">
        <v>18</v>
      </c>
      <c r="F62" s="23">
        <v>299771</v>
      </c>
      <c r="G62" s="15">
        <v>2006</v>
      </c>
      <c r="H62" s="15">
        <f>Table_7[[#This Row],[Listing Price (USD)]]/10000</f>
        <v>29.9771</v>
      </c>
      <c r="I62" s="28">
        <f>Table_7[[#This Row],[Length 
(ft)]]</f>
        <v>55</v>
      </c>
      <c r="J62" s="28">
        <f>2020-Table_7[[#This Row],[Year]]</f>
        <v>14</v>
      </c>
      <c r="K62">
        <v>188925995936.80701</v>
      </c>
      <c r="L62">
        <v>17658.947301119199</v>
      </c>
      <c r="M62">
        <v>-1.2479835558140799</v>
      </c>
      <c r="N62">
        <v>-9.0040436420214593</v>
      </c>
      <c r="O62">
        <v>48.5</v>
      </c>
      <c r="P62">
        <v>1214</v>
      </c>
      <c r="Q62">
        <v>191</v>
      </c>
      <c r="R62">
        <v>15.92</v>
      </c>
    </row>
    <row r="63" spans="1:18" x14ac:dyDescent="0.25">
      <c r="A63" s="1" t="s">
        <v>195</v>
      </c>
      <c r="B63" s="2" t="s">
        <v>238</v>
      </c>
      <c r="C63" s="19">
        <v>55</v>
      </c>
      <c r="D63" s="3" t="s">
        <v>496</v>
      </c>
      <c r="E63" s="3" t="s">
        <v>9</v>
      </c>
      <c r="F63" s="23">
        <v>301204</v>
      </c>
      <c r="G63" s="15">
        <v>2005</v>
      </c>
      <c r="H63" s="15">
        <f>Table_7[[#This Row],[Listing Price (USD)]]/10000</f>
        <v>30.1204</v>
      </c>
      <c r="I63" s="28">
        <f>Table_7[[#This Row],[Length 
(ft)]]</f>
        <v>55</v>
      </c>
      <c r="J63" s="28">
        <f>2020-Table_7[[#This Row],[Year]]</f>
        <v>15</v>
      </c>
      <c r="K63">
        <v>1276962685648.25</v>
      </c>
      <c r="L63">
        <v>26959.675436732599</v>
      </c>
      <c r="M63">
        <v>-0.32275301729970501</v>
      </c>
      <c r="N63">
        <v>-11.3254383222864</v>
      </c>
      <c r="O63">
        <v>48.5</v>
      </c>
      <c r="P63">
        <v>1214</v>
      </c>
      <c r="Q63">
        <v>191</v>
      </c>
      <c r="R63">
        <v>15.92</v>
      </c>
    </row>
    <row r="64" spans="1:18" x14ac:dyDescent="0.25">
      <c r="A64" s="1" t="s">
        <v>195</v>
      </c>
      <c r="B64" s="2" t="s">
        <v>238</v>
      </c>
      <c r="C64" s="19">
        <v>55</v>
      </c>
      <c r="D64" s="3" t="s">
        <v>496</v>
      </c>
      <c r="E64" s="3" t="s">
        <v>18</v>
      </c>
      <c r="F64" s="23">
        <v>303633</v>
      </c>
      <c r="G64" s="15">
        <v>2007</v>
      </c>
      <c r="H64" s="15">
        <f>Table_7[[#This Row],[Listing Price (USD)]]/10000</f>
        <v>30.363299999999999</v>
      </c>
      <c r="I64" s="28">
        <f>Table_7[[#This Row],[Length 
(ft)]]</f>
        <v>55</v>
      </c>
      <c r="J64" s="28">
        <f>2020-Table_7[[#This Row],[Year]]</f>
        <v>13</v>
      </c>
      <c r="K64">
        <v>188925995936.80701</v>
      </c>
      <c r="L64">
        <v>17658.947301119199</v>
      </c>
      <c r="M64">
        <v>-1.2479835558140799</v>
      </c>
      <c r="N64">
        <v>-9.0040436420214593</v>
      </c>
      <c r="O64">
        <v>48.5</v>
      </c>
      <c r="P64">
        <v>1214</v>
      </c>
      <c r="Q64">
        <v>191</v>
      </c>
      <c r="R64">
        <v>15.92</v>
      </c>
    </row>
    <row r="65" spans="1:18" x14ac:dyDescent="0.25">
      <c r="A65" s="1" t="s">
        <v>195</v>
      </c>
      <c r="B65" s="2" t="s">
        <v>238</v>
      </c>
      <c r="C65" s="19">
        <v>55</v>
      </c>
      <c r="D65" s="3" t="s">
        <v>496</v>
      </c>
      <c r="E65" s="3" t="s">
        <v>18</v>
      </c>
      <c r="F65" s="23">
        <v>303674</v>
      </c>
      <c r="G65" s="15">
        <v>2008</v>
      </c>
      <c r="H65" s="15">
        <f>Table_7[[#This Row],[Listing Price (USD)]]/10000</f>
        <v>30.3674</v>
      </c>
      <c r="I65" s="28">
        <f>Table_7[[#This Row],[Length 
(ft)]]</f>
        <v>55</v>
      </c>
      <c r="J65" s="28">
        <f>2020-Table_7[[#This Row],[Year]]</f>
        <v>12</v>
      </c>
      <c r="K65">
        <v>188925995936.80701</v>
      </c>
      <c r="L65">
        <v>17658.947301119199</v>
      </c>
      <c r="M65">
        <v>-1.2479835558140799</v>
      </c>
      <c r="N65">
        <v>-9.0040436420214593</v>
      </c>
      <c r="O65">
        <v>48.5</v>
      </c>
      <c r="P65">
        <v>1214</v>
      </c>
      <c r="Q65">
        <v>191</v>
      </c>
      <c r="R65">
        <v>15.92</v>
      </c>
    </row>
    <row r="66" spans="1:18" x14ac:dyDescent="0.25">
      <c r="A66" s="1" t="s">
        <v>195</v>
      </c>
      <c r="B66" s="2" t="s">
        <v>238</v>
      </c>
      <c r="C66" s="19">
        <v>55</v>
      </c>
      <c r="D66" s="3" t="s">
        <v>496</v>
      </c>
      <c r="E66" s="3" t="s">
        <v>18</v>
      </c>
      <c r="F66" s="23">
        <v>303674</v>
      </c>
      <c r="G66" s="15">
        <v>2007</v>
      </c>
      <c r="H66" s="15">
        <f>Table_7[[#This Row],[Listing Price (USD)]]/10000</f>
        <v>30.3674</v>
      </c>
      <c r="I66" s="28">
        <f>Table_7[[#This Row],[Length 
(ft)]]</f>
        <v>55</v>
      </c>
      <c r="J66" s="28">
        <f>2020-Table_7[[#This Row],[Year]]</f>
        <v>13</v>
      </c>
      <c r="K66">
        <v>188925995936.80701</v>
      </c>
      <c r="L66">
        <v>17658.947301119199</v>
      </c>
      <c r="M66">
        <v>-1.2479835558140799</v>
      </c>
      <c r="N66">
        <v>-9.0040436420214593</v>
      </c>
      <c r="O66">
        <v>48.5</v>
      </c>
      <c r="P66">
        <v>1214</v>
      </c>
      <c r="Q66">
        <v>191</v>
      </c>
      <c r="R66">
        <v>15.92</v>
      </c>
    </row>
    <row r="67" spans="1:18" x14ac:dyDescent="0.25">
      <c r="A67" s="1" t="s">
        <v>195</v>
      </c>
      <c r="B67" s="2" t="s">
        <v>238</v>
      </c>
      <c r="C67" s="19">
        <v>55</v>
      </c>
      <c r="D67" s="3" t="s">
        <v>497</v>
      </c>
      <c r="E67" s="3" t="s">
        <v>524</v>
      </c>
      <c r="F67" s="23">
        <v>309000</v>
      </c>
      <c r="G67" s="15">
        <v>2007</v>
      </c>
      <c r="H67" s="15">
        <f>Table_7[[#This Row],[Listing Price (USD)]]/10000</f>
        <v>30.9</v>
      </c>
      <c r="I67" s="28">
        <f>Table_7[[#This Row],[Length 
(ft)]]</f>
        <v>55</v>
      </c>
      <c r="J67" s="28">
        <f>2020-Table_7[[#This Row],[Year]]</f>
        <v>13</v>
      </c>
      <c r="K67">
        <v>21059428851.4883</v>
      </c>
      <c r="L67">
        <v>13871.7982194664</v>
      </c>
      <c r="M67">
        <v>0.59898633082474695</v>
      </c>
      <c r="N67">
        <v>-7.6783311605235101</v>
      </c>
      <c r="O67">
        <v>48.5</v>
      </c>
      <c r="P67">
        <v>1214</v>
      </c>
      <c r="Q67">
        <v>191</v>
      </c>
      <c r="R67">
        <v>15.92</v>
      </c>
    </row>
    <row r="68" spans="1:18" x14ac:dyDescent="0.25">
      <c r="A68" s="1" t="s">
        <v>195</v>
      </c>
      <c r="B68" s="2" t="s">
        <v>238</v>
      </c>
      <c r="C68" s="19">
        <v>55</v>
      </c>
      <c r="D68" s="3" t="s">
        <v>496</v>
      </c>
      <c r="E68" s="3" t="s">
        <v>63</v>
      </c>
      <c r="F68" s="23">
        <v>321895</v>
      </c>
      <c r="G68" s="15">
        <v>2009</v>
      </c>
      <c r="H68" s="15">
        <f>Table_7[[#This Row],[Listing Price (USD)]]/10000</f>
        <v>32.189500000000002</v>
      </c>
      <c r="I68" s="28">
        <f>Table_7[[#This Row],[Length 
(ft)]]</f>
        <v>55</v>
      </c>
      <c r="J68" s="28">
        <f>2020-Table_7[[#This Row],[Year]]</f>
        <v>11</v>
      </c>
      <c r="K68">
        <v>720290000000</v>
      </c>
      <c r="L68">
        <v>13341.6</v>
      </c>
      <c r="M68">
        <v>13</v>
      </c>
      <c r="N68">
        <v>-3</v>
      </c>
      <c r="O68">
        <v>48.5</v>
      </c>
      <c r="P68">
        <v>1214</v>
      </c>
      <c r="Q68">
        <v>191</v>
      </c>
      <c r="R68">
        <v>15.92</v>
      </c>
    </row>
    <row r="69" spans="1:18" x14ac:dyDescent="0.25">
      <c r="A69" s="1" t="s">
        <v>195</v>
      </c>
      <c r="B69" s="2" t="s">
        <v>238</v>
      </c>
      <c r="C69" s="19">
        <v>55</v>
      </c>
      <c r="D69" s="3" t="s">
        <v>496</v>
      </c>
      <c r="E69" s="3" t="s">
        <v>9</v>
      </c>
      <c r="F69" s="23">
        <v>325539</v>
      </c>
      <c r="G69" s="15">
        <v>2007</v>
      </c>
      <c r="H69" s="15">
        <f>Table_7[[#This Row],[Listing Price (USD)]]/10000</f>
        <v>32.553899999999999</v>
      </c>
      <c r="I69" s="28">
        <f>Table_7[[#This Row],[Length 
(ft)]]</f>
        <v>55</v>
      </c>
      <c r="J69" s="28">
        <f>2020-Table_7[[#This Row],[Year]]</f>
        <v>13</v>
      </c>
      <c r="K69">
        <v>1276962685648.25</v>
      </c>
      <c r="L69">
        <v>26959.675436732599</v>
      </c>
      <c r="M69">
        <v>-0.32275301729970501</v>
      </c>
      <c r="N69">
        <v>-11.3254383222864</v>
      </c>
      <c r="O69">
        <v>48.5</v>
      </c>
      <c r="P69">
        <v>1214</v>
      </c>
      <c r="Q69">
        <v>191</v>
      </c>
      <c r="R69">
        <v>15.92</v>
      </c>
    </row>
    <row r="70" spans="1:18" x14ac:dyDescent="0.25">
      <c r="A70" s="1" t="s">
        <v>195</v>
      </c>
      <c r="B70" s="2" t="s">
        <v>238</v>
      </c>
      <c r="C70" s="19">
        <v>55</v>
      </c>
      <c r="D70" s="3" t="s">
        <v>496</v>
      </c>
      <c r="E70" s="3" t="s">
        <v>9</v>
      </c>
      <c r="F70" s="23">
        <v>325868</v>
      </c>
      <c r="G70" s="15">
        <v>2007</v>
      </c>
      <c r="H70" s="15">
        <f>Table_7[[#This Row],[Listing Price (USD)]]/10000</f>
        <v>32.586799999999997</v>
      </c>
      <c r="I70" s="28">
        <f>Table_7[[#This Row],[Length 
(ft)]]</f>
        <v>55</v>
      </c>
      <c r="J70" s="28">
        <f>2020-Table_7[[#This Row],[Year]]</f>
        <v>13</v>
      </c>
      <c r="K70">
        <v>1276962685648.25</v>
      </c>
      <c r="L70">
        <v>26959.675436732599</v>
      </c>
      <c r="M70">
        <v>-0.32275301729970501</v>
      </c>
      <c r="N70">
        <v>-11.3254383222864</v>
      </c>
      <c r="O70">
        <v>48.5</v>
      </c>
      <c r="P70">
        <v>1214</v>
      </c>
      <c r="Q70">
        <v>191</v>
      </c>
      <c r="R70">
        <v>15.92</v>
      </c>
    </row>
    <row r="71" spans="1:18" x14ac:dyDescent="0.25">
      <c r="A71" s="1" t="s">
        <v>195</v>
      </c>
      <c r="B71" s="2" t="s">
        <v>238</v>
      </c>
      <c r="C71" s="19">
        <v>55</v>
      </c>
      <c r="D71" s="3" t="s">
        <v>495</v>
      </c>
      <c r="E71" s="3" t="s">
        <v>526</v>
      </c>
      <c r="F71" s="23">
        <v>339500</v>
      </c>
      <c r="G71" s="15">
        <v>2007</v>
      </c>
      <c r="H71" s="15">
        <f>Table_7[[#This Row],[Listing Price (USD)]]/10000</f>
        <v>33.950000000000003</v>
      </c>
      <c r="I71" s="28">
        <f>Table_7[[#This Row],[Length 
(ft)]]</f>
        <v>55</v>
      </c>
      <c r="J71" s="28">
        <f>2020-Table_7[[#This Row],[Year]]</f>
        <v>13</v>
      </c>
      <c r="K71">
        <v>4200000000</v>
      </c>
      <c r="L71">
        <v>39553.199999999997</v>
      </c>
      <c r="M71">
        <v>4.0999999999999996</v>
      </c>
      <c r="N71">
        <v>-2.1</v>
      </c>
      <c r="O71">
        <v>48.5</v>
      </c>
      <c r="P71">
        <v>1214</v>
      </c>
      <c r="Q71">
        <v>191</v>
      </c>
      <c r="R71">
        <v>15.92</v>
      </c>
    </row>
    <row r="72" spans="1:18" x14ac:dyDescent="0.25">
      <c r="A72" s="1" t="s">
        <v>195</v>
      </c>
      <c r="B72" s="2" t="s">
        <v>238</v>
      </c>
      <c r="C72" s="19">
        <v>55</v>
      </c>
      <c r="D72" s="3" t="s">
        <v>496</v>
      </c>
      <c r="E72" s="3" t="s">
        <v>9</v>
      </c>
      <c r="F72" s="23">
        <v>358287</v>
      </c>
      <c r="G72" s="15">
        <v>2005</v>
      </c>
      <c r="H72" s="15">
        <f>Table_7[[#This Row],[Listing Price (USD)]]/10000</f>
        <v>35.828699999999998</v>
      </c>
      <c r="I72" s="28">
        <f>Table_7[[#This Row],[Length 
(ft)]]</f>
        <v>55</v>
      </c>
      <c r="J72" s="28">
        <f>2020-Table_7[[#This Row],[Year]]</f>
        <v>15</v>
      </c>
      <c r="K72">
        <v>1276962685648.25</v>
      </c>
      <c r="L72">
        <v>26959.675436732599</v>
      </c>
      <c r="M72">
        <v>-0.32275301729970501</v>
      </c>
      <c r="N72">
        <v>-11.3254383222864</v>
      </c>
      <c r="O72">
        <v>48.5</v>
      </c>
      <c r="P72">
        <v>1214</v>
      </c>
      <c r="Q72">
        <v>191</v>
      </c>
      <c r="R72">
        <v>15.92</v>
      </c>
    </row>
    <row r="73" spans="1:18" x14ac:dyDescent="0.25">
      <c r="A73" s="1" t="s">
        <v>195</v>
      </c>
      <c r="B73" s="2" t="s">
        <v>238</v>
      </c>
      <c r="C73" s="19">
        <v>55</v>
      </c>
      <c r="D73" s="3" t="s">
        <v>496</v>
      </c>
      <c r="E73" s="3" t="s">
        <v>9</v>
      </c>
      <c r="F73" s="23">
        <v>358335</v>
      </c>
      <c r="G73" s="15">
        <v>2005</v>
      </c>
      <c r="H73" s="15">
        <f>Table_7[[#This Row],[Listing Price (USD)]]/10000</f>
        <v>35.833500000000001</v>
      </c>
      <c r="I73" s="28">
        <f>Table_7[[#This Row],[Length 
(ft)]]</f>
        <v>55</v>
      </c>
      <c r="J73" s="28">
        <f>2020-Table_7[[#This Row],[Year]]</f>
        <v>15</v>
      </c>
      <c r="K73">
        <v>1276962685648.25</v>
      </c>
      <c r="L73">
        <v>26959.675436732599</v>
      </c>
      <c r="M73">
        <v>-0.32275301729970501</v>
      </c>
      <c r="N73">
        <v>-11.3254383222864</v>
      </c>
      <c r="O73">
        <v>48.5</v>
      </c>
      <c r="P73">
        <v>1214</v>
      </c>
      <c r="Q73">
        <v>191</v>
      </c>
      <c r="R73">
        <v>15.92</v>
      </c>
    </row>
    <row r="74" spans="1:18" x14ac:dyDescent="0.25">
      <c r="A74" s="1" t="s">
        <v>195</v>
      </c>
      <c r="B74" s="2" t="s">
        <v>238</v>
      </c>
      <c r="C74" s="19">
        <v>55</v>
      </c>
      <c r="D74" s="3" t="s">
        <v>496</v>
      </c>
      <c r="E74" s="3" t="s">
        <v>9</v>
      </c>
      <c r="F74" s="23">
        <v>364409</v>
      </c>
      <c r="G74" s="15">
        <v>2008</v>
      </c>
      <c r="H74" s="15">
        <f>Table_7[[#This Row],[Listing Price (USD)]]/10000</f>
        <v>36.440899999999999</v>
      </c>
      <c r="I74" s="28">
        <f>Table_7[[#This Row],[Length 
(ft)]]</f>
        <v>55</v>
      </c>
      <c r="J74" s="28">
        <f>2020-Table_7[[#This Row],[Year]]</f>
        <v>12</v>
      </c>
      <c r="K74">
        <v>1276962685648.25</v>
      </c>
      <c r="L74">
        <v>26959.675436732599</v>
      </c>
      <c r="M74">
        <v>-0.32275301729970501</v>
      </c>
      <c r="N74">
        <v>-11.3254383222864</v>
      </c>
      <c r="O74">
        <v>48.5</v>
      </c>
      <c r="P74">
        <v>1214</v>
      </c>
      <c r="Q74">
        <v>191</v>
      </c>
      <c r="R74">
        <v>15.92</v>
      </c>
    </row>
    <row r="75" spans="1:18" x14ac:dyDescent="0.25">
      <c r="A75" s="1" t="s">
        <v>195</v>
      </c>
      <c r="B75" s="2" t="s">
        <v>238</v>
      </c>
      <c r="C75" s="19">
        <v>55</v>
      </c>
      <c r="D75" s="3" t="s">
        <v>496</v>
      </c>
      <c r="E75" s="3" t="s">
        <v>9</v>
      </c>
      <c r="F75" s="23">
        <v>501081</v>
      </c>
      <c r="G75" s="15">
        <v>2017</v>
      </c>
      <c r="H75" s="15">
        <f>Table_7[[#This Row],[Listing Price (USD)]]/10000</f>
        <v>50.1081</v>
      </c>
      <c r="I75" s="28">
        <f>Table_7[[#This Row],[Length 
(ft)]]</f>
        <v>55</v>
      </c>
      <c r="J75" s="28">
        <f>2020-Table_7[[#This Row],[Year]]</f>
        <v>3</v>
      </c>
      <c r="K75">
        <v>1276962685648.25</v>
      </c>
      <c r="L75">
        <v>26959.675436732599</v>
      </c>
      <c r="M75">
        <v>-0.32275301729970501</v>
      </c>
      <c r="N75">
        <v>-11.3254383222864</v>
      </c>
      <c r="O75">
        <v>48.5</v>
      </c>
      <c r="P75">
        <v>1214</v>
      </c>
      <c r="Q75">
        <v>191</v>
      </c>
      <c r="R75">
        <v>15.92</v>
      </c>
    </row>
    <row r="76" spans="1:18" x14ac:dyDescent="0.25">
      <c r="A76" s="1" t="s">
        <v>195</v>
      </c>
      <c r="B76" s="2" t="s">
        <v>238</v>
      </c>
      <c r="C76" s="19">
        <v>55</v>
      </c>
      <c r="D76" s="3" t="s">
        <v>496</v>
      </c>
      <c r="E76" s="3" t="s">
        <v>19</v>
      </c>
      <c r="F76" s="23">
        <v>512942</v>
      </c>
      <c r="G76" s="15">
        <v>2017</v>
      </c>
      <c r="H76" s="15">
        <f>Table_7[[#This Row],[Listing Price (USD)]]/10000</f>
        <v>51.294199999999996</v>
      </c>
      <c r="I76" s="28">
        <f>Table_7[[#This Row],[Length 
(ft)]]</f>
        <v>55</v>
      </c>
      <c r="J76" s="28">
        <f>2020-Table_7[[#This Row],[Year]]</f>
        <v>3</v>
      </c>
      <c r="K76">
        <v>4200000000</v>
      </c>
      <c r="L76">
        <v>39553.199999999997</v>
      </c>
      <c r="M76">
        <v>4.0999999999999996</v>
      </c>
      <c r="N76">
        <v>-2.1</v>
      </c>
      <c r="O76">
        <v>48.5</v>
      </c>
      <c r="P76">
        <v>1214</v>
      </c>
      <c r="Q76">
        <v>191</v>
      </c>
      <c r="R76">
        <v>15.92</v>
      </c>
    </row>
    <row r="77" spans="1:18" x14ac:dyDescent="0.25">
      <c r="A77" s="1" t="s">
        <v>195</v>
      </c>
      <c r="B77" s="2" t="s">
        <v>238</v>
      </c>
      <c r="C77" s="19">
        <v>55</v>
      </c>
      <c r="D77" s="3" t="s">
        <v>495</v>
      </c>
      <c r="E77" s="3" t="s">
        <v>515</v>
      </c>
      <c r="F77" s="23">
        <v>575000</v>
      </c>
      <c r="G77" s="15">
        <v>2018</v>
      </c>
      <c r="H77" s="15">
        <f>Table_7[[#This Row],[Listing Price (USD)]]/10000</f>
        <v>57.5</v>
      </c>
      <c r="I77" s="28">
        <f>Table_7[[#This Row],[Length 
(ft)]]</f>
        <v>55</v>
      </c>
      <c r="J77" s="28">
        <f>2020-Table_7[[#This Row],[Year]]</f>
        <v>2</v>
      </c>
      <c r="K77">
        <v>410675000000</v>
      </c>
      <c r="L77">
        <v>66531.03</v>
      </c>
      <c r="M77">
        <v>1.23</v>
      </c>
      <c r="N77">
        <v>1.8</v>
      </c>
      <c r="O77">
        <v>48.5</v>
      </c>
      <c r="P77">
        <v>1214</v>
      </c>
      <c r="Q77">
        <v>191</v>
      </c>
      <c r="R77">
        <v>15.92</v>
      </c>
    </row>
    <row r="78" spans="1:18" x14ac:dyDescent="0.25">
      <c r="A78" s="1" t="s">
        <v>195</v>
      </c>
      <c r="B78" s="2" t="s">
        <v>238</v>
      </c>
      <c r="C78" s="19">
        <v>55</v>
      </c>
      <c r="D78" s="3" t="s">
        <v>495</v>
      </c>
      <c r="E78" s="3" t="s">
        <v>515</v>
      </c>
      <c r="F78" s="23">
        <v>579000</v>
      </c>
      <c r="G78" s="15">
        <v>2017</v>
      </c>
      <c r="H78" s="15">
        <f>Table_7[[#This Row],[Listing Price (USD)]]/10000</f>
        <v>57.9</v>
      </c>
      <c r="I78" s="28">
        <f>Table_7[[#This Row],[Length 
(ft)]]</f>
        <v>55</v>
      </c>
      <c r="J78" s="28">
        <f>2020-Table_7[[#This Row],[Year]]</f>
        <v>3</v>
      </c>
      <c r="K78">
        <v>410675000000</v>
      </c>
      <c r="L78">
        <v>66531.03</v>
      </c>
      <c r="M78">
        <v>1.23</v>
      </c>
      <c r="N78">
        <v>1.8</v>
      </c>
      <c r="O78">
        <v>48.5</v>
      </c>
      <c r="P78">
        <v>1214</v>
      </c>
      <c r="Q78">
        <v>191</v>
      </c>
      <c r="R78">
        <v>15.92</v>
      </c>
    </row>
    <row r="79" spans="1:18" x14ac:dyDescent="0.25">
      <c r="A79" s="1" t="s">
        <v>195</v>
      </c>
      <c r="B79" s="2" t="s">
        <v>238</v>
      </c>
      <c r="C79" s="19">
        <v>55</v>
      </c>
      <c r="D79" s="3" t="s">
        <v>496</v>
      </c>
      <c r="E79" s="3" t="s">
        <v>9</v>
      </c>
      <c r="F79" s="23">
        <v>593926</v>
      </c>
      <c r="G79" s="15">
        <v>2018</v>
      </c>
      <c r="H79" s="15">
        <f>Table_7[[#This Row],[Listing Price (USD)]]/10000</f>
        <v>59.392600000000002</v>
      </c>
      <c r="I79" s="28">
        <f>Table_7[[#This Row],[Length 
(ft)]]</f>
        <v>55</v>
      </c>
      <c r="J79" s="28">
        <f>2020-Table_7[[#This Row],[Year]]</f>
        <v>2</v>
      </c>
      <c r="K79">
        <v>1276962685648.25</v>
      </c>
      <c r="L79">
        <v>26959.675436732599</v>
      </c>
      <c r="M79">
        <v>-0.32275301729970501</v>
      </c>
      <c r="N79">
        <v>-11.3254383222864</v>
      </c>
      <c r="O79">
        <v>48.5</v>
      </c>
      <c r="P79">
        <v>1214</v>
      </c>
      <c r="Q79">
        <v>191</v>
      </c>
      <c r="R79">
        <v>15.92</v>
      </c>
    </row>
    <row r="80" spans="1:18" x14ac:dyDescent="0.25">
      <c r="A80" s="1" t="s">
        <v>195</v>
      </c>
      <c r="B80" s="2" t="s">
        <v>238</v>
      </c>
      <c r="C80" s="19">
        <v>55</v>
      </c>
      <c r="D80" s="3" t="s">
        <v>496</v>
      </c>
      <c r="E80" s="3" t="s">
        <v>9</v>
      </c>
      <c r="F80" s="23">
        <v>594010</v>
      </c>
      <c r="G80" s="15">
        <v>2018</v>
      </c>
      <c r="H80" s="15">
        <f>Table_7[[#This Row],[Listing Price (USD)]]/10000</f>
        <v>59.401000000000003</v>
      </c>
      <c r="I80" s="28">
        <f>Table_7[[#This Row],[Length 
(ft)]]</f>
        <v>55</v>
      </c>
      <c r="J80" s="28">
        <f>2020-Table_7[[#This Row],[Year]]</f>
        <v>2</v>
      </c>
      <c r="K80">
        <v>1276962685648.25</v>
      </c>
      <c r="L80">
        <v>26959.675436732599</v>
      </c>
      <c r="M80">
        <v>-0.32275301729970501</v>
      </c>
      <c r="N80">
        <v>-11.3254383222864</v>
      </c>
      <c r="O80">
        <v>48.5</v>
      </c>
      <c r="P80">
        <v>1214</v>
      </c>
      <c r="Q80">
        <v>191</v>
      </c>
      <c r="R80">
        <v>15.92</v>
      </c>
    </row>
    <row r="81" spans="1:18" x14ac:dyDescent="0.25">
      <c r="A81" s="1" t="s">
        <v>195</v>
      </c>
      <c r="B81" s="2" t="s">
        <v>238</v>
      </c>
      <c r="C81" s="19">
        <v>55</v>
      </c>
      <c r="D81" s="3" t="s">
        <v>496</v>
      </c>
      <c r="E81" s="3" t="s">
        <v>19</v>
      </c>
      <c r="F81" s="23">
        <v>599687</v>
      </c>
      <c r="G81" s="15">
        <v>2017</v>
      </c>
      <c r="H81" s="15">
        <f>Table_7[[#This Row],[Listing Price (USD)]]/10000</f>
        <v>59.968699999999998</v>
      </c>
      <c r="I81" s="28">
        <f>Table_7[[#This Row],[Length 
(ft)]]</f>
        <v>55</v>
      </c>
      <c r="J81" s="28">
        <f>2020-Table_7[[#This Row],[Year]]</f>
        <v>3</v>
      </c>
      <c r="K81">
        <v>4200000000</v>
      </c>
      <c r="L81">
        <v>39553.199999999997</v>
      </c>
      <c r="M81">
        <v>4.0999999999999996</v>
      </c>
      <c r="N81">
        <v>-2.1</v>
      </c>
      <c r="O81">
        <v>48.5</v>
      </c>
      <c r="P81">
        <v>1214</v>
      </c>
      <c r="Q81">
        <v>191</v>
      </c>
      <c r="R81">
        <v>15.92</v>
      </c>
    </row>
    <row r="82" spans="1:18" x14ac:dyDescent="0.25">
      <c r="A82" s="1" t="s">
        <v>195</v>
      </c>
      <c r="B82" s="2" t="s">
        <v>238</v>
      </c>
      <c r="C82" s="19">
        <v>55</v>
      </c>
      <c r="D82" s="3" t="s">
        <v>495</v>
      </c>
      <c r="E82" s="3" t="s">
        <v>526</v>
      </c>
      <c r="F82" s="23">
        <v>599999</v>
      </c>
      <c r="G82" s="15">
        <v>2016</v>
      </c>
      <c r="H82" s="15">
        <f>Table_7[[#This Row],[Listing Price (USD)]]/10000</f>
        <v>59.999899999999997</v>
      </c>
      <c r="I82" s="28">
        <f>Table_7[[#This Row],[Length 
(ft)]]</f>
        <v>55</v>
      </c>
      <c r="J82" s="28">
        <f>2020-Table_7[[#This Row],[Year]]</f>
        <v>4</v>
      </c>
      <c r="K82">
        <v>4200000000</v>
      </c>
      <c r="L82">
        <v>39553.199999999997</v>
      </c>
      <c r="M82">
        <v>4.0999999999999996</v>
      </c>
      <c r="N82">
        <v>-2.1</v>
      </c>
      <c r="O82">
        <v>48.5</v>
      </c>
      <c r="P82">
        <v>1214</v>
      </c>
      <c r="Q82">
        <v>191</v>
      </c>
      <c r="R82">
        <v>15.92</v>
      </c>
    </row>
    <row r="83" spans="1:18" x14ac:dyDescent="0.25">
      <c r="A83" s="1" t="s">
        <v>195</v>
      </c>
      <c r="B83" s="2" t="s">
        <v>238</v>
      </c>
      <c r="C83" s="19">
        <v>55</v>
      </c>
      <c r="D83" s="3" t="s">
        <v>495</v>
      </c>
      <c r="E83" s="3" t="s">
        <v>521</v>
      </c>
      <c r="F83" s="23">
        <v>600000</v>
      </c>
      <c r="G83" s="15">
        <v>2016</v>
      </c>
      <c r="H83" s="15">
        <f>Table_7[[#This Row],[Listing Price (USD)]]/10000</f>
        <v>60</v>
      </c>
      <c r="I83" s="28">
        <f>Table_7[[#This Row],[Length 
(ft)]]</f>
        <v>55</v>
      </c>
      <c r="J83" s="28">
        <f>2020-Table_7[[#This Row],[Year]]</f>
        <v>4</v>
      </c>
      <c r="K83">
        <v>60556000000</v>
      </c>
      <c r="L83">
        <v>55240.56</v>
      </c>
      <c r="M83">
        <v>3</v>
      </c>
      <c r="N83">
        <v>2.2000000000000002</v>
      </c>
      <c r="O83">
        <v>48.5</v>
      </c>
      <c r="P83">
        <v>1214</v>
      </c>
      <c r="Q83">
        <v>191</v>
      </c>
      <c r="R83">
        <v>15.92</v>
      </c>
    </row>
    <row r="84" spans="1:18" x14ac:dyDescent="0.25">
      <c r="A84" s="1" t="s">
        <v>195</v>
      </c>
      <c r="B84" s="2" t="s">
        <v>238</v>
      </c>
      <c r="C84" s="19">
        <v>55</v>
      </c>
      <c r="D84" s="3" t="s">
        <v>497</v>
      </c>
      <c r="E84" s="3" t="s">
        <v>370</v>
      </c>
      <c r="F84" s="23">
        <v>618000</v>
      </c>
      <c r="G84" s="15">
        <v>2017</v>
      </c>
      <c r="H84" s="15">
        <f>Table_7[[#This Row],[Listing Price (USD)]]/10000</f>
        <v>61.8</v>
      </c>
      <c r="I84" s="28">
        <f>Table_7[[#This Row],[Length 
(ft)]]</f>
        <v>55</v>
      </c>
      <c r="J84" s="28">
        <f>2020-Table_7[[#This Row],[Year]]</f>
        <v>3</v>
      </c>
      <c r="K84">
        <v>500000000</v>
      </c>
      <c r="L84">
        <v>34200</v>
      </c>
      <c r="M84">
        <v>1.1000000000000001</v>
      </c>
      <c r="N84">
        <v>2</v>
      </c>
      <c r="O84">
        <v>48.5</v>
      </c>
      <c r="P84">
        <v>1214</v>
      </c>
      <c r="Q84">
        <v>191</v>
      </c>
      <c r="R84">
        <v>15.92</v>
      </c>
    </row>
    <row r="85" spans="1:18" x14ac:dyDescent="0.25">
      <c r="A85" s="1" t="s">
        <v>195</v>
      </c>
      <c r="B85" s="2" t="s">
        <v>238</v>
      </c>
      <c r="C85" s="19">
        <v>55</v>
      </c>
      <c r="D85" s="3" t="s">
        <v>497</v>
      </c>
      <c r="E85" s="3" t="s">
        <v>520</v>
      </c>
      <c r="F85" s="23">
        <v>629000</v>
      </c>
      <c r="G85" s="15">
        <v>2016</v>
      </c>
      <c r="H85" s="15">
        <f>Table_7[[#This Row],[Listing Price (USD)]]/10000</f>
        <v>62.9</v>
      </c>
      <c r="I85" s="28">
        <f>Table_7[[#This Row],[Length 
(ft)]]</f>
        <v>55</v>
      </c>
      <c r="J85" s="28">
        <f>2020-Table_7[[#This Row],[Year]]</f>
        <v>4</v>
      </c>
      <c r="K85">
        <v>103020300000</v>
      </c>
      <c r="L85">
        <v>31393.907369044598</v>
      </c>
      <c r="M85">
        <v>3</v>
      </c>
      <c r="N85">
        <v>-4.3534263366192603</v>
      </c>
      <c r="O85">
        <v>48.5</v>
      </c>
      <c r="P85">
        <v>1214</v>
      </c>
      <c r="Q85">
        <v>191</v>
      </c>
      <c r="R85">
        <v>15.92</v>
      </c>
    </row>
    <row r="86" spans="1:18" x14ac:dyDescent="0.25">
      <c r="A86" s="1" t="s">
        <v>195</v>
      </c>
      <c r="B86" s="2" t="s">
        <v>238</v>
      </c>
      <c r="C86" s="19">
        <v>55</v>
      </c>
      <c r="D86" s="3" t="s">
        <v>496</v>
      </c>
      <c r="E86" s="3" t="s">
        <v>3</v>
      </c>
      <c r="F86" s="23">
        <v>649863</v>
      </c>
      <c r="G86" s="15">
        <v>2018</v>
      </c>
      <c r="H86" s="15">
        <f>Table_7[[#This Row],[Listing Price (USD)]]/10000</f>
        <v>64.9863</v>
      </c>
      <c r="I86" s="28">
        <f>Table_7[[#This Row],[Length 
(ft)]]</f>
        <v>55</v>
      </c>
      <c r="J86" s="28">
        <f>2020-Table_7[[#This Row],[Year]]</f>
        <v>2</v>
      </c>
      <c r="K86">
        <v>2639008701648.2598</v>
      </c>
      <c r="L86">
        <v>39055.282928075401</v>
      </c>
      <c r="M86">
        <v>0.47649885272508302</v>
      </c>
      <c r="N86">
        <v>-7.7845864916787102</v>
      </c>
      <c r="O86">
        <v>48.5</v>
      </c>
      <c r="P86">
        <v>1214</v>
      </c>
      <c r="Q86">
        <v>191</v>
      </c>
      <c r="R86">
        <v>15.92</v>
      </c>
    </row>
    <row r="87" spans="1:18" x14ac:dyDescent="0.25">
      <c r="A87" s="1" t="s">
        <v>248</v>
      </c>
      <c r="B87" s="2">
        <v>505</v>
      </c>
      <c r="C87" s="19">
        <v>50</v>
      </c>
      <c r="D87" s="3" t="s">
        <v>496</v>
      </c>
      <c r="E87" s="3" t="s">
        <v>31</v>
      </c>
      <c r="F87" s="23">
        <v>761701</v>
      </c>
      <c r="G87" s="15">
        <v>2017</v>
      </c>
      <c r="H87" s="15">
        <f>Table_7[[#This Row],[Listing Price (USD)]]/10000</f>
        <v>76.170100000000005</v>
      </c>
      <c r="I87" s="28">
        <f>Table_7[[#This Row],[Length 
(ft)]]</f>
        <v>50</v>
      </c>
      <c r="J87" s="28">
        <f>2020-Table_7[[#This Row],[Year]]</f>
        <v>3</v>
      </c>
      <c r="K87">
        <v>57472012426.685303</v>
      </c>
      <c r="L87">
        <v>14198.753959474399</v>
      </c>
      <c r="M87">
        <v>0.15481137456202801</v>
      </c>
      <c r="N87">
        <v>-8.5803430210621805</v>
      </c>
      <c r="O87">
        <v>46.19</v>
      </c>
      <c r="P87">
        <v>1420</v>
      </c>
      <c r="Q87">
        <v>190</v>
      </c>
      <c r="R87">
        <v>15.06</v>
      </c>
    </row>
    <row r="88" spans="1:18" x14ac:dyDescent="0.25">
      <c r="A88" s="1" t="s">
        <v>164</v>
      </c>
      <c r="B88" s="2">
        <v>47</v>
      </c>
      <c r="C88" s="19">
        <v>48</v>
      </c>
      <c r="D88" s="3" t="s">
        <v>496</v>
      </c>
      <c r="E88" s="3" t="s">
        <v>124</v>
      </c>
      <c r="F88" s="23">
        <v>464162</v>
      </c>
      <c r="G88" s="15">
        <v>2013</v>
      </c>
      <c r="H88" s="15">
        <f>Table_7[[#This Row],[Listing Price (USD)]]/10000</f>
        <v>46.416200000000003</v>
      </c>
      <c r="I88" s="28">
        <f>Table_7[[#This Row],[Length 
(ft)]]</f>
        <v>48</v>
      </c>
      <c r="J88" s="28">
        <f>2020-Table_7[[#This Row],[Year]]</f>
        <v>7</v>
      </c>
      <c r="K88">
        <v>547054174235.87598</v>
      </c>
      <c r="L88">
        <v>52837.903977814902</v>
      </c>
      <c r="M88">
        <v>0.497367318853562</v>
      </c>
      <c r="N88">
        <v>-2.1702131788587198</v>
      </c>
      <c r="O88">
        <v>41</v>
      </c>
      <c r="P88">
        <v>1000</v>
      </c>
      <c r="Q88">
        <v>180</v>
      </c>
      <c r="R88">
        <v>14.23</v>
      </c>
    </row>
    <row r="89" spans="1:18" x14ac:dyDescent="0.25">
      <c r="A89" s="1" t="s">
        <v>290</v>
      </c>
      <c r="B89" s="2">
        <v>54</v>
      </c>
      <c r="C89" s="19">
        <v>54</v>
      </c>
      <c r="D89" s="3" t="s">
        <v>496</v>
      </c>
      <c r="E89" s="3" t="s">
        <v>56</v>
      </c>
      <c r="F89" s="23">
        <v>479805</v>
      </c>
      <c r="G89" s="15">
        <v>2010</v>
      </c>
      <c r="H89" s="15">
        <f>Table_7[[#This Row],[Listing Price (USD)]]/10000</f>
        <v>47.980499999999999</v>
      </c>
      <c r="I89" s="28">
        <f>Table_7[[#This Row],[Length 
(ft)]]</f>
        <v>54</v>
      </c>
      <c r="J89" s="28">
        <f>2020-Table_7[[#This Row],[Year]]</f>
        <v>10</v>
      </c>
      <c r="K89">
        <v>14933066818.9606</v>
      </c>
      <c r="L89">
        <v>28977.565567363599</v>
      </c>
      <c r="M89">
        <v>0.63854495677665302</v>
      </c>
      <c r="N89">
        <v>-8.3242832319722009</v>
      </c>
      <c r="O89">
        <v>46.26</v>
      </c>
      <c r="P89">
        <v>1657</v>
      </c>
      <c r="Q89">
        <v>180</v>
      </c>
      <c r="R89">
        <v>15.58</v>
      </c>
    </row>
    <row r="90" spans="1:18" x14ac:dyDescent="0.25">
      <c r="A90" s="1" t="s">
        <v>244</v>
      </c>
      <c r="B90" s="3">
        <v>54</v>
      </c>
      <c r="C90" s="19">
        <v>54</v>
      </c>
      <c r="D90" s="3" t="s">
        <v>495</v>
      </c>
      <c r="E90" s="3" t="s">
        <v>500</v>
      </c>
      <c r="F90" s="23">
        <v>919000</v>
      </c>
      <c r="G90" s="15">
        <v>2016</v>
      </c>
      <c r="H90" s="15">
        <f>Table_7[[#This Row],[Listing Price (USD)]]/10000</f>
        <v>91.9</v>
      </c>
      <c r="I90" s="28">
        <f>Table_7[[#This Row],[Length 
(ft)]]</f>
        <v>54</v>
      </c>
      <c r="J90" s="28">
        <f>2020-Table_7[[#This Row],[Year]]</f>
        <v>4</v>
      </c>
      <c r="K90">
        <v>3007188000000</v>
      </c>
      <c r="L90">
        <v>76131.839999999997</v>
      </c>
      <c r="M90">
        <v>1.23</v>
      </c>
      <c r="N90">
        <v>2.7</v>
      </c>
      <c r="O90">
        <v>46.08</v>
      </c>
      <c r="P90">
        <v>1289</v>
      </c>
      <c r="Q90">
        <v>180</v>
      </c>
      <c r="R90">
        <v>15.92</v>
      </c>
    </row>
    <row r="91" spans="1:18" x14ac:dyDescent="0.25">
      <c r="A91" s="1" t="s">
        <v>191</v>
      </c>
      <c r="B91" s="3">
        <v>440</v>
      </c>
      <c r="C91" s="19">
        <v>45</v>
      </c>
      <c r="D91" s="3" t="s">
        <v>495</v>
      </c>
      <c r="E91" s="3" t="s">
        <v>333</v>
      </c>
      <c r="F91" s="23">
        <v>350000</v>
      </c>
      <c r="G91" s="15">
        <v>2006</v>
      </c>
      <c r="H91" s="15">
        <f>Table_7[[#This Row],[Listing Price (USD)]]/10000</f>
        <v>35</v>
      </c>
      <c r="I91" s="28">
        <f>Table_7[[#This Row],[Length 
(ft)]]</f>
        <v>45</v>
      </c>
      <c r="J91" s="28">
        <f>2020-Table_7[[#This Row],[Year]]</f>
        <v>14</v>
      </c>
      <c r="K91">
        <v>1106036000000</v>
      </c>
      <c r="L91">
        <v>51276.72</v>
      </c>
      <c r="M91">
        <v>1.23</v>
      </c>
      <c r="N91">
        <v>2.9</v>
      </c>
      <c r="O91">
        <v>37.5</v>
      </c>
      <c r="P91">
        <v>943</v>
      </c>
      <c r="Q91">
        <v>180</v>
      </c>
      <c r="R91">
        <v>14.1</v>
      </c>
    </row>
    <row r="92" spans="1:18" x14ac:dyDescent="0.25">
      <c r="A92" s="1" t="s">
        <v>45</v>
      </c>
      <c r="B92" s="2" t="s">
        <v>59</v>
      </c>
      <c r="C92" s="19">
        <v>43</v>
      </c>
      <c r="D92" s="3" t="s">
        <v>496</v>
      </c>
      <c r="E92" s="3" t="s">
        <v>18</v>
      </c>
      <c r="F92" s="23">
        <v>91090</v>
      </c>
      <c r="G92" s="15">
        <v>2008</v>
      </c>
      <c r="H92" s="15">
        <f>Table_7[[#This Row],[Listing Price (USD)]]/10000</f>
        <v>9.109</v>
      </c>
      <c r="I92" s="28">
        <f>Table_7[[#This Row],[Length 
(ft)]]</f>
        <v>43</v>
      </c>
      <c r="J92" s="28">
        <f>2020-Table_7[[#This Row],[Year]]</f>
        <v>12</v>
      </c>
      <c r="K92">
        <v>188925995936.80701</v>
      </c>
      <c r="L92">
        <v>17658.947301119199</v>
      </c>
      <c r="M92">
        <v>-1.2479835558140799</v>
      </c>
      <c r="N92">
        <v>-9.0040436420214593</v>
      </c>
      <c r="O92">
        <v>36.33</v>
      </c>
      <c r="P92">
        <v>970.00199999999995</v>
      </c>
      <c r="Q92">
        <v>180</v>
      </c>
      <c r="R92">
        <v>13</v>
      </c>
    </row>
    <row r="93" spans="1:18" x14ac:dyDescent="0.25">
      <c r="A93" s="1" t="s">
        <v>45</v>
      </c>
      <c r="B93" s="2" t="s">
        <v>59</v>
      </c>
      <c r="C93" s="19">
        <v>43</v>
      </c>
      <c r="D93" s="3" t="s">
        <v>496</v>
      </c>
      <c r="E93" s="3" t="s">
        <v>18</v>
      </c>
      <c r="F93" s="23">
        <v>95961</v>
      </c>
      <c r="G93" s="15">
        <v>2008</v>
      </c>
      <c r="H93" s="15">
        <f>Table_7[[#This Row],[Listing Price (USD)]]/10000</f>
        <v>9.5960999999999999</v>
      </c>
      <c r="I93" s="28">
        <f>Table_7[[#This Row],[Length 
(ft)]]</f>
        <v>43</v>
      </c>
      <c r="J93" s="28">
        <f>2020-Table_7[[#This Row],[Year]]</f>
        <v>12</v>
      </c>
      <c r="K93">
        <v>188925995936.80701</v>
      </c>
      <c r="L93">
        <v>17658.947301119199</v>
      </c>
      <c r="M93">
        <v>-1.2479835558140799</v>
      </c>
      <c r="N93">
        <v>-9.0040436420214593</v>
      </c>
      <c r="O93">
        <v>36.33</v>
      </c>
      <c r="P93">
        <v>970.00199999999995</v>
      </c>
      <c r="Q93">
        <v>180</v>
      </c>
      <c r="R93">
        <v>13</v>
      </c>
    </row>
    <row r="94" spans="1:18" x14ac:dyDescent="0.25">
      <c r="A94" s="1" t="s">
        <v>45</v>
      </c>
      <c r="B94" s="3" t="s">
        <v>59</v>
      </c>
      <c r="C94" s="19">
        <v>43</v>
      </c>
      <c r="D94" s="3" t="s">
        <v>497</v>
      </c>
      <c r="E94" s="3" t="s">
        <v>370</v>
      </c>
      <c r="F94" s="23">
        <v>99000</v>
      </c>
      <c r="G94" s="15">
        <v>2010</v>
      </c>
      <c r="H94" s="15">
        <f>Table_7[[#This Row],[Listing Price (USD)]]/10000</f>
        <v>9.9</v>
      </c>
      <c r="I94" s="28">
        <f>Table_7[[#This Row],[Length 
(ft)]]</f>
        <v>43</v>
      </c>
      <c r="J94" s="28">
        <f>2020-Table_7[[#This Row],[Year]]</f>
        <v>10</v>
      </c>
      <c r="K94">
        <v>500000000</v>
      </c>
      <c r="L94">
        <v>34200</v>
      </c>
      <c r="M94">
        <v>1.1000000000000001</v>
      </c>
      <c r="N94">
        <v>2</v>
      </c>
      <c r="O94">
        <v>36.33</v>
      </c>
      <c r="P94">
        <v>970.00199999999995</v>
      </c>
      <c r="Q94">
        <v>180</v>
      </c>
      <c r="R94">
        <v>13</v>
      </c>
    </row>
    <row r="95" spans="1:18" x14ac:dyDescent="0.25">
      <c r="A95" s="1" t="s">
        <v>45</v>
      </c>
      <c r="B95" s="2" t="s">
        <v>59</v>
      </c>
      <c r="C95" s="19">
        <v>43</v>
      </c>
      <c r="D95" s="3" t="s">
        <v>496</v>
      </c>
      <c r="E95" s="3" t="s">
        <v>31</v>
      </c>
      <c r="F95" s="23">
        <v>103249</v>
      </c>
      <c r="G95" s="15">
        <v>2010</v>
      </c>
      <c r="H95" s="15">
        <f>Table_7[[#This Row],[Listing Price (USD)]]/10000</f>
        <v>10.3249</v>
      </c>
      <c r="I95" s="28">
        <f>Table_7[[#This Row],[Length 
(ft)]]</f>
        <v>43</v>
      </c>
      <c r="J95" s="28">
        <f>2020-Table_7[[#This Row],[Year]]</f>
        <v>10</v>
      </c>
      <c r="K95">
        <v>57472012426.685303</v>
      </c>
      <c r="L95">
        <v>14198.753959474399</v>
      </c>
      <c r="M95">
        <v>0.15481137456202801</v>
      </c>
      <c r="N95">
        <v>-8.5803430210621805</v>
      </c>
      <c r="O95">
        <v>36.33</v>
      </c>
      <c r="P95">
        <v>970.00199999999995</v>
      </c>
      <c r="Q95">
        <v>180</v>
      </c>
      <c r="R95">
        <v>13</v>
      </c>
    </row>
    <row r="96" spans="1:18" x14ac:dyDescent="0.25">
      <c r="A96" s="1" t="s">
        <v>45</v>
      </c>
      <c r="B96" s="2" t="s">
        <v>59</v>
      </c>
      <c r="C96" s="19">
        <v>43</v>
      </c>
      <c r="D96" s="3" t="s">
        <v>496</v>
      </c>
      <c r="E96" s="3" t="s">
        <v>31</v>
      </c>
      <c r="F96" s="23">
        <v>105679</v>
      </c>
      <c r="G96" s="15">
        <v>2009</v>
      </c>
      <c r="H96" s="15">
        <f>Table_7[[#This Row],[Listing Price (USD)]]/10000</f>
        <v>10.5679</v>
      </c>
      <c r="I96" s="28">
        <f>Table_7[[#This Row],[Length 
(ft)]]</f>
        <v>43</v>
      </c>
      <c r="J96" s="28">
        <f>2020-Table_7[[#This Row],[Year]]</f>
        <v>11</v>
      </c>
      <c r="K96">
        <v>57472012426.685303</v>
      </c>
      <c r="L96">
        <v>14198.753959474399</v>
      </c>
      <c r="M96">
        <v>0.15481137456202801</v>
      </c>
      <c r="N96">
        <v>-8.5803430210621805</v>
      </c>
      <c r="O96">
        <v>36.33</v>
      </c>
      <c r="P96">
        <v>970.00199999999995</v>
      </c>
      <c r="Q96">
        <v>180</v>
      </c>
      <c r="R96">
        <v>13</v>
      </c>
    </row>
    <row r="97" spans="1:18" x14ac:dyDescent="0.25">
      <c r="A97" s="1" t="s">
        <v>45</v>
      </c>
      <c r="B97" s="2" t="s">
        <v>59</v>
      </c>
      <c r="C97" s="19">
        <v>43</v>
      </c>
      <c r="D97" s="3" t="s">
        <v>496</v>
      </c>
      <c r="E97" s="3" t="s">
        <v>31</v>
      </c>
      <c r="F97" s="23">
        <v>106893</v>
      </c>
      <c r="G97" s="15">
        <v>2009</v>
      </c>
      <c r="H97" s="15">
        <f>Table_7[[#This Row],[Listing Price (USD)]]/10000</f>
        <v>10.689299999999999</v>
      </c>
      <c r="I97" s="28">
        <f>Table_7[[#This Row],[Length 
(ft)]]</f>
        <v>43</v>
      </c>
      <c r="J97" s="28">
        <f>2020-Table_7[[#This Row],[Year]]</f>
        <v>11</v>
      </c>
      <c r="K97">
        <v>57472012426.685303</v>
      </c>
      <c r="L97">
        <v>14198.753959474399</v>
      </c>
      <c r="M97">
        <v>0.15481137456202801</v>
      </c>
      <c r="N97">
        <v>-8.5803430210621805</v>
      </c>
      <c r="O97">
        <v>36.33</v>
      </c>
      <c r="P97">
        <v>970.00199999999995</v>
      </c>
      <c r="Q97">
        <v>180</v>
      </c>
      <c r="R97">
        <v>13</v>
      </c>
    </row>
    <row r="98" spans="1:18" x14ac:dyDescent="0.25">
      <c r="A98" s="1" t="s">
        <v>45</v>
      </c>
      <c r="B98" s="2" t="s">
        <v>59</v>
      </c>
      <c r="C98" s="19">
        <v>43</v>
      </c>
      <c r="D98" s="3" t="s">
        <v>496</v>
      </c>
      <c r="E98" s="3" t="s">
        <v>31</v>
      </c>
      <c r="F98" s="23">
        <v>110537</v>
      </c>
      <c r="G98" s="15">
        <v>2009</v>
      </c>
      <c r="H98" s="15">
        <f>Table_7[[#This Row],[Listing Price (USD)]]/10000</f>
        <v>11.053699999999999</v>
      </c>
      <c r="I98" s="28">
        <f>Table_7[[#This Row],[Length 
(ft)]]</f>
        <v>43</v>
      </c>
      <c r="J98" s="28">
        <f>2020-Table_7[[#This Row],[Year]]</f>
        <v>11</v>
      </c>
      <c r="K98">
        <v>57472012426.685303</v>
      </c>
      <c r="L98">
        <v>14198.753959474399</v>
      </c>
      <c r="M98">
        <v>0.15481137456202801</v>
      </c>
      <c r="N98">
        <v>-8.5803430210621805</v>
      </c>
      <c r="O98">
        <v>36.33</v>
      </c>
      <c r="P98">
        <v>970.00199999999995</v>
      </c>
      <c r="Q98">
        <v>180</v>
      </c>
      <c r="R98">
        <v>13</v>
      </c>
    </row>
    <row r="99" spans="1:18" x14ac:dyDescent="0.25">
      <c r="A99" s="1" t="s">
        <v>45</v>
      </c>
      <c r="B99" s="3" t="s">
        <v>59</v>
      </c>
      <c r="C99" s="19">
        <v>43</v>
      </c>
      <c r="D99" s="3" t="s">
        <v>495</v>
      </c>
      <c r="E99" s="3" t="s">
        <v>333</v>
      </c>
      <c r="F99" s="23">
        <v>110900</v>
      </c>
      <c r="G99" s="15">
        <v>2009</v>
      </c>
      <c r="H99" s="15">
        <f>Table_7[[#This Row],[Listing Price (USD)]]/10000</f>
        <v>11.09</v>
      </c>
      <c r="I99" s="28">
        <f>Table_7[[#This Row],[Length 
(ft)]]</f>
        <v>43</v>
      </c>
      <c r="J99" s="28">
        <f>2020-Table_7[[#This Row],[Year]]</f>
        <v>11</v>
      </c>
      <c r="K99">
        <v>1106036000000</v>
      </c>
      <c r="L99">
        <v>51276.72</v>
      </c>
      <c r="M99">
        <v>1.23</v>
      </c>
      <c r="N99">
        <v>2.9</v>
      </c>
      <c r="O99">
        <v>36.33</v>
      </c>
      <c r="P99">
        <v>970.00199999999995</v>
      </c>
      <c r="Q99">
        <v>180</v>
      </c>
      <c r="R99">
        <v>13</v>
      </c>
    </row>
    <row r="100" spans="1:18" x14ac:dyDescent="0.25">
      <c r="A100" s="1" t="s">
        <v>45</v>
      </c>
      <c r="B100" s="2" t="s">
        <v>59</v>
      </c>
      <c r="C100" s="19">
        <v>43</v>
      </c>
      <c r="D100" s="3" t="s">
        <v>496</v>
      </c>
      <c r="E100" s="3" t="s">
        <v>18</v>
      </c>
      <c r="F100" s="23">
        <v>111752</v>
      </c>
      <c r="G100" s="15">
        <v>2010</v>
      </c>
      <c r="H100" s="15">
        <f>Table_7[[#This Row],[Listing Price (USD)]]/10000</f>
        <v>11.1752</v>
      </c>
      <c r="I100" s="28">
        <f>Table_7[[#This Row],[Length 
(ft)]]</f>
        <v>43</v>
      </c>
      <c r="J100" s="28">
        <f>2020-Table_7[[#This Row],[Year]]</f>
        <v>10</v>
      </c>
      <c r="K100">
        <v>188925995936.80701</v>
      </c>
      <c r="L100">
        <v>17658.947301119199</v>
      </c>
      <c r="M100">
        <v>-1.2479835558140799</v>
      </c>
      <c r="N100">
        <v>-9.0040436420214593</v>
      </c>
      <c r="O100">
        <v>36.33</v>
      </c>
      <c r="P100">
        <v>970.00199999999995</v>
      </c>
      <c r="Q100">
        <v>180</v>
      </c>
      <c r="R100">
        <v>13</v>
      </c>
    </row>
    <row r="101" spans="1:18" x14ac:dyDescent="0.25">
      <c r="A101" s="1" t="s">
        <v>45</v>
      </c>
      <c r="B101" s="2" t="s">
        <v>59</v>
      </c>
      <c r="C101" s="19">
        <v>43</v>
      </c>
      <c r="D101" s="3" t="s">
        <v>496</v>
      </c>
      <c r="E101" s="3" t="s">
        <v>9</v>
      </c>
      <c r="F101" s="23">
        <v>115380</v>
      </c>
      <c r="G101" s="15">
        <v>2009</v>
      </c>
      <c r="H101" s="15">
        <f>Table_7[[#This Row],[Listing Price (USD)]]/10000</f>
        <v>11.538</v>
      </c>
      <c r="I101" s="28">
        <f>Table_7[[#This Row],[Length 
(ft)]]</f>
        <v>43</v>
      </c>
      <c r="J101" s="28">
        <f>2020-Table_7[[#This Row],[Year]]</f>
        <v>11</v>
      </c>
      <c r="K101">
        <v>1276962685648.25</v>
      </c>
      <c r="L101">
        <v>26959.675436732599</v>
      </c>
      <c r="M101">
        <v>-0.32275301729970501</v>
      </c>
      <c r="N101">
        <v>-11.3254383222864</v>
      </c>
      <c r="O101">
        <v>36.33</v>
      </c>
      <c r="P101">
        <v>970.00199999999995</v>
      </c>
      <c r="Q101">
        <v>180</v>
      </c>
      <c r="R101">
        <v>13</v>
      </c>
    </row>
    <row r="102" spans="1:18" x14ac:dyDescent="0.25">
      <c r="A102" s="1" t="s">
        <v>45</v>
      </c>
      <c r="B102" s="2" t="s">
        <v>59</v>
      </c>
      <c r="C102" s="19">
        <v>43</v>
      </c>
      <c r="D102" s="3" t="s">
        <v>496</v>
      </c>
      <c r="E102" s="3" t="s">
        <v>31</v>
      </c>
      <c r="F102" s="23">
        <v>115396</v>
      </c>
      <c r="G102" s="15">
        <v>2011</v>
      </c>
      <c r="H102" s="15">
        <f>Table_7[[#This Row],[Listing Price (USD)]]/10000</f>
        <v>11.5396</v>
      </c>
      <c r="I102" s="28">
        <f>Table_7[[#This Row],[Length 
(ft)]]</f>
        <v>43</v>
      </c>
      <c r="J102" s="28">
        <f>2020-Table_7[[#This Row],[Year]]</f>
        <v>9</v>
      </c>
      <c r="K102">
        <v>57472012426.685303</v>
      </c>
      <c r="L102">
        <v>14198.753959474399</v>
      </c>
      <c r="M102">
        <v>0.15481137456202801</v>
      </c>
      <c r="N102">
        <v>-8.5803430210621805</v>
      </c>
      <c r="O102">
        <v>36.33</v>
      </c>
      <c r="P102">
        <v>970.00199999999995</v>
      </c>
      <c r="Q102">
        <v>180</v>
      </c>
      <c r="R102">
        <v>13</v>
      </c>
    </row>
    <row r="103" spans="1:18" x14ac:dyDescent="0.25">
      <c r="A103" s="1" t="s">
        <v>45</v>
      </c>
      <c r="B103" s="2" t="s">
        <v>59</v>
      </c>
      <c r="C103" s="19">
        <v>43</v>
      </c>
      <c r="D103" s="3" t="s">
        <v>496</v>
      </c>
      <c r="E103" s="3" t="s">
        <v>31</v>
      </c>
      <c r="F103" s="23">
        <v>115396</v>
      </c>
      <c r="G103" s="15">
        <v>2010</v>
      </c>
      <c r="H103" s="15">
        <f>Table_7[[#This Row],[Listing Price (USD)]]/10000</f>
        <v>11.5396</v>
      </c>
      <c r="I103" s="28">
        <f>Table_7[[#This Row],[Length 
(ft)]]</f>
        <v>43</v>
      </c>
      <c r="J103" s="28">
        <f>2020-Table_7[[#This Row],[Year]]</f>
        <v>10</v>
      </c>
      <c r="K103">
        <v>57472012426.685303</v>
      </c>
      <c r="L103">
        <v>14198.753959474399</v>
      </c>
      <c r="M103">
        <v>0.15481137456202801</v>
      </c>
      <c r="N103">
        <v>-8.5803430210621805</v>
      </c>
      <c r="O103">
        <v>36.33</v>
      </c>
      <c r="P103">
        <v>970.00199999999995</v>
      </c>
      <c r="Q103">
        <v>180</v>
      </c>
      <c r="R103">
        <v>13</v>
      </c>
    </row>
    <row r="104" spans="1:18" x14ac:dyDescent="0.25">
      <c r="A104" s="1" t="s">
        <v>45</v>
      </c>
      <c r="B104" s="2" t="s">
        <v>59</v>
      </c>
      <c r="C104" s="19">
        <v>43</v>
      </c>
      <c r="D104" s="3" t="s">
        <v>496</v>
      </c>
      <c r="E104" s="3" t="s">
        <v>31</v>
      </c>
      <c r="F104" s="23">
        <v>115396</v>
      </c>
      <c r="G104" s="15">
        <v>2007</v>
      </c>
      <c r="H104" s="15">
        <f>Table_7[[#This Row],[Listing Price (USD)]]/10000</f>
        <v>11.5396</v>
      </c>
      <c r="I104" s="28">
        <f>Table_7[[#This Row],[Length 
(ft)]]</f>
        <v>43</v>
      </c>
      <c r="J104" s="28">
        <f>2020-Table_7[[#This Row],[Year]]</f>
        <v>13</v>
      </c>
      <c r="K104">
        <v>57472012426.685303</v>
      </c>
      <c r="L104">
        <v>14198.753959474399</v>
      </c>
      <c r="M104">
        <v>0.15481137456202801</v>
      </c>
      <c r="N104">
        <v>-8.5803430210621805</v>
      </c>
      <c r="O104">
        <v>36.33</v>
      </c>
      <c r="P104">
        <v>970.00199999999995</v>
      </c>
      <c r="Q104">
        <v>180</v>
      </c>
      <c r="R104">
        <v>13</v>
      </c>
    </row>
    <row r="105" spans="1:18" x14ac:dyDescent="0.25">
      <c r="A105" s="1" t="s">
        <v>45</v>
      </c>
      <c r="B105" s="2" t="s">
        <v>59</v>
      </c>
      <c r="C105" s="19">
        <v>43</v>
      </c>
      <c r="D105" s="3" t="s">
        <v>496</v>
      </c>
      <c r="E105" s="3" t="s">
        <v>18</v>
      </c>
      <c r="F105" s="23">
        <v>115396</v>
      </c>
      <c r="G105" s="15">
        <v>2011</v>
      </c>
      <c r="H105" s="15">
        <f>Table_7[[#This Row],[Listing Price (USD)]]/10000</f>
        <v>11.5396</v>
      </c>
      <c r="I105" s="28">
        <f>Table_7[[#This Row],[Length 
(ft)]]</f>
        <v>43</v>
      </c>
      <c r="J105" s="28">
        <f>2020-Table_7[[#This Row],[Year]]</f>
        <v>9</v>
      </c>
      <c r="K105">
        <v>188925995936.80701</v>
      </c>
      <c r="L105">
        <v>17658.947301119199</v>
      </c>
      <c r="M105">
        <v>-1.2479835558140799</v>
      </c>
      <c r="N105">
        <v>-9.0040436420214593</v>
      </c>
      <c r="O105">
        <v>36.33</v>
      </c>
      <c r="P105">
        <v>970.00199999999995</v>
      </c>
      <c r="Q105">
        <v>180</v>
      </c>
      <c r="R105">
        <v>13</v>
      </c>
    </row>
    <row r="106" spans="1:18" x14ac:dyDescent="0.25">
      <c r="A106" s="1" t="s">
        <v>45</v>
      </c>
      <c r="B106" s="2" t="s">
        <v>59</v>
      </c>
      <c r="C106" s="19">
        <v>43</v>
      </c>
      <c r="D106" s="3" t="s">
        <v>496</v>
      </c>
      <c r="E106" s="3" t="s">
        <v>24</v>
      </c>
      <c r="F106" s="23">
        <v>115396</v>
      </c>
      <c r="G106" s="15">
        <v>2010</v>
      </c>
      <c r="H106" s="15">
        <f>Table_7[[#This Row],[Listing Price (USD)]]/10000</f>
        <v>11.5396</v>
      </c>
      <c r="I106" s="28">
        <f>Table_7[[#This Row],[Length 
(ft)]]</f>
        <v>43</v>
      </c>
      <c r="J106" s="28">
        <f>2020-Table_7[[#This Row],[Year]]</f>
        <v>10</v>
      </c>
      <c r="K106">
        <v>1896755301518.1399</v>
      </c>
      <c r="L106">
        <v>31911.0357890017</v>
      </c>
      <c r="M106">
        <v>-0.13770757391656999</v>
      </c>
      <c r="N106">
        <v>-9.0399534112288507</v>
      </c>
      <c r="O106">
        <v>36.33</v>
      </c>
      <c r="P106">
        <v>970.00199999999995</v>
      </c>
      <c r="Q106">
        <v>180</v>
      </c>
      <c r="R106">
        <v>13</v>
      </c>
    </row>
    <row r="107" spans="1:18" x14ac:dyDescent="0.25">
      <c r="A107" s="1" t="s">
        <v>45</v>
      </c>
      <c r="B107" s="2" t="s">
        <v>59</v>
      </c>
      <c r="C107" s="19">
        <v>43</v>
      </c>
      <c r="D107" s="3" t="s">
        <v>496</v>
      </c>
      <c r="E107" s="3" t="s">
        <v>24</v>
      </c>
      <c r="F107" s="23">
        <v>115396</v>
      </c>
      <c r="G107" s="15">
        <v>2008</v>
      </c>
      <c r="H107" s="15">
        <f>Table_7[[#This Row],[Listing Price (USD)]]/10000</f>
        <v>11.5396</v>
      </c>
      <c r="I107" s="28">
        <f>Table_7[[#This Row],[Length 
(ft)]]</f>
        <v>43</v>
      </c>
      <c r="J107" s="28">
        <f>2020-Table_7[[#This Row],[Year]]</f>
        <v>12</v>
      </c>
      <c r="K107">
        <v>1896755301518.1399</v>
      </c>
      <c r="L107">
        <v>31911.0357890017</v>
      </c>
      <c r="M107">
        <v>-0.13770757391656999</v>
      </c>
      <c r="N107">
        <v>-9.0399534112288507</v>
      </c>
      <c r="O107">
        <v>36.33</v>
      </c>
      <c r="P107">
        <v>970.00199999999995</v>
      </c>
      <c r="Q107">
        <v>180</v>
      </c>
      <c r="R107">
        <v>13</v>
      </c>
    </row>
    <row r="108" spans="1:18" x14ac:dyDescent="0.25">
      <c r="A108" s="1" t="s">
        <v>45</v>
      </c>
      <c r="B108" s="2" t="s">
        <v>59</v>
      </c>
      <c r="C108" s="19">
        <v>43</v>
      </c>
      <c r="D108" s="3" t="s">
        <v>496</v>
      </c>
      <c r="E108" s="3" t="s">
        <v>31</v>
      </c>
      <c r="F108" s="23">
        <v>119024</v>
      </c>
      <c r="G108" s="15">
        <v>2009</v>
      </c>
      <c r="H108" s="15">
        <f>Table_7[[#This Row],[Listing Price (USD)]]/10000</f>
        <v>11.9024</v>
      </c>
      <c r="I108" s="28">
        <f>Table_7[[#This Row],[Length 
(ft)]]</f>
        <v>43</v>
      </c>
      <c r="J108" s="28">
        <f>2020-Table_7[[#This Row],[Year]]</f>
        <v>11</v>
      </c>
      <c r="K108">
        <v>57472012426.685303</v>
      </c>
      <c r="L108">
        <v>14198.753959474399</v>
      </c>
      <c r="M108">
        <v>0.15481137456202801</v>
      </c>
      <c r="N108">
        <v>-8.5803430210621805</v>
      </c>
      <c r="O108">
        <v>36.33</v>
      </c>
      <c r="P108">
        <v>970.00199999999995</v>
      </c>
      <c r="Q108">
        <v>180</v>
      </c>
      <c r="R108">
        <v>13</v>
      </c>
    </row>
    <row r="109" spans="1:18" x14ac:dyDescent="0.25">
      <c r="A109" s="1" t="s">
        <v>45</v>
      </c>
      <c r="B109" s="2" t="s">
        <v>59</v>
      </c>
      <c r="C109" s="19">
        <v>43</v>
      </c>
      <c r="D109" s="3" t="s">
        <v>496</v>
      </c>
      <c r="E109" s="3" t="s">
        <v>18</v>
      </c>
      <c r="F109" s="23">
        <v>121457</v>
      </c>
      <c r="G109" s="15">
        <v>2008</v>
      </c>
      <c r="H109" s="15">
        <f>Table_7[[#This Row],[Listing Price (USD)]]/10000</f>
        <v>12.1457</v>
      </c>
      <c r="I109" s="28">
        <f>Table_7[[#This Row],[Length 
(ft)]]</f>
        <v>43</v>
      </c>
      <c r="J109" s="28">
        <f>2020-Table_7[[#This Row],[Year]]</f>
        <v>12</v>
      </c>
      <c r="K109">
        <v>188925995936.80701</v>
      </c>
      <c r="L109">
        <v>17658.947301119199</v>
      </c>
      <c r="M109">
        <v>-1.2479835558140799</v>
      </c>
      <c r="N109">
        <v>-9.0040436420214593</v>
      </c>
      <c r="O109">
        <v>36.33</v>
      </c>
      <c r="P109">
        <v>970.00199999999995</v>
      </c>
      <c r="Q109">
        <v>180</v>
      </c>
      <c r="R109">
        <v>13</v>
      </c>
    </row>
    <row r="110" spans="1:18" x14ac:dyDescent="0.25">
      <c r="A110" s="1" t="s">
        <v>45</v>
      </c>
      <c r="B110" s="2" t="s">
        <v>59</v>
      </c>
      <c r="C110" s="19">
        <v>43</v>
      </c>
      <c r="D110" s="3" t="s">
        <v>496</v>
      </c>
      <c r="E110" s="3" t="s">
        <v>24</v>
      </c>
      <c r="F110" s="23">
        <v>121470</v>
      </c>
      <c r="G110" s="15">
        <v>2008</v>
      </c>
      <c r="H110" s="15">
        <f>Table_7[[#This Row],[Listing Price (USD)]]/10000</f>
        <v>12.147</v>
      </c>
      <c r="I110" s="28">
        <f>Table_7[[#This Row],[Length 
(ft)]]</f>
        <v>43</v>
      </c>
      <c r="J110" s="28">
        <f>2020-Table_7[[#This Row],[Year]]</f>
        <v>12</v>
      </c>
      <c r="K110">
        <v>1896755301518.1399</v>
      </c>
      <c r="L110">
        <v>31911.0357890017</v>
      </c>
      <c r="M110">
        <v>-0.13770757391656999</v>
      </c>
      <c r="N110">
        <v>-9.0399534112288507</v>
      </c>
      <c r="O110">
        <v>36.33</v>
      </c>
      <c r="P110">
        <v>970.00199999999995</v>
      </c>
      <c r="Q110">
        <v>180</v>
      </c>
      <c r="R110">
        <v>13</v>
      </c>
    </row>
    <row r="111" spans="1:18" x14ac:dyDescent="0.25">
      <c r="A111" s="1" t="s">
        <v>45</v>
      </c>
      <c r="B111" s="3" t="s">
        <v>59</v>
      </c>
      <c r="C111" s="19">
        <v>43</v>
      </c>
      <c r="D111" s="3" t="s">
        <v>497</v>
      </c>
      <c r="E111" s="3" t="s">
        <v>392</v>
      </c>
      <c r="F111" s="23">
        <v>129000</v>
      </c>
      <c r="G111" s="15">
        <v>2010</v>
      </c>
      <c r="H111" s="15">
        <f>Table_7[[#This Row],[Listing Price (USD)]]/10000</f>
        <v>12.9</v>
      </c>
      <c r="I111" s="28">
        <f>Table_7[[#This Row],[Length 
(ft)]]</f>
        <v>43</v>
      </c>
      <c r="J111" s="28">
        <f>2020-Table_7[[#This Row],[Year]]</f>
        <v>10</v>
      </c>
      <c r="K111">
        <v>1043414814.81481</v>
      </c>
      <c r="L111">
        <v>8437.5667322870595</v>
      </c>
      <c r="M111">
        <v>-0.74073259704550098</v>
      </c>
      <c r="N111">
        <v>-13.7559294530644</v>
      </c>
      <c r="O111">
        <v>36.33</v>
      </c>
      <c r="P111">
        <v>970.00199999999995</v>
      </c>
      <c r="Q111">
        <v>180</v>
      </c>
      <c r="R111">
        <v>13</v>
      </c>
    </row>
    <row r="112" spans="1:18" x14ac:dyDescent="0.25">
      <c r="A112" s="1" t="s">
        <v>45</v>
      </c>
      <c r="B112" s="3" t="s">
        <v>59</v>
      </c>
      <c r="C112" s="19">
        <v>43</v>
      </c>
      <c r="D112" s="3" t="s">
        <v>497</v>
      </c>
      <c r="E112" s="3" t="s">
        <v>525</v>
      </c>
      <c r="F112" s="23">
        <v>129000</v>
      </c>
      <c r="G112" s="15">
        <v>2011</v>
      </c>
      <c r="H112" s="15">
        <f>Table_7[[#This Row],[Listing Price (USD)]]/10000</f>
        <v>12.9</v>
      </c>
      <c r="I112" s="28">
        <f>Table_7[[#This Row],[Length 
(ft)]]</f>
        <v>43</v>
      </c>
      <c r="J112" s="28">
        <f>2020-Table_7[[#This Row],[Year]]</f>
        <v>9</v>
      </c>
      <c r="K112">
        <v>4200000000</v>
      </c>
      <c r="L112">
        <v>39553.199999999997</v>
      </c>
      <c r="M112">
        <v>4.0999999999999996</v>
      </c>
      <c r="N112">
        <v>-2.1</v>
      </c>
      <c r="O112">
        <v>36.33</v>
      </c>
      <c r="P112">
        <v>970.00199999999995</v>
      </c>
      <c r="Q112">
        <v>180</v>
      </c>
      <c r="R112">
        <v>13</v>
      </c>
    </row>
    <row r="113" spans="1:18" x14ac:dyDescent="0.25">
      <c r="A113" s="1" t="s">
        <v>45</v>
      </c>
      <c r="B113" s="3" t="s">
        <v>59</v>
      </c>
      <c r="C113" s="19">
        <v>43</v>
      </c>
      <c r="D113" s="3" t="s">
        <v>497</v>
      </c>
      <c r="E113" s="3" t="s">
        <v>513</v>
      </c>
      <c r="F113" s="23">
        <v>133000</v>
      </c>
      <c r="G113" s="15">
        <v>2010</v>
      </c>
      <c r="H113" s="15">
        <f>Table_7[[#This Row],[Listing Price (USD)]]/10000</f>
        <v>13.3</v>
      </c>
      <c r="I113" s="28">
        <f>Table_7[[#This Row],[Length 
(ft)]]</f>
        <v>43</v>
      </c>
      <c r="J113" s="28">
        <f>2020-Table_7[[#This Row],[Year]]</f>
        <v>10</v>
      </c>
      <c r="K113">
        <v>82885000000</v>
      </c>
      <c r="L113">
        <v>57086.559999999998</v>
      </c>
      <c r="M113">
        <v>1.23</v>
      </c>
      <c r="N113">
        <v>1.2</v>
      </c>
      <c r="O113">
        <v>36.33</v>
      </c>
      <c r="P113">
        <v>970.00199999999995</v>
      </c>
      <c r="Q113">
        <v>180</v>
      </c>
      <c r="R113">
        <v>13</v>
      </c>
    </row>
    <row r="114" spans="1:18" x14ac:dyDescent="0.25">
      <c r="A114" s="1" t="s">
        <v>45</v>
      </c>
      <c r="B114" s="2" t="s">
        <v>59</v>
      </c>
      <c r="C114" s="19">
        <v>43</v>
      </c>
      <c r="D114" s="3" t="s">
        <v>496</v>
      </c>
      <c r="E114" s="3" t="s">
        <v>18</v>
      </c>
      <c r="F114" s="23">
        <v>133598</v>
      </c>
      <c r="G114" s="15">
        <v>2008</v>
      </c>
      <c r="H114" s="15">
        <f>Table_7[[#This Row],[Listing Price (USD)]]/10000</f>
        <v>13.3598</v>
      </c>
      <c r="I114" s="28">
        <f>Table_7[[#This Row],[Length 
(ft)]]</f>
        <v>43</v>
      </c>
      <c r="J114" s="28">
        <f>2020-Table_7[[#This Row],[Year]]</f>
        <v>12</v>
      </c>
      <c r="K114">
        <v>188925995936.80701</v>
      </c>
      <c r="L114">
        <v>17658.947301119199</v>
      </c>
      <c r="M114">
        <v>-1.2479835558140799</v>
      </c>
      <c r="N114">
        <v>-9.0040436420214593</v>
      </c>
      <c r="O114">
        <v>36.33</v>
      </c>
      <c r="P114">
        <v>970.00199999999995</v>
      </c>
      <c r="Q114">
        <v>180</v>
      </c>
      <c r="R114">
        <v>13</v>
      </c>
    </row>
    <row r="115" spans="1:18" x14ac:dyDescent="0.25">
      <c r="A115" s="1" t="s">
        <v>45</v>
      </c>
      <c r="B115" s="2" t="s">
        <v>59</v>
      </c>
      <c r="C115" s="19">
        <v>43</v>
      </c>
      <c r="D115" s="3" t="s">
        <v>496</v>
      </c>
      <c r="E115" s="3" t="s">
        <v>18</v>
      </c>
      <c r="F115" s="23">
        <v>133617</v>
      </c>
      <c r="G115" s="15">
        <v>2008</v>
      </c>
      <c r="H115" s="15">
        <f>Table_7[[#This Row],[Listing Price (USD)]]/10000</f>
        <v>13.361700000000001</v>
      </c>
      <c r="I115" s="28">
        <f>Table_7[[#This Row],[Length 
(ft)]]</f>
        <v>43</v>
      </c>
      <c r="J115" s="28">
        <f>2020-Table_7[[#This Row],[Year]]</f>
        <v>12</v>
      </c>
      <c r="K115">
        <v>188925995936.80701</v>
      </c>
      <c r="L115">
        <v>17658.947301119199</v>
      </c>
      <c r="M115">
        <v>-1.2479835558140799</v>
      </c>
      <c r="N115">
        <v>-9.0040436420214593</v>
      </c>
      <c r="O115">
        <v>36.33</v>
      </c>
      <c r="P115">
        <v>970.00199999999995</v>
      </c>
      <c r="Q115">
        <v>180</v>
      </c>
      <c r="R115">
        <v>13</v>
      </c>
    </row>
    <row r="116" spans="1:18" x14ac:dyDescent="0.25">
      <c r="A116" s="1" t="s">
        <v>45</v>
      </c>
      <c r="B116" s="2" t="s">
        <v>59</v>
      </c>
      <c r="C116" s="19">
        <v>43</v>
      </c>
      <c r="D116" s="3" t="s">
        <v>496</v>
      </c>
      <c r="E116" s="3" t="s">
        <v>24</v>
      </c>
      <c r="F116" s="23">
        <v>133617</v>
      </c>
      <c r="G116" s="15">
        <v>2010</v>
      </c>
      <c r="H116" s="15">
        <f>Table_7[[#This Row],[Listing Price (USD)]]/10000</f>
        <v>13.361700000000001</v>
      </c>
      <c r="I116" s="28">
        <f>Table_7[[#This Row],[Length 
(ft)]]</f>
        <v>43</v>
      </c>
      <c r="J116" s="28">
        <f>2020-Table_7[[#This Row],[Year]]</f>
        <v>10</v>
      </c>
      <c r="K116">
        <v>1896755301518.1399</v>
      </c>
      <c r="L116">
        <v>31911.0357890017</v>
      </c>
      <c r="M116">
        <v>-0.13770757391656999</v>
      </c>
      <c r="N116">
        <v>-9.0399534112288507</v>
      </c>
      <c r="O116">
        <v>36.33</v>
      </c>
      <c r="P116">
        <v>970.00199999999995</v>
      </c>
      <c r="Q116">
        <v>180</v>
      </c>
      <c r="R116">
        <v>13</v>
      </c>
    </row>
    <row r="117" spans="1:18" x14ac:dyDescent="0.25">
      <c r="A117" s="1" t="s">
        <v>45</v>
      </c>
      <c r="B117" s="2" t="s">
        <v>59</v>
      </c>
      <c r="C117" s="19">
        <v>43</v>
      </c>
      <c r="D117" s="3" t="s">
        <v>496</v>
      </c>
      <c r="E117" s="3" t="s">
        <v>63</v>
      </c>
      <c r="F117" s="23">
        <v>139690</v>
      </c>
      <c r="G117" s="15">
        <v>2009</v>
      </c>
      <c r="H117" s="15">
        <f>Table_7[[#This Row],[Listing Price (USD)]]/10000</f>
        <v>13.968999999999999</v>
      </c>
      <c r="I117" s="28">
        <f>Table_7[[#This Row],[Length 
(ft)]]</f>
        <v>43</v>
      </c>
      <c r="J117" s="28">
        <f>2020-Table_7[[#This Row],[Year]]</f>
        <v>11</v>
      </c>
      <c r="K117">
        <v>720290000010</v>
      </c>
      <c r="L117">
        <v>13341.6</v>
      </c>
      <c r="M117">
        <v>13</v>
      </c>
      <c r="N117">
        <v>-3</v>
      </c>
      <c r="O117">
        <v>36.33</v>
      </c>
      <c r="P117">
        <v>970.00199999999995</v>
      </c>
      <c r="Q117">
        <v>180</v>
      </c>
      <c r="R117">
        <v>13</v>
      </c>
    </row>
    <row r="118" spans="1:18" x14ac:dyDescent="0.25">
      <c r="A118" s="1" t="s">
        <v>45</v>
      </c>
      <c r="B118" s="2" t="s">
        <v>59</v>
      </c>
      <c r="C118" s="19">
        <v>43</v>
      </c>
      <c r="D118" s="3" t="s">
        <v>496</v>
      </c>
      <c r="E118" s="3" t="s">
        <v>9</v>
      </c>
      <c r="F118" s="23">
        <v>144549</v>
      </c>
      <c r="G118" s="15">
        <v>2008</v>
      </c>
      <c r="H118" s="15">
        <f>Table_7[[#This Row],[Listing Price (USD)]]/10000</f>
        <v>14.4549</v>
      </c>
      <c r="I118" s="28">
        <f>Table_7[[#This Row],[Length 
(ft)]]</f>
        <v>43</v>
      </c>
      <c r="J118" s="28">
        <f>2020-Table_7[[#This Row],[Year]]</f>
        <v>12</v>
      </c>
      <c r="K118">
        <v>1276962685648.25</v>
      </c>
      <c r="L118">
        <v>26959.675436732599</v>
      </c>
      <c r="M118">
        <v>-0.32275301729970501</v>
      </c>
      <c r="N118">
        <v>-11.3254383222864</v>
      </c>
      <c r="O118">
        <v>36.33</v>
      </c>
      <c r="P118">
        <v>970.00199999999995</v>
      </c>
      <c r="Q118">
        <v>180</v>
      </c>
      <c r="R118">
        <v>13</v>
      </c>
    </row>
    <row r="119" spans="1:18" x14ac:dyDescent="0.25">
      <c r="A119" s="1" t="s">
        <v>45</v>
      </c>
      <c r="B119" s="3" t="s">
        <v>59</v>
      </c>
      <c r="C119" s="19">
        <v>43</v>
      </c>
      <c r="D119" s="3" t="s">
        <v>495</v>
      </c>
      <c r="E119" s="3" t="s">
        <v>515</v>
      </c>
      <c r="F119" s="23">
        <v>144900</v>
      </c>
      <c r="G119" s="15">
        <v>2005</v>
      </c>
      <c r="H119" s="15">
        <f>Table_7[[#This Row],[Listing Price (USD)]]/10000</f>
        <v>14.49</v>
      </c>
      <c r="I119" s="28">
        <f>Table_7[[#This Row],[Length 
(ft)]]</f>
        <v>43</v>
      </c>
      <c r="J119" s="28">
        <f>2020-Table_7[[#This Row],[Year]]</f>
        <v>15</v>
      </c>
      <c r="K119">
        <v>410675000000</v>
      </c>
      <c r="L119">
        <v>66531.03</v>
      </c>
      <c r="M119">
        <v>1.23</v>
      </c>
      <c r="N119">
        <v>1.8</v>
      </c>
      <c r="O119">
        <v>36.33</v>
      </c>
      <c r="P119">
        <v>970.00199999999995</v>
      </c>
      <c r="Q119">
        <v>180</v>
      </c>
      <c r="R119">
        <v>13</v>
      </c>
    </row>
    <row r="120" spans="1:18" x14ac:dyDescent="0.25">
      <c r="A120" s="1" t="s">
        <v>45</v>
      </c>
      <c r="B120" s="3" t="s">
        <v>59</v>
      </c>
      <c r="C120" s="19">
        <v>43</v>
      </c>
      <c r="D120" s="3" t="s">
        <v>497</v>
      </c>
      <c r="E120" s="3" t="s">
        <v>513</v>
      </c>
      <c r="F120" s="23">
        <v>151892</v>
      </c>
      <c r="G120" s="15">
        <v>2010</v>
      </c>
      <c r="H120" s="15">
        <f>Table_7[[#This Row],[Listing Price (USD)]]/10000</f>
        <v>15.1892</v>
      </c>
      <c r="I120" s="28">
        <f>Table_7[[#This Row],[Length 
(ft)]]</f>
        <v>43</v>
      </c>
      <c r="J120" s="28">
        <f>2020-Table_7[[#This Row],[Year]]</f>
        <v>10</v>
      </c>
      <c r="K120">
        <v>77625486978.256104</v>
      </c>
      <c r="L120">
        <v>4604.5766789786403</v>
      </c>
      <c r="M120">
        <v>3.21444062197346</v>
      </c>
      <c r="N120">
        <v>-1.76408292563957</v>
      </c>
      <c r="O120">
        <v>36.33</v>
      </c>
      <c r="P120">
        <v>970.00199999999995</v>
      </c>
      <c r="Q120">
        <v>180</v>
      </c>
      <c r="R120">
        <v>13</v>
      </c>
    </row>
    <row r="121" spans="1:18" x14ac:dyDescent="0.25">
      <c r="A121" s="1" t="s">
        <v>45</v>
      </c>
      <c r="B121" s="2" t="s">
        <v>59</v>
      </c>
      <c r="C121" s="19">
        <v>43</v>
      </c>
      <c r="D121" s="3" t="s">
        <v>496</v>
      </c>
      <c r="E121" s="3" t="s">
        <v>9</v>
      </c>
      <c r="F121" s="23">
        <v>163962</v>
      </c>
      <c r="G121" s="15">
        <v>2008</v>
      </c>
      <c r="H121" s="15">
        <f>Table_7[[#This Row],[Listing Price (USD)]]/10000</f>
        <v>16.3962</v>
      </c>
      <c r="I121" s="28">
        <f>Table_7[[#This Row],[Length 
(ft)]]</f>
        <v>43</v>
      </c>
      <c r="J121" s="28">
        <f>2020-Table_7[[#This Row],[Year]]</f>
        <v>12</v>
      </c>
      <c r="K121">
        <v>1276962685648.25</v>
      </c>
      <c r="L121">
        <v>26959.675436732599</v>
      </c>
      <c r="M121">
        <v>-0.32275301729970501</v>
      </c>
      <c r="N121">
        <v>-11.3254383222864</v>
      </c>
      <c r="O121">
        <v>36.33</v>
      </c>
      <c r="P121">
        <v>970.00199999999995</v>
      </c>
      <c r="Q121">
        <v>180</v>
      </c>
      <c r="R121">
        <v>13</v>
      </c>
    </row>
    <row r="122" spans="1:18" x14ac:dyDescent="0.25">
      <c r="A122" s="1" t="s">
        <v>45</v>
      </c>
      <c r="B122" s="3" t="s">
        <v>59</v>
      </c>
      <c r="C122" s="19">
        <v>43</v>
      </c>
      <c r="D122" s="3" t="s">
        <v>495</v>
      </c>
      <c r="E122" s="3" t="s">
        <v>546</v>
      </c>
      <c r="F122" s="23">
        <v>169000</v>
      </c>
      <c r="G122" s="15">
        <v>2008</v>
      </c>
      <c r="H122" s="15">
        <f>Table_7[[#This Row],[Listing Price (USD)]]/10000</f>
        <v>16.899999999999999</v>
      </c>
      <c r="I122" s="28">
        <f>Table_7[[#This Row],[Length 
(ft)]]</f>
        <v>43</v>
      </c>
      <c r="J122" s="28">
        <f>2020-Table_7[[#This Row],[Year]]</f>
        <v>12</v>
      </c>
      <c r="K122">
        <v>113846000000</v>
      </c>
      <c r="L122">
        <v>38502.1</v>
      </c>
      <c r="M122">
        <v>1.23</v>
      </c>
      <c r="N122">
        <v>1.9</v>
      </c>
      <c r="O122">
        <v>36.33</v>
      </c>
      <c r="P122">
        <v>970.00199999999995</v>
      </c>
      <c r="Q122">
        <v>180</v>
      </c>
      <c r="R122">
        <v>13</v>
      </c>
    </row>
    <row r="123" spans="1:18" x14ac:dyDescent="0.25">
      <c r="A123" s="1" t="s">
        <v>45</v>
      </c>
      <c r="B123" s="2" t="s">
        <v>59</v>
      </c>
      <c r="C123" s="19">
        <v>43</v>
      </c>
      <c r="D123" s="3" t="s">
        <v>496</v>
      </c>
      <c r="E123" s="3" t="s">
        <v>63</v>
      </c>
      <c r="F123" s="23">
        <v>188278</v>
      </c>
      <c r="G123" s="15">
        <v>2008</v>
      </c>
      <c r="H123" s="15">
        <f>Table_7[[#This Row],[Listing Price (USD)]]/10000</f>
        <v>18.8278</v>
      </c>
      <c r="I123" s="28">
        <f>Table_7[[#This Row],[Length 
(ft)]]</f>
        <v>43</v>
      </c>
      <c r="J123" s="28">
        <f>2020-Table_7[[#This Row],[Year]]</f>
        <v>12</v>
      </c>
      <c r="K123">
        <v>720290000000</v>
      </c>
      <c r="L123">
        <v>13341.6</v>
      </c>
      <c r="M123">
        <v>13</v>
      </c>
      <c r="N123">
        <v>-3</v>
      </c>
      <c r="O123">
        <v>36.33</v>
      </c>
      <c r="P123">
        <v>970.00199999999995</v>
      </c>
      <c r="Q123">
        <v>180</v>
      </c>
      <c r="R123">
        <v>13</v>
      </c>
    </row>
    <row r="124" spans="1:18" x14ac:dyDescent="0.25">
      <c r="A124" s="1" t="s">
        <v>45</v>
      </c>
      <c r="B124" s="3" t="s">
        <v>59</v>
      </c>
      <c r="C124" s="19">
        <v>43</v>
      </c>
      <c r="D124" s="3" t="s">
        <v>495</v>
      </c>
      <c r="E124" s="3" t="s">
        <v>499</v>
      </c>
      <c r="F124" s="23">
        <v>189000</v>
      </c>
      <c r="G124" s="15">
        <v>2010</v>
      </c>
      <c r="H124" s="15">
        <f>Table_7[[#This Row],[Listing Price (USD)]]/10000</f>
        <v>18.899999999999999</v>
      </c>
      <c r="I124" s="28">
        <f>Table_7[[#This Row],[Length 
(ft)]]</f>
        <v>43</v>
      </c>
      <c r="J124" s="28">
        <f>2020-Table_7[[#This Row],[Year]]</f>
        <v>10</v>
      </c>
      <c r="K124">
        <v>212540000000</v>
      </c>
      <c r="L124">
        <v>76778.559999999998</v>
      </c>
      <c r="M124">
        <v>1.23</v>
      </c>
      <c r="N124">
        <v>2.2000000000000002</v>
      </c>
      <c r="O124">
        <v>36.33</v>
      </c>
      <c r="P124">
        <v>970.00199999999995</v>
      </c>
      <c r="Q124">
        <v>180</v>
      </c>
      <c r="R124">
        <v>13</v>
      </c>
    </row>
    <row r="125" spans="1:18" x14ac:dyDescent="0.25">
      <c r="A125" s="1" t="s">
        <v>45</v>
      </c>
      <c r="B125" s="2" t="s">
        <v>61</v>
      </c>
      <c r="C125" s="19">
        <v>43</v>
      </c>
      <c r="D125" s="3" t="s">
        <v>496</v>
      </c>
      <c r="E125" s="3" t="s">
        <v>18</v>
      </c>
      <c r="F125" s="23">
        <v>109323</v>
      </c>
      <c r="G125" s="15">
        <v>2011</v>
      </c>
      <c r="H125" s="15">
        <f>Table_7[[#This Row],[Listing Price (USD)]]/10000</f>
        <v>10.9323</v>
      </c>
      <c r="I125" s="28">
        <f>Table_7[[#This Row],[Length 
(ft)]]</f>
        <v>43</v>
      </c>
      <c r="J125" s="28">
        <f>2020-Table_7[[#This Row],[Year]]</f>
        <v>9</v>
      </c>
      <c r="K125">
        <v>188925995936.80701</v>
      </c>
      <c r="L125">
        <v>17658.947301119199</v>
      </c>
      <c r="M125">
        <v>-1.2479835558140799</v>
      </c>
      <c r="N125">
        <v>-9.0040436420214593</v>
      </c>
      <c r="O125">
        <v>36.33</v>
      </c>
      <c r="P125">
        <v>970.00199999999995</v>
      </c>
      <c r="Q125">
        <v>180</v>
      </c>
      <c r="R125">
        <v>13</v>
      </c>
    </row>
    <row r="126" spans="1:18" x14ac:dyDescent="0.25">
      <c r="A126" s="1" t="s">
        <v>45</v>
      </c>
      <c r="B126" s="2" t="s">
        <v>61</v>
      </c>
      <c r="C126" s="19">
        <v>43</v>
      </c>
      <c r="D126" s="3" t="s">
        <v>496</v>
      </c>
      <c r="E126" s="3" t="s">
        <v>18</v>
      </c>
      <c r="F126" s="23">
        <v>133617</v>
      </c>
      <c r="G126" s="15">
        <v>2009</v>
      </c>
      <c r="H126" s="15">
        <f>Table_7[[#This Row],[Listing Price (USD)]]/10000</f>
        <v>13.361700000000001</v>
      </c>
      <c r="I126" s="28">
        <f>Table_7[[#This Row],[Length 
(ft)]]</f>
        <v>43</v>
      </c>
      <c r="J126" s="28">
        <f>2020-Table_7[[#This Row],[Year]]</f>
        <v>11</v>
      </c>
      <c r="K126">
        <v>188925995936.80701</v>
      </c>
      <c r="L126">
        <v>17658.947301119199</v>
      </c>
      <c r="M126">
        <v>-1.2479835558140799</v>
      </c>
      <c r="N126">
        <v>-9.0040436420214593</v>
      </c>
      <c r="O126">
        <v>36.33</v>
      </c>
      <c r="P126">
        <v>970.00199999999995</v>
      </c>
      <c r="Q126">
        <v>180</v>
      </c>
      <c r="R126">
        <v>13</v>
      </c>
    </row>
    <row r="127" spans="1:18" x14ac:dyDescent="0.25">
      <c r="A127" s="1" t="s">
        <v>278</v>
      </c>
      <c r="B127" s="2">
        <v>48</v>
      </c>
      <c r="C127" s="19">
        <v>48</v>
      </c>
      <c r="D127" s="3" t="s">
        <v>496</v>
      </c>
      <c r="E127" s="3" t="s">
        <v>19</v>
      </c>
      <c r="F127" s="23">
        <v>1192424</v>
      </c>
      <c r="G127" s="15">
        <v>2019</v>
      </c>
      <c r="H127" s="15">
        <f>Table_7[[#This Row],[Listing Price (USD)]]/10000</f>
        <v>119.2424</v>
      </c>
      <c r="I127" s="28">
        <f>Table_7[[#This Row],[Length 
(ft)]]</f>
        <v>48</v>
      </c>
      <c r="J127" s="28">
        <f>2020-Table_7[[#This Row],[Year]]</f>
        <v>1</v>
      </c>
      <c r="K127">
        <v>4200000000</v>
      </c>
      <c r="L127">
        <v>39553.199999999997</v>
      </c>
      <c r="M127">
        <v>4.0999999999999996</v>
      </c>
      <c r="N127">
        <v>-2.1</v>
      </c>
      <c r="O127">
        <v>44.29</v>
      </c>
      <c r="P127">
        <v>1399.31</v>
      </c>
      <c r="Q127">
        <v>175</v>
      </c>
      <c r="R127">
        <v>14.63</v>
      </c>
    </row>
    <row r="128" spans="1:18" x14ac:dyDescent="0.25">
      <c r="A128" s="1" t="s">
        <v>296</v>
      </c>
      <c r="B128" s="2" t="s">
        <v>302</v>
      </c>
      <c r="C128" s="19">
        <v>47</v>
      </c>
      <c r="D128" s="3" t="s">
        <v>496</v>
      </c>
      <c r="E128" s="3" t="s">
        <v>18</v>
      </c>
      <c r="F128" s="23">
        <v>279391</v>
      </c>
      <c r="G128" s="15">
        <v>2006</v>
      </c>
      <c r="H128" s="15">
        <f>Table_7[[#This Row],[Listing Price (USD)]]/10000</f>
        <v>27.9391</v>
      </c>
      <c r="I128" s="28">
        <f>Table_7[[#This Row],[Length 
(ft)]]</f>
        <v>47</v>
      </c>
      <c r="J128" s="28">
        <f>2020-Table_7[[#This Row],[Year]]</f>
        <v>14</v>
      </c>
      <c r="K128">
        <v>1043414814.81481</v>
      </c>
      <c r="L128">
        <v>8437.5667322870595</v>
      </c>
      <c r="M128">
        <v>-0.74073259704550098</v>
      </c>
      <c r="N128">
        <v>-13.7559294530644</v>
      </c>
      <c r="O128">
        <v>41.83</v>
      </c>
      <c r="P128">
        <v>1132.002</v>
      </c>
      <c r="Q128">
        <v>172</v>
      </c>
      <c r="R128">
        <v>14.8</v>
      </c>
    </row>
    <row r="129" spans="1:18" x14ac:dyDescent="0.25">
      <c r="A129" s="1" t="s">
        <v>296</v>
      </c>
      <c r="B129" s="2" t="s">
        <v>302</v>
      </c>
      <c r="C129" s="19">
        <v>47</v>
      </c>
      <c r="D129" s="3" t="s">
        <v>496</v>
      </c>
      <c r="E129" s="3" t="s">
        <v>516</v>
      </c>
      <c r="F129" s="23">
        <v>290324</v>
      </c>
      <c r="G129" s="15">
        <v>2008</v>
      </c>
      <c r="H129" s="15">
        <f>Table_7[[#This Row],[Listing Price (USD)]]/10000</f>
        <v>29.032399999999999</v>
      </c>
      <c r="I129" s="28">
        <f>Table_7[[#This Row],[Length 
(ft)]]</f>
        <v>47</v>
      </c>
      <c r="J129" s="28">
        <f>2020-Table_7[[#This Row],[Year]]</f>
        <v>12</v>
      </c>
      <c r="K129">
        <v>909793466661.48096</v>
      </c>
      <c r="L129">
        <v>52162.570115040602</v>
      </c>
      <c r="M129">
        <v>1.2724603778917001</v>
      </c>
      <c r="N129">
        <v>-3.88608391819609</v>
      </c>
      <c r="O129">
        <v>41.83</v>
      </c>
      <c r="P129">
        <v>1132.002</v>
      </c>
      <c r="Q129">
        <v>172</v>
      </c>
      <c r="R129">
        <v>14.8</v>
      </c>
    </row>
    <row r="130" spans="1:18" x14ac:dyDescent="0.25">
      <c r="A130" s="1" t="s">
        <v>394</v>
      </c>
      <c r="B130" s="3" t="s">
        <v>302</v>
      </c>
      <c r="C130" s="19">
        <v>47</v>
      </c>
      <c r="D130" s="3" t="s">
        <v>497</v>
      </c>
      <c r="E130" s="3" t="s">
        <v>483</v>
      </c>
      <c r="F130" s="23">
        <v>461753</v>
      </c>
      <c r="G130" s="15">
        <v>2014</v>
      </c>
      <c r="H130" s="15">
        <f>Table_7[[#This Row],[Listing Price (USD)]]/10000</f>
        <v>46.1753</v>
      </c>
      <c r="I130" s="28">
        <f>Table_7[[#This Row],[Length 
(ft)]]</f>
        <v>47</v>
      </c>
      <c r="J130" s="28">
        <f>2020-Table_7[[#This Row],[Year]]</f>
        <v>6</v>
      </c>
      <c r="K130">
        <v>4200000000</v>
      </c>
      <c r="L130">
        <v>39553.199999999997</v>
      </c>
      <c r="M130">
        <v>2.5</v>
      </c>
      <c r="N130">
        <v>-2.1</v>
      </c>
      <c r="O130">
        <v>41.83</v>
      </c>
      <c r="P130">
        <v>1132.002</v>
      </c>
      <c r="Q130">
        <v>172</v>
      </c>
      <c r="R130">
        <v>14.8</v>
      </c>
    </row>
    <row r="131" spans="1:18" x14ac:dyDescent="0.25">
      <c r="A131" s="1" t="s">
        <v>304</v>
      </c>
      <c r="B131" s="2" t="s">
        <v>317</v>
      </c>
      <c r="C131" s="19">
        <v>50</v>
      </c>
      <c r="D131" s="3" t="s">
        <v>496</v>
      </c>
      <c r="E131" s="3" t="s">
        <v>24</v>
      </c>
      <c r="F131" s="23">
        <v>546635</v>
      </c>
      <c r="G131" s="15">
        <v>2012</v>
      </c>
      <c r="H131" s="15">
        <f>Table_7[[#This Row],[Listing Price (USD)]]/10000</f>
        <v>54.663499999999999</v>
      </c>
      <c r="I131" s="28">
        <f>Table_7[[#This Row],[Length 
(ft)]]</f>
        <v>50</v>
      </c>
      <c r="J131" s="28">
        <f>2020-Table_7[[#This Row],[Year]]</f>
        <v>8</v>
      </c>
      <c r="K131">
        <v>1896755301518.1399</v>
      </c>
      <c r="L131">
        <v>31911.0357890017</v>
      </c>
      <c r="M131">
        <v>-0.13770757391656999</v>
      </c>
      <c r="N131">
        <v>-9.0399534112288507</v>
      </c>
      <c r="O131">
        <v>44.32</v>
      </c>
      <c r="P131">
        <v>1360.5619999999999</v>
      </c>
      <c r="Q131">
        <v>162</v>
      </c>
      <c r="R131">
        <v>15.09</v>
      </c>
    </row>
    <row r="132" spans="1:18" x14ac:dyDescent="0.25">
      <c r="A132" s="1" t="s">
        <v>304</v>
      </c>
      <c r="B132" s="2" t="s">
        <v>317</v>
      </c>
      <c r="C132" s="19">
        <v>50</v>
      </c>
      <c r="D132" s="3" t="s">
        <v>496</v>
      </c>
      <c r="E132" s="3" t="s">
        <v>24</v>
      </c>
      <c r="F132" s="23">
        <v>570907</v>
      </c>
      <c r="G132" s="15">
        <v>2011</v>
      </c>
      <c r="H132" s="15">
        <f>Table_7[[#This Row],[Listing Price (USD)]]/10000</f>
        <v>57.090699999999998</v>
      </c>
      <c r="I132" s="28">
        <f>Table_7[[#This Row],[Length 
(ft)]]</f>
        <v>50</v>
      </c>
      <c r="J132" s="28">
        <f>2020-Table_7[[#This Row],[Year]]</f>
        <v>9</v>
      </c>
      <c r="K132">
        <v>1896755301518.1399</v>
      </c>
      <c r="L132">
        <v>31911.0357890017</v>
      </c>
      <c r="M132">
        <v>-0.13770757391656999</v>
      </c>
      <c r="N132">
        <v>-9.0399534112288507</v>
      </c>
      <c r="O132">
        <v>44.32</v>
      </c>
      <c r="P132">
        <v>1360.5619999999999</v>
      </c>
      <c r="Q132">
        <v>162</v>
      </c>
      <c r="R132">
        <v>15.09</v>
      </c>
    </row>
    <row r="133" spans="1:18" x14ac:dyDescent="0.25">
      <c r="A133" s="1" t="s">
        <v>304</v>
      </c>
      <c r="B133" s="2" t="s">
        <v>317</v>
      </c>
      <c r="C133" s="19">
        <v>50</v>
      </c>
      <c r="D133" s="3" t="s">
        <v>496</v>
      </c>
      <c r="E133" s="3" t="s">
        <v>237</v>
      </c>
      <c r="F133" s="23">
        <v>631642</v>
      </c>
      <c r="G133" s="15">
        <v>2011</v>
      </c>
      <c r="H133" s="15">
        <f>Table_7[[#This Row],[Listing Price (USD)]]/10000</f>
        <v>63.164200000000001</v>
      </c>
      <c r="I133" s="28">
        <f>Table_7[[#This Row],[Length 
(ft)]]</f>
        <v>50</v>
      </c>
      <c r="J133" s="28">
        <f>2020-Table_7[[#This Row],[Year]]</f>
        <v>9</v>
      </c>
      <c r="K133">
        <v>229031860520.77701</v>
      </c>
      <c r="L133">
        <v>22242.406417972001</v>
      </c>
      <c r="M133">
        <v>-1.2438329957616699E-2</v>
      </c>
      <c r="N133">
        <v>-8.3005160422115107</v>
      </c>
      <c r="O133">
        <v>44.32</v>
      </c>
      <c r="P133">
        <v>1360.5619999999999</v>
      </c>
      <c r="Q133">
        <v>162</v>
      </c>
      <c r="R133">
        <v>15.09</v>
      </c>
    </row>
    <row r="134" spans="1:18" x14ac:dyDescent="0.25">
      <c r="A134" s="1" t="s">
        <v>365</v>
      </c>
      <c r="B134" s="3">
        <v>48</v>
      </c>
      <c r="C134" s="19">
        <v>48</v>
      </c>
      <c r="D134" s="3" t="s">
        <v>495</v>
      </c>
      <c r="E134" s="3" t="s">
        <v>500</v>
      </c>
      <c r="F134" s="23">
        <v>386000</v>
      </c>
      <c r="G134" s="15">
        <v>2006</v>
      </c>
      <c r="H134" s="15">
        <f>Table_7[[#This Row],[Listing Price (USD)]]/10000</f>
        <v>38.6</v>
      </c>
      <c r="I134" s="28">
        <f>Table_7[[#This Row],[Length 
(ft)]]</f>
        <v>48</v>
      </c>
      <c r="J134" s="28">
        <f>2020-Table_7[[#This Row],[Year]]</f>
        <v>14</v>
      </c>
      <c r="K134">
        <v>3007188000000</v>
      </c>
      <c r="L134">
        <v>76131.839999999997</v>
      </c>
      <c r="M134">
        <v>1.23</v>
      </c>
      <c r="N134">
        <v>2.7</v>
      </c>
      <c r="O134">
        <v>38.08</v>
      </c>
      <c r="P134">
        <v>904</v>
      </c>
      <c r="Q134">
        <v>160</v>
      </c>
      <c r="R134">
        <v>14.33</v>
      </c>
    </row>
    <row r="135" spans="1:18" x14ac:dyDescent="0.25">
      <c r="A135" s="1" t="s">
        <v>191</v>
      </c>
      <c r="B135" s="2">
        <v>440</v>
      </c>
      <c r="C135" s="19">
        <v>45</v>
      </c>
      <c r="D135" s="3" t="s">
        <v>496</v>
      </c>
      <c r="E135" s="3" t="s">
        <v>516</v>
      </c>
      <c r="F135" s="23">
        <v>340008</v>
      </c>
      <c r="G135" s="15">
        <v>2006</v>
      </c>
      <c r="H135" s="15">
        <f>Table_7[[#This Row],[Listing Price (USD)]]/10000</f>
        <v>34.000799999999998</v>
      </c>
      <c r="I135" s="28">
        <f>Table_7[[#This Row],[Length 
(ft)]]</f>
        <v>45</v>
      </c>
      <c r="J135" s="28">
        <f>2020-Table_7[[#This Row],[Year]]</f>
        <v>14</v>
      </c>
      <c r="K135">
        <v>909793466661.48096</v>
      </c>
      <c r="L135">
        <v>52162.570115040602</v>
      </c>
      <c r="M135">
        <v>1.2724603778917001</v>
      </c>
      <c r="N135">
        <v>-3.88608391819609</v>
      </c>
      <c r="O135">
        <v>38.08</v>
      </c>
      <c r="P135">
        <v>1131</v>
      </c>
      <c r="Q135">
        <v>160</v>
      </c>
      <c r="R135">
        <v>14.33</v>
      </c>
    </row>
    <row r="136" spans="1:18" x14ac:dyDescent="0.25">
      <c r="A136" s="1" t="s">
        <v>191</v>
      </c>
      <c r="B136" s="2">
        <v>440</v>
      </c>
      <c r="C136" s="19">
        <v>45</v>
      </c>
      <c r="D136" s="3" t="s">
        <v>496</v>
      </c>
      <c r="E136" s="3" t="s">
        <v>516</v>
      </c>
      <c r="F136" s="23">
        <v>358287</v>
      </c>
      <c r="G136" s="15">
        <v>2008</v>
      </c>
      <c r="H136" s="15">
        <f>Table_7[[#This Row],[Listing Price (USD)]]/10000</f>
        <v>35.828699999999998</v>
      </c>
      <c r="I136" s="28">
        <f>Table_7[[#This Row],[Length 
(ft)]]</f>
        <v>45</v>
      </c>
      <c r="J136" s="28">
        <f>2020-Table_7[[#This Row],[Year]]</f>
        <v>12</v>
      </c>
      <c r="K136">
        <v>909793466661.48096</v>
      </c>
      <c r="L136">
        <v>52162.570115040602</v>
      </c>
      <c r="M136">
        <v>1.2724603778917001</v>
      </c>
      <c r="N136">
        <v>-3.88608391819609</v>
      </c>
      <c r="O136">
        <v>38.08</v>
      </c>
      <c r="P136">
        <v>1131</v>
      </c>
      <c r="Q136">
        <v>160</v>
      </c>
      <c r="R136">
        <v>14.33</v>
      </c>
    </row>
    <row r="137" spans="1:18" x14ac:dyDescent="0.25">
      <c r="A137" s="1" t="s">
        <v>191</v>
      </c>
      <c r="B137" s="2">
        <v>440</v>
      </c>
      <c r="C137" s="19">
        <v>45</v>
      </c>
      <c r="D137" s="3" t="s">
        <v>496</v>
      </c>
      <c r="E137" s="3" t="s">
        <v>19</v>
      </c>
      <c r="F137" s="23">
        <v>366387</v>
      </c>
      <c r="G137" s="15">
        <v>2008</v>
      </c>
      <c r="H137" s="15">
        <f>Table_7[[#This Row],[Listing Price (USD)]]/10000</f>
        <v>36.6387</v>
      </c>
      <c r="I137" s="28">
        <f>Table_7[[#This Row],[Length 
(ft)]]</f>
        <v>45</v>
      </c>
      <c r="J137" s="28">
        <f>2020-Table_7[[#This Row],[Year]]</f>
        <v>12</v>
      </c>
      <c r="K137">
        <v>4200000000</v>
      </c>
      <c r="L137">
        <v>39553.199999999997</v>
      </c>
      <c r="M137">
        <v>4.0999999999999996</v>
      </c>
      <c r="N137">
        <v>-2.1</v>
      </c>
      <c r="O137">
        <v>38.08</v>
      </c>
      <c r="P137">
        <v>1131</v>
      </c>
      <c r="Q137">
        <v>160</v>
      </c>
      <c r="R137">
        <v>14.33</v>
      </c>
    </row>
    <row r="138" spans="1:18" x14ac:dyDescent="0.25">
      <c r="A138" s="1" t="s">
        <v>191</v>
      </c>
      <c r="B138" s="2">
        <v>440</v>
      </c>
      <c r="C138" s="19">
        <v>45</v>
      </c>
      <c r="D138" s="3" t="s">
        <v>496</v>
      </c>
      <c r="E138" s="3" t="s">
        <v>516</v>
      </c>
      <c r="F138" s="23">
        <v>376505</v>
      </c>
      <c r="G138" s="15">
        <v>2006</v>
      </c>
      <c r="H138" s="15">
        <f>Table_7[[#This Row],[Listing Price (USD)]]/10000</f>
        <v>37.650500000000001</v>
      </c>
      <c r="I138" s="28">
        <f>Table_7[[#This Row],[Length 
(ft)]]</f>
        <v>45</v>
      </c>
      <c r="J138" s="28">
        <f>2020-Table_7[[#This Row],[Year]]</f>
        <v>14</v>
      </c>
      <c r="K138">
        <v>909793466661.48096</v>
      </c>
      <c r="L138">
        <v>52162.570115040602</v>
      </c>
      <c r="M138">
        <v>1.2724603778917001</v>
      </c>
      <c r="N138">
        <v>-3.88608391819609</v>
      </c>
      <c r="O138">
        <v>38.08</v>
      </c>
      <c r="P138">
        <v>1131</v>
      </c>
      <c r="Q138">
        <v>160</v>
      </c>
      <c r="R138">
        <v>14.33</v>
      </c>
    </row>
    <row r="139" spans="1:18" x14ac:dyDescent="0.25">
      <c r="A139" s="1" t="s">
        <v>191</v>
      </c>
      <c r="B139" s="2">
        <v>445</v>
      </c>
      <c r="C139" s="19">
        <v>45</v>
      </c>
      <c r="D139" s="3" t="s">
        <v>496</v>
      </c>
      <c r="E139" s="3" t="s">
        <v>537</v>
      </c>
      <c r="F139" s="23">
        <v>279845</v>
      </c>
      <c r="G139" s="15">
        <v>2006</v>
      </c>
      <c r="H139" s="15">
        <f>Table_7[[#This Row],[Listing Price (USD)]]/10000</f>
        <v>27.984500000000001</v>
      </c>
      <c r="I139" s="28">
        <f>Table_7[[#This Row],[Length 
(ft)]]</f>
        <v>45</v>
      </c>
      <c r="J139" s="28">
        <f>2020-Table_7[[#This Row],[Year]]</f>
        <v>14</v>
      </c>
      <c r="K139">
        <v>930371009830.08838</v>
      </c>
      <c r="L139">
        <v>32045.28833705237</v>
      </c>
      <c r="M139">
        <v>0.810222564232847</v>
      </c>
      <c r="N139">
        <v>-6.18704127562025</v>
      </c>
      <c r="O139">
        <v>48.08</v>
      </c>
      <c r="P139">
        <v>1074</v>
      </c>
      <c r="Q139">
        <v>160</v>
      </c>
      <c r="R139">
        <v>14.33</v>
      </c>
    </row>
    <row r="140" spans="1:18" x14ac:dyDescent="0.25">
      <c r="A140" s="1" t="s">
        <v>191</v>
      </c>
      <c r="B140" s="2">
        <v>445</v>
      </c>
      <c r="C140" s="19">
        <v>45</v>
      </c>
      <c r="D140" s="3" t="s">
        <v>496</v>
      </c>
      <c r="E140" s="3" t="s">
        <v>537</v>
      </c>
      <c r="F140" s="23">
        <v>279854</v>
      </c>
      <c r="G140" s="15">
        <v>2006</v>
      </c>
      <c r="H140" s="15">
        <f>Table_7[[#This Row],[Listing Price (USD)]]/10000</f>
        <v>27.985399999999998</v>
      </c>
      <c r="I140" s="28">
        <f>Table_7[[#This Row],[Length 
(ft)]]</f>
        <v>45</v>
      </c>
      <c r="J140" s="28">
        <f>2020-Table_7[[#This Row],[Year]]</f>
        <v>14</v>
      </c>
      <c r="K140">
        <v>930371009830.08838</v>
      </c>
      <c r="L140">
        <v>32045.28833705237</v>
      </c>
      <c r="M140">
        <v>0.810222564232847</v>
      </c>
      <c r="N140">
        <v>-6.18704127562025</v>
      </c>
      <c r="O140">
        <v>48.08</v>
      </c>
      <c r="P140">
        <v>1074</v>
      </c>
      <c r="Q140">
        <v>160</v>
      </c>
      <c r="R140">
        <v>14.33</v>
      </c>
    </row>
    <row r="141" spans="1:18" x14ac:dyDescent="0.25">
      <c r="A141" s="1" t="s">
        <v>191</v>
      </c>
      <c r="B141" s="2">
        <v>465</v>
      </c>
      <c r="C141" s="19">
        <v>48</v>
      </c>
      <c r="D141" s="3" t="s">
        <v>496</v>
      </c>
      <c r="E141" s="3" t="s">
        <v>9</v>
      </c>
      <c r="F141" s="23">
        <v>319756</v>
      </c>
      <c r="G141" s="15">
        <v>2007</v>
      </c>
      <c r="H141" s="15">
        <f>Table_7[[#This Row],[Listing Price (USD)]]/10000</f>
        <v>31.9756</v>
      </c>
      <c r="I141" s="28">
        <f>Table_7[[#This Row],[Length 
(ft)]]</f>
        <v>48</v>
      </c>
      <c r="J141" s="28">
        <f>2020-Table_7[[#This Row],[Year]]</f>
        <v>13</v>
      </c>
      <c r="K141">
        <v>1276962685648.25</v>
      </c>
      <c r="L141">
        <v>26959.675436732599</v>
      </c>
      <c r="M141">
        <v>-0.32275301729970501</v>
      </c>
      <c r="N141">
        <v>-11.3254383222864</v>
      </c>
      <c r="O141">
        <v>38.08</v>
      </c>
      <c r="P141">
        <v>904</v>
      </c>
      <c r="Q141">
        <v>160</v>
      </c>
      <c r="R141">
        <v>14.33</v>
      </c>
    </row>
    <row r="142" spans="1:18" x14ac:dyDescent="0.25">
      <c r="A142" s="1" t="s">
        <v>191</v>
      </c>
      <c r="B142" s="3">
        <v>465</v>
      </c>
      <c r="C142" s="19">
        <v>49</v>
      </c>
      <c r="D142" s="3" t="s">
        <v>497</v>
      </c>
      <c r="E142" s="3" t="s">
        <v>392</v>
      </c>
      <c r="F142" s="23">
        <v>330000</v>
      </c>
      <c r="G142" s="15">
        <v>2008</v>
      </c>
      <c r="H142" s="15">
        <f>Table_7[[#This Row],[Listing Price (USD)]]/10000</f>
        <v>33</v>
      </c>
      <c r="I142" s="28">
        <f>Table_7[[#This Row],[Length 
(ft)]]</f>
        <v>49</v>
      </c>
      <c r="J142" s="28">
        <f>2020-Table_7[[#This Row],[Year]]</f>
        <v>12</v>
      </c>
      <c r="K142">
        <v>1043414814.81481</v>
      </c>
      <c r="L142">
        <v>8437.5667322870595</v>
      </c>
      <c r="M142">
        <v>-0.74073259704550098</v>
      </c>
      <c r="N142">
        <v>-13.7559294530644</v>
      </c>
      <c r="O142">
        <v>38.08</v>
      </c>
      <c r="P142">
        <v>904</v>
      </c>
      <c r="Q142">
        <v>160</v>
      </c>
      <c r="R142">
        <v>14.33</v>
      </c>
    </row>
    <row r="143" spans="1:18" x14ac:dyDescent="0.25">
      <c r="A143" s="1" t="s">
        <v>191</v>
      </c>
      <c r="B143" s="3">
        <v>465</v>
      </c>
      <c r="C143" s="19">
        <v>48</v>
      </c>
      <c r="D143" s="3" t="s">
        <v>495</v>
      </c>
      <c r="E143" s="3" t="s">
        <v>515</v>
      </c>
      <c r="F143" s="23">
        <v>450000</v>
      </c>
      <c r="G143" s="15">
        <v>2010</v>
      </c>
      <c r="H143" s="15">
        <f>Table_7[[#This Row],[Listing Price (USD)]]/10000</f>
        <v>45</v>
      </c>
      <c r="I143" s="28">
        <f>Table_7[[#This Row],[Length 
(ft)]]</f>
        <v>48</v>
      </c>
      <c r="J143" s="28">
        <f>2020-Table_7[[#This Row],[Year]]</f>
        <v>10</v>
      </c>
      <c r="K143">
        <v>410675000000</v>
      </c>
      <c r="L143">
        <v>66531.03</v>
      </c>
      <c r="M143">
        <v>1.23</v>
      </c>
      <c r="N143">
        <v>1.8</v>
      </c>
      <c r="O143">
        <v>38.08</v>
      </c>
      <c r="P143">
        <v>904</v>
      </c>
      <c r="Q143">
        <v>160</v>
      </c>
      <c r="R143">
        <v>14.33</v>
      </c>
    </row>
    <row r="144" spans="1:18" x14ac:dyDescent="0.25">
      <c r="A144" s="1" t="s">
        <v>353</v>
      </c>
      <c r="B144" s="3" t="s">
        <v>356</v>
      </c>
      <c r="C144" s="19">
        <v>48</v>
      </c>
      <c r="D144" s="3" t="s">
        <v>495</v>
      </c>
      <c r="E144" s="3" t="s">
        <v>500</v>
      </c>
      <c r="F144" s="23">
        <v>479000</v>
      </c>
      <c r="G144" s="15">
        <v>2005</v>
      </c>
      <c r="H144" s="15">
        <f>Table_7[[#This Row],[Listing Price (USD)]]/10000</f>
        <v>47.9</v>
      </c>
      <c r="I144" s="28">
        <f>Table_7[[#This Row],[Length 
(ft)]]</f>
        <v>48</v>
      </c>
      <c r="J144" s="28">
        <f>2020-Table_7[[#This Row],[Year]]</f>
        <v>15</v>
      </c>
      <c r="K144">
        <v>3007188000000</v>
      </c>
      <c r="L144">
        <v>76131.839999999997</v>
      </c>
      <c r="M144">
        <v>1.23</v>
      </c>
      <c r="N144">
        <v>2.7</v>
      </c>
      <c r="O144">
        <v>38.08</v>
      </c>
      <c r="P144">
        <v>904</v>
      </c>
      <c r="Q144">
        <v>160</v>
      </c>
      <c r="R144">
        <v>14.33</v>
      </c>
    </row>
    <row r="145" spans="1:18" x14ac:dyDescent="0.25">
      <c r="A145" s="1" t="s">
        <v>100</v>
      </c>
      <c r="B145" s="2">
        <v>47</v>
      </c>
      <c r="C145" s="19">
        <v>47</v>
      </c>
      <c r="D145" s="3" t="s">
        <v>496</v>
      </c>
      <c r="E145" s="3" t="s">
        <v>3</v>
      </c>
      <c r="F145" s="23">
        <v>719100</v>
      </c>
      <c r="G145" s="15">
        <v>2017</v>
      </c>
      <c r="H145" s="15">
        <f>Table_7[[#This Row],[Listing Price (USD)]]/10000</f>
        <v>71.91</v>
      </c>
      <c r="I145" s="28">
        <f>Table_7[[#This Row],[Length 
(ft)]]</f>
        <v>47</v>
      </c>
      <c r="J145" s="28">
        <f>2020-Table_7[[#This Row],[Year]]</f>
        <v>3</v>
      </c>
      <c r="K145">
        <v>2639008701648.2598</v>
      </c>
      <c r="L145">
        <v>39055.282928075401</v>
      </c>
      <c r="M145">
        <v>0.47649885272508302</v>
      </c>
      <c r="N145">
        <v>-7.7845864916787102</v>
      </c>
      <c r="O145">
        <v>38.159999999999997</v>
      </c>
      <c r="P145">
        <v>1076.3900000000001</v>
      </c>
      <c r="Q145">
        <v>159</v>
      </c>
      <c r="R145">
        <v>14.11</v>
      </c>
    </row>
    <row r="146" spans="1:18" x14ac:dyDescent="0.25">
      <c r="A146" s="1" t="s">
        <v>273</v>
      </c>
      <c r="B146" s="2" t="s">
        <v>274</v>
      </c>
      <c r="C146" s="19">
        <v>48</v>
      </c>
      <c r="D146" s="3" t="s">
        <v>496</v>
      </c>
      <c r="E146" s="3" t="s">
        <v>24</v>
      </c>
      <c r="F146" s="23">
        <v>303674</v>
      </c>
      <c r="G146" s="15">
        <v>2011</v>
      </c>
      <c r="H146" s="15">
        <f>Table_7[[#This Row],[Listing Price (USD)]]/10000</f>
        <v>30.3674</v>
      </c>
      <c r="I146" s="28">
        <f>Table_7[[#This Row],[Length 
(ft)]]</f>
        <v>48</v>
      </c>
      <c r="J146" s="28">
        <f>2020-Table_7[[#This Row],[Year]]</f>
        <v>9</v>
      </c>
      <c r="K146">
        <v>1896755301518.1399</v>
      </c>
      <c r="L146">
        <v>31911.0357890017</v>
      </c>
      <c r="M146">
        <v>-0.13770757391656999</v>
      </c>
      <c r="N146">
        <v>-9.0399534112288507</v>
      </c>
      <c r="O146">
        <v>40.68</v>
      </c>
      <c r="P146">
        <v>0</v>
      </c>
      <c r="Q146">
        <v>158</v>
      </c>
      <c r="R146">
        <v>13.94</v>
      </c>
    </row>
    <row r="147" spans="1:18" x14ac:dyDescent="0.25">
      <c r="A147" s="1" t="s">
        <v>273</v>
      </c>
      <c r="B147" s="2">
        <v>42</v>
      </c>
      <c r="C147" s="19">
        <v>42</v>
      </c>
      <c r="D147" s="3" t="s">
        <v>496</v>
      </c>
      <c r="E147" s="3" t="s">
        <v>24</v>
      </c>
      <c r="F147" s="23">
        <v>206498</v>
      </c>
      <c r="G147" s="15">
        <v>2007</v>
      </c>
      <c r="H147" s="15">
        <f>Table_7[[#This Row],[Listing Price (USD)]]/10000</f>
        <v>20.649799999999999</v>
      </c>
      <c r="I147" s="28">
        <f>Table_7[[#This Row],[Length 
(ft)]]</f>
        <v>42</v>
      </c>
      <c r="J147" s="28">
        <f>2020-Table_7[[#This Row],[Year]]</f>
        <v>13</v>
      </c>
      <c r="K147">
        <v>1896755301518.1399</v>
      </c>
      <c r="L147">
        <v>31911.0357890017</v>
      </c>
      <c r="M147">
        <v>-0.13770757391656999</v>
      </c>
      <c r="N147">
        <v>-9.0399534112288507</v>
      </c>
      <c r="O147">
        <v>37.57</v>
      </c>
      <c r="P147">
        <v>938</v>
      </c>
      <c r="Q147">
        <v>155</v>
      </c>
      <c r="R147">
        <v>12.53</v>
      </c>
    </row>
    <row r="148" spans="1:18" x14ac:dyDescent="0.25">
      <c r="A148" s="1" t="s">
        <v>250</v>
      </c>
      <c r="B148" s="2">
        <v>42</v>
      </c>
      <c r="C148" s="19">
        <v>42</v>
      </c>
      <c r="D148" s="3" t="s">
        <v>496</v>
      </c>
      <c r="E148" s="3" t="s">
        <v>9</v>
      </c>
      <c r="F148" s="23">
        <v>479740</v>
      </c>
      <c r="G148" s="15">
        <v>2013</v>
      </c>
      <c r="H148" s="15">
        <f>Table_7[[#This Row],[Listing Price (USD)]]/10000</f>
        <v>47.973999999999997</v>
      </c>
      <c r="I148" s="28">
        <f>Table_7[[#This Row],[Length 
(ft)]]</f>
        <v>42</v>
      </c>
      <c r="J148" s="28">
        <f>2020-Table_7[[#This Row],[Year]]</f>
        <v>7</v>
      </c>
      <c r="K148">
        <v>1276962685648.25</v>
      </c>
      <c r="L148">
        <v>26959.675436732599</v>
      </c>
      <c r="M148">
        <v>-0.32275301729970501</v>
      </c>
      <c r="N148">
        <v>-11.3254383222864</v>
      </c>
      <c r="O148">
        <v>37.57</v>
      </c>
      <c r="P148">
        <v>938</v>
      </c>
      <c r="Q148">
        <v>155</v>
      </c>
      <c r="R148">
        <v>12.53</v>
      </c>
    </row>
    <row r="149" spans="1:18" x14ac:dyDescent="0.25">
      <c r="A149" s="1" t="s">
        <v>280</v>
      </c>
      <c r="B149" s="2">
        <v>42.1</v>
      </c>
      <c r="C149" s="19">
        <v>42</v>
      </c>
      <c r="D149" s="3" t="s">
        <v>496</v>
      </c>
      <c r="E149" s="3" t="s">
        <v>19</v>
      </c>
      <c r="F149" s="23">
        <v>379710</v>
      </c>
      <c r="G149" s="15">
        <v>2014</v>
      </c>
      <c r="H149" s="15">
        <f>Table_7[[#This Row],[Listing Price (USD)]]/10000</f>
        <v>37.970999999999997</v>
      </c>
      <c r="I149" s="28">
        <f>Table_7[[#This Row],[Length 
(ft)]]</f>
        <v>42</v>
      </c>
      <c r="J149" s="28">
        <f>2020-Table_7[[#This Row],[Year]]</f>
        <v>6</v>
      </c>
      <c r="K149">
        <v>4200000000</v>
      </c>
      <c r="L149">
        <v>39553.199999999997</v>
      </c>
      <c r="M149">
        <v>4.0999999999999996</v>
      </c>
      <c r="N149">
        <v>-2.1</v>
      </c>
      <c r="O149">
        <v>37.57</v>
      </c>
      <c r="P149">
        <v>938</v>
      </c>
      <c r="Q149">
        <v>155</v>
      </c>
      <c r="R149">
        <v>12.53</v>
      </c>
    </row>
    <row r="150" spans="1:18" x14ac:dyDescent="0.25">
      <c r="A150" s="1" t="s">
        <v>278</v>
      </c>
      <c r="B150" s="2">
        <v>420</v>
      </c>
      <c r="C150" s="19">
        <v>42</v>
      </c>
      <c r="D150" s="3" t="s">
        <v>496</v>
      </c>
      <c r="E150" s="3" t="s">
        <v>19</v>
      </c>
      <c r="F150" s="23">
        <v>479634</v>
      </c>
      <c r="G150" s="15">
        <v>2012</v>
      </c>
      <c r="H150" s="15">
        <f>Table_7[[#This Row],[Listing Price (USD)]]/10000</f>
        <v>47.9634</v>
      </c>
      <c r="I150" s="28">
        <f>Table_7[[#This Row],[Length 
(ft)]]</f>
        <v>42</v>
      </c>
      <c r="J150" s="28">
        <f>2020-Table_7[[#This Row],[Year]]</f>
        <v>8</v>
      </c>
      <c r="K150">
        <v>4200000000</v>
      </c>
      <c r="L150">
        <v>39553.199999999997</v>
      </c>
      <c r="M150">
        <v>4.0999999999999996</v>
      </c>
      <c r="N150">
        <v>-2.1</v>
      </c>
      <c r="O150">
        <v>37.57</v>
      </c>
      <c r="P150">
        <v>938</v>
      </c>
      <c r="Q150">
        <v>155</v>
      </c>
      <c r="R150">
        <v>12.53</v>
      </c>
    </row>
    <row r="151" spans="1:18" x14ac:dyDescent="0.25">
      <c r="A151" s="1" t="s">
        <v>278</v>
      </c>
      <c r="B151" s="2">
        <v>420</v>
      </c>
      <c r="C151" s="19">
        <v>42</v>
      </c>
      <c r="D151" s="3" t="s">
        <v>496</v>
      </c>
      <c r="E151" s="3" t="s">
        <v>3</v>
      </c>
      <c r="F151" s="23">
        <v>559708</v>
      </c>
      <c r="G151" s="15">
        <v>2014</v>
      </c>
      <c r="H151" s="15">
        <f>Table_7[[#This Row],[Listing Price (USD)]]/10000</f>
        <v>55.970799999999997</v>
      </c>
      <c r="I151" s="28">
        <f>Table_7[[#This Row],[Length 
(ft)]]</f>
        <v>42</v>
      </c>
      <c r="J151" s="28">
        <f>2020-Table_7[[#This Row],[Year]]</f>
        <v>6</v>
      </c>
      <c r="K151">
        <v>2639008701648.2598</v>
      </c>
      <c r="L151">
        <v>39055.282928075401</v>
      </c>
      <c r="M151">
        <v>0.47649885272508302</v>
      </c>
      <c r="N151">
        <v>-7.7845864916787102</v>
      </c>
      <c r="O151">
        <v>37.57</v>
      </c>
      <c r="P151">
        <v>938</v>
      </c>
      <c r="Q151">
        <v>155</v>
      </c>
      <c r="R151">
        <v>12.53</v>
      </c>
    </row>
    <row r="152" spans="1:18" x14ac:dyDescent="0.25">
      <c r="A152" s="1" t="s">
        <v>14</v>
      </c>
      <c r="B152" s="2" t="s">
        <v>27</v>
      </c>
      <c r="C152" s="19">
        <v>42</v>
      </c>
      <c r="D152" s="3" t="s">
        <v>496</v>
      </c>
      <c r="E152" s="3" t="s">
        <v>31</v>
      </c>
      <c r="F152" s="23">
        <v>109065</v>
      </c>
      <c r="G152" s="15">
        <v>2006</v>
      </c>
      <c r="H152" s="15">
        <f>Table_7[[#This Row],[Listing Price (USD)]]/10000</f>
        <v>10.906499999999999</v>
      </c>
      <c r="I152" s="28">
        <f>Table_7[[#This Row],[Length 
(ft)]]</f>
        <v>42</v>
      </c>
      <c r="J152" s="28">
        <f>2020-Table_7[[#This Row],[Year]]</f>
        <v>14</v>
      </c>
      <c r="K152">
        <v>57472012426.685303</v>
      </c>
      <c r="L152">
        <v>14198.753959474399</v>
      </c>
      <c r="M152">
        <v>0.15481137456202801</v>
      </c>
      <c r="N152">
        <v>-8.5803430210621805</v>
      </c>
      <c r="O152">
        <v>37.57</v>
      </c>
      <c r="P152">
        <v>938</v>
      </c>
      <c r="Q152">
        <v>155</v>
      </c>
      <c r="R152">
        <v>12.53</v>
      </c>
    </row>
    <row r="153" spans="1:18" x14ac:dyDescent="0.25">
      <c r="A153" s="1" t="s">
        <v>112</v>
      </c>
      <c r="B153" s="2" t="s">
        <v>114</v>
      </c>
      <c r="C153" s="19">
        <v>45</v>
      </c>
      <c r="D153" s="3" t="s">
        <v>496</v>
      </c>
      <c r="E153" s="3" t="s">
        <v>516</v>
      </c>
      <c r="F153" s="23">
        <v>504099</v>
      </c>
      <c r="G153" s="15">
        <v>2011</v>
      </c>
      <c r="H153" s="15">
        <f>Table_7[[#This Row],[Listing Price (USD)]]/10000</f>
        <v>50.4099</v>
      </c>
      <c r="I153" s="28">
        <f>Table_7[[#This Row],[Length 
(ft)]]</f>
        <v>45</v>
      </c>
      <c r="J153" s="28">
        <f>2020-Table_7[[#This Row],[Year]]</f>
        <v>9</v>
      </c>
      <c r="K153">
        <v>909793466661.48096</v>
      </c>
      <c r="L153">
        <v>52162.570115040602</v>
      </c>
      <c r="M153">
        <v>1.2724603778917001</v>
      </c>
      <c r="N153">
        <v>-3.88608391819609</v>
      </c>
      <c r="O153">
        <v>42.65</v>
      </c>
      <c r="P153">
        <v>797.00199999999995</v>
      </c>
      <c r="Q153">
        <v>153</v>
      </c>
      <c r="R153">
        <v>13.29</v>
      </c>
    </row>
    <row r="154" spans="1:18" x14ac:dyDescent="0.25">
      <c r="A154" s="1" t="s">
        <v>112</v>
      </c>
      <c r="B154" s="2" t="s">
        <v>114</v>
      </c>
      <c r="C154" s="19">
        <v>45</v>
      </c>
      <c r="D154" s="3" t="s">
        <v>496</v>
      </c>
      <c r="E154" s="3" t="s">
        <v>9</v>
      </c>
      <c r="F154" s="23">
        <v>504099</v>
      </c>
      <c r="G154" s="15">
        <v>2011</v>
      </c>
      <c r="H154" s="15">
        <f>Table_7[[#This Row],[Listing Price (USD)]]/10000</f>
        <v>50.4099</v>
      </c>
      <c r="I154" s="28">
        <f>Table_7[[#This Row],[Length 
(ft)]]</f>
        <v>45</v>
      </c>
      <c r="J154" s="28">
        <f>2020-Table_7[[#This Row],[Year]]</f>
        <v>9</v>
      </c>
      <c r="K154">
        <v>1276962685648.25</v>
      </c>
      <c r="L154">
        <v>26959.675436732599</v>
      </c>
      <c r="M154">
        <v>-0.32275301729970501</v>
      </c>
      <c r="N154">
        <v>-11.3254383222864</v>
      </c>
      <c r="O154">
        <v>42.65</v>
      </c>
      <c r="P154">
        <v>797.00199999999995</v>
      </c>
      <c r="Q154">
        <v>153</v>
      </c>
      <c r="R154">
        <v>13.29</v>
      </c>
    </row>
    <row r="155" spans="1:18" x14ac:dyDescent="0.25">
      <c r="A155" s="1" t="s">
        <v>97</v>
      </c>
      <c r="B155" s="2" t="s">
        <v>98</v>
      </c>
      <c r="C155" s="19">
        <v>49</v>
      </c>
      <c r="D155" s="3" t="s">
        <v>496</v>
      </c>
      <c r="E155" s="3" t="s">
        <v>516</v>
      </c>
      <c r="F155" s="23">
        <v>807805</v>
      </c>
      <c r="G155" s="15">
        <v>2014</v>
      </c>
      <c r="H155" s="15">
        <f>Table_7[[#This Row],[Listing Price (USD)]]/10000</f>
        <v>80.780500000000004</v>
      </c>
      <c r="I155" s="28">
        <f>Table_7[[#This Row],[Length 
(ft)]]</f>
        <v>49</v>
      </c>
      <c r="J155" s="28">
        <f>2020-Table_7[[#This Row],[Year]]</f>
        <v>6</v>
      </c>
      <c r="K155">
        <v>909793466661.48096</v>
      </c>
      <c r="L155">
        <v>52162.570115040602</v>
      </c>
      <c r="M155">
        <v>1.2724603778917001</v>
      </c>
      <c r="N155">
        <v>-3.88608391819609</v>
      </c>
      <c r="O155">
        <v>42.65</v>
      </c>
      <c r="P155">
        <v>797.00199999999995</v>
      </c>
      <c r="Q155">
        <v>153</v>
      </c>
      <c r="R155">
        <v>13.29</v>
      </c>
    </row>
    <row r="156" spans="1:18" x14ac:dyDescent="0.25">
      <c r="A156" s="1" t="s">
        <v>97</v>
      </c>
      <c r="B156" s="2" t="s">
        <v>98</v>
      </c>
      <c r="C156" s="19">
        <v>49</v>
      </c>
      <c r="D156" s="3" t="s">
        <v>496</v>
      </c>
      <c r="E156" s="3" t="s">
        <v>516</v>
      </c>
      <c r="F156" s="23">
        <v>848957</v>
      </c>
      <c r="G156" s="15">
        <v>2009</v>
      </c>
      <c r="H156" s="15">
        <f>Table_7[[#This Row],[Listing Price (USD)]]/10000</f>
        <v>84.895700000000005</v>
      </c>
      <c r="I156" s="28">
        <f>Table_7[[#This Row],[Length 
(ft)]]</f>
        <v>49</v>
      </c>
      <c r="J156" s="28">
        <f>2020-Table_7[[#This Row],[Year]]</f>
        <v>11</v>
      </c>
      <c r="K156">
        <v>909793466661.48096</v>
      </c>
      <c r="L156">
        <v>52162.570115040602</v>
      </c>
      <c r="M156">
        <v>1.2724603778917001</v>
      </c>
      <c r="N156">
        <v>-3.88608391819609</v>
      </c>
      <c r="O156">
        <v>42.65</v>
      </c>
      <c r="P156">
        <v>797.00199999999995</v>
      </c>
      <c r="Q156">
        <v>153</v>
      </c>
      <c r="R156">
        <v>13.29</v>
      </c>
    </row>
    <row r="157" spans="1:18" x14ac:dyDescent="0.25">
      <c r="A157" s="1" t="s">
        <v>187</v>
      </c>
      <c r="B157" s="3" t="s">
        <v>346</v>
      </c>
      <c r="C157" s="19">
        <v>50</v>
      </c>
      <c r="D157" s="3" t="s">
        <v>495</v>
      </c>
      <c r="E157" s="3" t="s">
        <v>333</v>
      </c>
      <c r="F157" s="23">
        <v>280000</v>
      </c>
      <c r="G157" s="15">
        <v>2010</v>
      </c>
      <c r="H157" s="15">
        <f>Table_7[[#This Row],[Listing Price (USD)]]/10000</f>
        <v>28</v>
      </c>
      <c r="I157" s="28">
        <f>Table_7[[#This Row],[Length 
(ft)]]</f>
        <v>50</v>
      </c>
      <c r="J157" s="28">
        <f>2020-Table_7[[#This Row],[Year]]</f>
        <v>10</v>
      </c>
      <c r="K157">
        <v>1106036000000</v>
      </c>
      <c r="L157">
        <v>51276.72</v>
      </c>
      <c r="M157">
        <v>1.23</v>
      </c>
      <c r="N157">
        <v>2.9</v>
      </c>
      <c r="O157">
        <v>43.83</v>
      </c>
      <c r="P157">
        <v>1277.002</v>
      </c>
      <c r="Q157">
        <v>150</v>
      </c>
      <c r="R157">
        <v>14.75</v>
      </c>
    </row>
    <row r="158" spans="1:18" x14ac:dyDescent="0.25">
      <c r="A158" s="1" t="s">
        <v>2</v>
      </c>
      <c r="B158" s="2">
        <v>44</v>
      </c>
      <c r="C158" s="19">
        <v>44</v>
      </c>
      <c r="D158" s="3" t="s">
        <v>496</v>
      </c>
      <c r="E158" s="3" t="s">
        <v>3</v>
      </c>
      <c r="F158" s="23">
        <v>358287</v>
      </c>
      <c r="G158" s="15">
        <v>2006</v>
      </c>
      <c r="H158" s="15">
        <f>Table_7[[#This Row],[Listing Price (USD)]]/10000</f>
        <v>35.828699999999998</v>
      </c>
      <c r="I158" s="28">
        <f>Table_7[[#This Row],[Length 
(ft)]]</f>
        <v>44</v>
      </c>
      <c r="J158" s="28">
        <f>2020-Table_7[[#This Row],[Year]]</f>
        <v>14</v>
      </c>
      <c r="K158">
        <v>2639008701648.2598</v>
      </c>
      <c r="L158">
        <v>39055.282928075401</v>
      </c>
      <c r="M158">
        <v>0.47649885272508302</v>
      </c>
      <c r="N158">
        <v>-7.7845864916787102</v>
      </c>
      <c r="O158">
        <v>38.19</v>
      </c>
      <c r="P158">
        <v>1022</v>
      </c>
      <c r="Q158">
        <v>145</v>
      </c>
      <c r="R158">
        <v>13.94</v>
      </c>
    </row>
    <row r="159" spans="1:18" x14ac:dyDescent="0.25">
      <c r="A159" s="1" t="s">
        <v>5</v>
      </c>
      <c r="B159" s="2">
        <v>44</v>
      </c>
      <c r="C159" s="19">
        <v>44</v>
      </c>
      <c r="D159" s="3" t="s">
        <v>496</v>
      </c>
      <c r="E159" s="3" t="s">
        <v>9</v>
      </c>
      <c r="F159" s="23">
        <v>425144</v>
      </c>
      <c r="G159" s="15">
        <v>2008</v>
      </c>
      <c r="H159" s="15">
        <f>Table_7[[#This Row],[Listing Price (USD)]]/10000</f>
        <v>42.514400000000002</v>
      </c>
      <c r="I159" s="28">
        <f>Table_7[[#This Row],[Length 
(ft)]]</f>
        <v>44</v>
      </c>
      <c r="J159" s="28">
        <f>2020-Table_7[[#This Row],[Year]]</f>
        <v>12</v>
      </c>
      <c r="K159">
        <v>1276962685648.25</v>
      </c>
      <c r="L159">
        <v>26959.675436732599</v>
      </c>
      <c r="M159">
        <v>-0.32275301729970501</v>
      </c>
      <c r="N159">
        <v>-11.3254383222864</v>
      </c>
      <c r="O159">
        <v>38.19</v>
      </c>
      <c r="P159">
        <v>1022</v>
      </c>
      <c r="Q159">
        <v>145</v>
      </c>
      <c r="R159">
        <v>13.94</v>
      </c>
    </row>
    <row r="160" spans="1:18" x14ac:dyDescent="0.25">
      <c r="A160" s="1" t="s">
        <v>250</v>
      </c>
      <c r="B160" s="2" t="s">
        <v>251</v>
      </c>
      <c r="C160" s="19">
        <v>44</v>
      </c>
      <c r="D160" s="3" t="s">
        <v>496</v>
      </c>
      <c r="E160" s="3" t="s">
        <v>419</v>
      </c>
      <c r="F160" s="23">
        <v>484664</v>
      </c>
      <c r="G160" s="15">
        <v>2009</v>
      </c>
      <c r="H160" s="15">
        <f>Table_7[[#This Row],[Listing Price (USD)]]/10000</f>
        <v>48.4664</v>
      </c>
      <c r="I160" s="28">
        <f>Table_7[[#This Row],[Length 
(ft)]]</f>
        <v>44</v>
      </c>
      <c r="J160" s="28">
        <f>2020-Table_7[[#This Row],[Year]]</f>
        <v>11</v>
      </c>
      <c r="K160">
        <v>70240275010.196396</v>
      </c>
      <c r="L160">
        <v>10129.8129597638</v>
      </c>
      <c r="M160">
        <v>1.67244096855762</v>
      </c>
      <c r="N160">
        <v>-3.95861459810695</v>
      </c>
      <c r="O160">
        <v>42.98</v>
      </c>
      <c r="P160">
        <v>1345.492</v>
      </c>
      <c r="Q160">
        <v>145</v>
      </c>
      <c r="R160">
        <v>23.62</v>
      </c>
    </row>
    <row r="161" spans="1:18" x14ac:dyDescent="0.25">
      <c r="A161" s="1" t="s">
        <v>264</v>
      </c>
      <c r="B161" s="2">
        <v>1260</v>
      </c>
      <c r="C161" s="19">
        <v>41</v>
      </c>
      <c r="D161" s="3" t="s">
        <v>496</v>
      </c>
      <c r="E161" s="3" t="s">
        <v>3</v>
      </c>
      <c r="F161" s="23">
        <v>334042</v>
      </c>
      <c r="G161" s="15">
        <v>2014</v>
      </c>
      <c r="H161" s="15">
        <f>Table_7[[#This Row],[Listing Price (USD)]]/10000</f>
        <v>33.404200000000003</v>
      </c>
      <c r="I161" s="28">
        <f>Table_7[[#This Row],[Length 
(ft)]]</f>
        <v>41</v>
      </c>
      <c r="J161" s="28">
        <f>2020-Table_7[[#This Row],[Year]]</f>
        <v>6</v>
      </c>
      <c r="K161">
        <v>2639008701648.2598</v>
      </c>
      <c r="L161">
        <v>39055.282928075401</v>
      </c>
      <c r="M161">
        <v>0.47649885272508302</v>
      </c>
      <c r="N161">
        <v>-7.7845864916787102</v>
      </c>
      <c r="O161">
        <v>37.729999999999997</v>
      </c>
      <c r="P161">
        <v>1000</v>
      </c>
      <c r="Q161">
        <v>141</v>
      </c>
      <c r="R161">
        <v>12.83</v>
      </c>
    </row>
    <row r="162" spans="1:18" x14ac:dyDescent="0.25">
      <c r="A162" s="1" t="s">
        <v>243</v>
      </c>
      <c r="B162" s="2">
        <v>1300</v>
      </c>
      <c r="C162" s="19">
        <v>41</v>
      </c>
      <c r="D162" s="3" t="s">
        <v>496</v>
      </c>
      <c r="E162" s="3" t="s">
        <v>19</v>
      </c>
      <c r="F162" s="23">
        <v>346474</v>
      </c>
      <c r="G162" s="15">
        <v>2007</v>
      </c>
      <c r="H162" s="15">
        <f>Table_7[[#This Row],[Listing Price (USD)]]/10000</f>
        <v>34.647399999999998</v>
      </c>
      <c r="I162" s="28">
        <f>Table_7[[#This Row],[Length 
(ft)]]</f>
        <v>41</v>
      </c>
      <c r="J162" s="28">
        <f>2020-Table_7[[#This Row],[Year]]</f>
        <v>13</v>
      </c>
      <c r="K162">
        <v>4200000000</v>
      </c>
      <c r="L162">
        <v>39553.199999999997</v>
      </c>
      <c r="M162">
        <v>4.0999999999999996</v>
      </c>
      <c r="N162">
        <v>-2.1</v>
      </c>
      <c r="O162">
        <v>37.729999999999997</v>
      </c>
      <c r="P162">
        <v>1000</v>
      </c>
      <c r="Q162">
        <v>141</v>
      </c>
      <c r="R162">
        <v>12.83</v>
      </c>
    </row>
    <row r="163" spans="1:18" x14ac:dyDescent="0.25">
      <c r="A163" s="1" t="s">
        <v>329</v>
      </c>
      <c r="B163" s="3">
        <v>42</v>
      </c>
      <c r="C163" s="19">
        <v>46</v>
      </c>
      <c r="D163" s="3" t="s">
        <v>495</v>
      </c>
      <c r="E163" s="3" t="s">
        <v>512</v>
      </c>
      <c r="F163" s="23">
        <v>274000</v>
      </c>
      <c r="G163" s="15">
        <v>2007</v>
      </c>
      <c r="H163" s="15">
        <f>Table_7[[#This Row],[Listing Price (USD)]]/10000</f>
        <v>27.4</v>
      </c>
      <c r="I163" s="28">
        <f>Table_7[[#This Row],[Length 
(ft)]]</f>
        <v>46</v>
      </c>
      <c r="J163" s="28">
        <f>2020-Table_7[[#This Row],[Year]]</f>
        <v>13</v>
      </c>
      <c r="K163">
        <v>15842922532.7202</v>
      </c>
      <c r="L163">
        <v>4255.7429932125397</v>
      </c>
      <c r="M163">
        <v>5.2024648897533003</v>
      </c>
      <c r="N163">
        <v>-6.7604398170551896</v>
      </c>
      <c r="O163">
        <v>41.07</v>
      </c>
      <c r="P163">
        <v>1249</v>
      </c>
      <c r="Q163">
        <v>140</v>
      </c>
      <c r="R163">
        <v>14.11</v>
      </c>
    </row>
    <row r="164" spans="1:18" x14ac:dyDescent="0.25">
      <c r="A164" s="1" t="s">
        <v>244</v>
      </c>
      <c r="B164" s="2">
        <v>49</v>
      </c>
      <c r="C164" s="19">
        <v>48</v>
      </c>
      <c r="D164" s="3" t="s">
        <v>496</v>
      </c>
      <c r="E164" s="3" t="s">
        <v>9</v>
      </c>
      <c r="F164" s="23">
        <v>406940</v>
      </c>
      <c r="G164" s="15">
        <v>2005</v>
      </c>
      <c r="H164" s="15">
        <f>Table_7[[#This Row],[Listing Price (USD)]]/10000</f>
        <v>40.694000000000003</v>
      </c>
      <c r="I164" s="28">
        <f>Table_7[[#This Row],[Length 
(ft)]]</f>
        <v>48</v>
      </c>
      <c r="J164" s="28">
        <f>2020-Table_7[[#This Row],[Year]]</f>
        <v>15</v>
      </c>
      <c r="K164">
        <v>1276962685648.25</v>
      </c>
      <c r="L164">
        <v>26959.675436732599</v>
      </c>
      <c r="M164">
        <v>-0.32275301729970501</v>
      </c>
      <c r="N164">
        <v>-11.3254383222864</v>
      </c>
      <c r="O164">
        <v>39.5</v>
      </c>
      <c r="P164">
        <v>1251</v>
      </c>
      <c r="Q164">
        <v>140</v>
      </c>
      <c r="R164">
        <v>14.24</v>
      </c>
    </row>
    <row r="165" spans="1:18" x14ac:dyDescent="0.25">
      <c r="A165" s="1" t="s">
        <v>190</v>
      </c>
      <c r="B165" s="2">
        <v>49</v>
      </c>
      <c r="C165" s="19">
        <v>49</v>
      </c>
      <c r="D165" s="3" t="s">
        <v>496</v>
      </c>
      <c r="E165" s="3" t="s">
        <v>9</v>
      </c>
      <c r="F165" s="23">
        <v>464979</v>
      </c>
      <c r="G165" s="15">
        <v>2005</v>
      </c>
      <c r="H165" s="15">
        <f>Table_7[[#This Row],[Listing Price (USD)]]/10000</f>
        <v>46.497900000000001</v>
      </c>
      <c r="I165" s="28">
        <f>Table_7[[#This Row],[Length 
(ft)]]</f>
        <v>49</v>
      </c>
      <c r="J165" s="28">
        <f>2020-Table_7[[#This Row],[Year]]</f>
        <v>15</v>
      </c>
      <c r="K165">
        <v>1276962685648.25</v>
      </c>
      <c r="L165">
        <v>26959.675436732599</v>
      </c>
      <c r="M165">
        <v>-0.32275301729970501</v>
      </c>
      <c r="N165">
        <v>-11.3254383222864</v>
      </c>
      <c r="O165">
        <v>39.5</v>
      </c>
      <c r="P165">
        <v>1251</v>
      </c>
      <c r="Q165">
        <v>140</v>
      </c>
      <c r="R165">
        <v>14.24</v>
      </c>
    </row>
    <row r="166" spans="1:18" x14ac:dyDescent="0.25">
      <c r="A166" s="1" t="s">
        <v>128</v>
      </c>
      <c r="B166" s="2">
        <v>460</v>
      </c>
      <c r="C166" s="19">
        <v>46</v>
      </c>
      <c r="D166" s="3" t="s">
        <v>496</v>
      </c>
      <c r="E166" s="3" t="s">
        <v>31</v>
      </c>
      <c r="F166" s="23">
        <v>172531</v>
      </c>
      <c r="G166" s="15">
        <v>2016</v>
      </c>
      <c r="H166" s="15">
        <f>Table_7[[#This Row],[Listing Price (USD)]]/10000</f>
        <v>17.2531</v>
      </c>
      <c r="I166" s="28">
        <f>Table_7[[#This Row],[Length 
(ft)]]</f>
        <v>46</v>
      </c>
      <c r="J166" s="28">
        <f>2020-Table_7[[#This Row],[Year]]</f>
        <v>4</v>
      </c>
      <c r="K166">
        <v>57472012426.685303</v>
      </c>
      <c r="L166">
        <v>14198.753959474399</v>
      </c>
      <c r="M166">
        <v>0.15481137456202801</v>
      </c>
      <c r="N166">
        <v>-8.5803430210621805</v>
      </c>
      <c r="O166">
        <v>39.07</v>
      </c>
      <c r="P166">
        <v>849</v>
      </c>
      <c r="Q166">
        <v>140</v>
      </c>
      <c r="R166">
        <v>14.11</v>
      </c>
    </row>
    <row r="167" spans="1:18" x14ac:dyDescent="0.25">
      <c r="A167" s="1" t="s">
        <v>128</v>
      </c>
      <c r="B167" s="2">
        <v>460</v>
      </c>
      <c r="C167" s="19">
        <v>46</v>
      </c>
      <c r="D167" s="3" t="s">
        <v>496</v>
      </c>
      <c r="E167" s="3" t="s">
        <v>31</v>
      </c>
      <c r="F167" s="23">
        <v>204121</v>
      </c>
      <c r="G167" s="15">
        <v>2016</v>
      </c>
      <c r="H167" s="15">
        <f>Table_7[[#This Row],[Listing Price (USD)]]/10000</f>
        <v>20.412099999999999</v>
      </c>
      <c r="I167" s="28">
        <f>Table_7[[#This Row],[Length 
(ft)]]</f>
        <v>46</v>
      </c>
      <c r="J167" s="28">
        <f>2020-Table_7[[#This Row],[Year]]</f>
        <v>4</v>
      </c>
      <c r="K167">
        <v>57472012426.685303</v>
      </c>
      <c r="L167">
        <v>14198.753959474399</v>
      </c>
      <c r="M167">
        <v>0.15481137456202801</v>
      </c>
      <c r="N167">
        <v>-8.5803430210621805</v>
      </c>
      <c r="O167">
        <v>39.07</v>
      </c>
      <c r="P167">
        <v>849</v>
      </c>
      <c r="Q167">
        <v>140</v>
      </c>
      <c r="R167">
        <v>14.11</v>
      </c>
    </row>
    <row r="168" spans="1:18" x14ac:dyDescent="0.25">
      <c r="A168" s="1" t="s">
        <v>128</v>
      </c>
      <c r="B168" s="2">
        <v>460</v>
      </c>
      <c r="C168" s="19">
        <v>46</v>
      </c>
      <c r="D168" s="3" t="s">
        <v>496</v>
      </c>
      <c r="E168" s="3" t="s">
        <v>9</v>
      </c>
      <c r="F168" s="23">
        <v>206377</v>
      </c>
      <c r="G168" s="15">
        <v>2016</v>
      </c>
      <c r="H168" s="15">
        <f>Table_7[[#This Row],[Listing Price (USD)]]/10000</f>
        <v>20.637699999999999</v>
      </c>
      <c r="I168" s="28">
        <f>Table_7[[#This Row],[Length 
(ft)]]</f>
        <v>46</v>
      </c>
      <c r="J168" s="28">
        <f>2020-Table_7[[#This Row],[Year]]</f>
        <v>4</v>
      </c>
      <c r="K168">
        <v>1276962685648.25</v>
      </c>
      <c r="L168">
        <v>26959.675436732599</v>
      </c>
      <c r="M168">
        <v>-0.32275301729970501</v>
      </c>
      <c r="N168">
        <v>-11.3254383222864</v>
      </c>
      <c r="O168">
        <v>41.07</v>
      </c>
      <c r="P168">
        <v>1249</v>
      </c>
      <c r="Q168">
        <v>140</v>
      </c>
      <c r="R168">
        <v>14.11</v>
      </c>
    </row>
    <row r="169" spans="1:18" x14ac:dyDescent="0.25">
      <c r="A169" s="1" t="s">
        <v>128</v>
      </c>
      <c r="B169" s="2">
        <v>460</v>
      </c>
      <c r="C169" s="19">
        <v>46</v>
      </c>
      <c r="D169" s="3" t="s">
        <v>496</v>
      </c>
      <c r="E169" s="3" t="s">
        <v>24</v>
      </c>
      <c r="F169" s="23">
        <v>207713</v>
      </c>
      <c r="G169" s="15">
        <v>2016</v>
      </c>
      <c r="H169" s="15">
        <f>Table_7[[#This Row],[Listing Price (USD)]]/10000</f>
        <v>20.7713</v>
      </c>
      <c r="I169" s="28">
        <f>Table_7[[#This Row],[Length 
(ft)]]</f>
        <v>46</v>
      </c>
      <c r="J169" s="28">
        <f>2020-Table_7[[#This Row],[Year]]</f>
        <v>4</v>
      </c>
      <c r="K169">
        <v>1896755301518.1399</v>
      </c>
      <c r="L169">
        <v>31911.0357890017</v>
      </c>
      <c r="M169">
        <v>-0.13770757391656999</v>
      </c>
      <c r="N169">
        <v>-9.0399534112288507</v>
      </c>
      <c r="O169">
        <v>41.07</v>
      </c>
      <c r="P169">
        <v>1249</v>
      </c>
      <c r="Q169">
        <v>140</v>
      </c>
      <c r="R169">
        <v>14.11</v>
      </c>
    </row>
    <row r="170" spans="1:18" x14ac:dyDescent="0.25">
      <c r="A170" s="1" t="s">
        <v>128</v>
      </c>
      <c r="B170" s="2">
        <v>460</v>
      </c>
      <c r="C170" s="19">
        <v>46</v>
      </c>
      <c r="D170" s="3" t="s">
        <v>496</v>
      </c>
      <c r="E170" s="3" t="s">
        <v>24</v>
      </c>
      <c r="F170" s="23">
        <v>208720</v>
      </c>
      <c r="G170" s="15">
        <v>2016</v>
      </c>
      <c r="H170" s="15">
        <f>Table_7[[#This Row],[Listing Price (USD)]]/10000</f>
        <v>20.872</v>
      </c>
      <c r="I170" s="28">
        <f>Table_7[[#This Row],[Length 
(ft)]]</f>
        <v>46</v>
      </c>
      <c r="J170" s="28">
        <f>2020-Table_7[[#This Row],[Year]]</f>
        <v>4</v>
      </c>
      <c r="K170">
        <v>1896755301518.1399</v>
      </c>
      <c r="L170">
        <v>31911.0357890017</v>
      </c>
      <c r="M170">
        <v>-0.13770757391656999</v>
      </c>
      <c r="N170">
        <v>-9.0399534112288507</v>
      </c>
      <c r="O170">
        <v>39.07</v>
      </c>
      <c r="P170">
        <v>849</v>
      </c>
      <c r="Q170">
        <v>140</v>
      </c>
      <c r="R170">
        <v>14.11</v>
      </c>
    </row>
    <row r="171" spans="1:18" x14ac:dyDescent="0.25">
      <c r="A171" s="1" t="s">
        <v>128</v>
      </c>
      <c r="B171" s="2">
        <v>460</v>
      </c>
      <c r="C171" s="19">
        <v>46</v>
      </c>
      <c r="D171" s="3" t="s">
        <v>496</v>
      </c>
      <c r="E171" s="3" t="s">
        <v>24</v>
      </c>
      <c r="F171" s="23">
        <v>264804</v>
      </c>
      <c r="G171" s="15">
        <v>2017</v>
      </c>
      <c r="H171" s="15">
        <f>Table_7[[#This Row],[Listing Price (USD)]]/10000</f>
        <v>26.480399999999999</v>
      </c>
      <c r="I171" s="28">
        <f>Table_7[[#This Row],[Length 
(ft)]]</f>
        <v>46</v>
      </c>
      <c r="J171" s="28">
        <f>2020-Table_7[[#This Row],[Year]]</f>
        <v>3</v>
      </c>
      <c r="K171">
        <v>1896755301518.1399</v>
      </c>
      <c r="L171">
        <v>31911.0357890017</v>
      </c>
      <c r="M171">
        <v>-0.13770757391656999</v>
      </c>
      <c r="N171">
        <v>-9.0399534112288507</v>
      </c>
      <c r="O171">
        <v>39.07</v>
      </c>
      <c r="P171">
        <v>849</v>
      </c>
      <c r="Q171">
        <v>140</v>
      </c>
      <c r="R171">
        <v>14.11</v>
      </c>
    </row>
    <row r="172" spans="1:18" x14ac:dyDescent="0.25">
      <c r="A172" s="1" t="s">
        <v>128</v>
      </c>
      <c r="B172" s="2">
        <v>460</v>
      </c>
      <c r="C172" s="19">
        <v>46</v>
      </c>
      <c r="D172" s="3" t="s">
        <v>496</v>
      </c>
      <c r="E172" s="3" t="s">
        <v>24</v>
      </c>
      <c r="F172" s="23">
        <v>321895</v>
      </c>
      <c r="G172" s="15">
        <v>2019</v>
      </c>
      <c r="H172" s="15">
        <f>Table_7[[#This Row],[Listing Price (USD)]]/10000</f>
        <v>32.189500000000002</v>
      </c>
      <c r="I172" s="28">
        <f>Table_7[[#This Row],[Length 
(ft)]]</f>
        <v>46</v>
      </c>
      <c r="J172" s="28">
        <f>2020-Table_7[[#This Row],[Year]]</f>
        <v>1</v>
      </c>
      <c r="K172">
        <v>1896755301518.1399</v>
      </c>
      <c r="L172">
        <v>31911.0357890017</v>
      </c>
      <c r="M172">
        <v>-0.13770757391656999</v>
      </c>
      <c r="N172">
        <v>-9.0399534112288507</v>
      </c>
      <c r="O172">
        <v>39.07</v>
      </c>
      <c r="P172">
        <v>849</v>
      </c>
      <c r="Q172">
        <v>140</v>
      </c>
      <c r="R172">
        <v>14.11</v>
      </c>
    </row>
    <row r="173" spans="1:18" x14ac:dyDescent="0.25">
      <c r="A173" s="1" t="s">
        <v>128</v>
      </c>
      <c r="B173" s="3">
        <v>460</v>
      </c>
      <c r="C173" s="19">
        <v>46</v>
      </c>
      <c r="D173" s="3" t="s">
        <v>495</v>
      </c>
      <c r="E173" s="3" t="s">
        <v>500</v>
      </c>
      <c r="F173" s="23">
        <v>469000</v>
      </c>
      <c r="G173" s="15">
        <v>2019</v>
      </c>
      <c r="H173" s="15">
        <f>Table_7[[#This Row],[Listing Price (USD)]]/10000</f>
        <v>46.9</v>
      </c>
      <c r="I173" s="28">
        <f>Table_7[[#This Row],[Length 
(ft)]]</f>
        <v>46</v>
      </c>
      <c r="J173" s="28">
        <f>2020-Table_7[[#This Row],[Year]]</f>
        <v>1</v>
      </c>
      <c r="K173">
        <v>3007188000000</v>
      </c>
      <c r="L173">
        <v>76131.839999999997</v>
      </c>
      <c r="M173">
        <v>1.23</v>
      </c>
      <c r="N173">
        <v>2.7</v>
      </c>
      <c r="O173">
        <v>39.07</v>
      </c>
      <c r="P173">
        <v>849</v>
      </c>
      <c r="Q173">
        <v>140</v>
      </c>
      <c r="R173">
        <v>14.11</v>
      </c>
    </row>
    <row r="174" spans="1:18" x14ac:dyDescent="0.25">
      <c r="A174" s="1" t="s">
        <v>177</v>
      </c>
      <c r="B174" s="2">
        <v>461</v>
      </c>
      <c r="C174" s="19">
        <v>46</v>
      </c>
      <c r="D174" s="3" t="s">
        <v>496</v>
      </c>
      <c r="E174" s="3" t="s">
        <v>9</v>
      </c>
      <c r="F174" s="23">
        <v>170057</v>
      </c>
      <c r="G174" s="15">
        <v>2005</v>
      </c>
      <c r="H174" s="15">
        <f>Table_7[[#This Row],[Listing Price (USD)]]/10000</f>
        <v>17.005700000000001</v>
      </c>
      <c r="I174" s="28">
        <f>Table_7[[#This Row],[Length 
(ft)]]</f>
        <v>46</v>
      </c>
      <c r="J174" s="28">
        <f>2020-Table_7[[#This Row],[Year]]</f>
        <v>15</v>
      </c>
      <c r="K174">
        <v>1276962685648.25</v>
      </c>
      <c r="L174">
        <v>26959.675436732599</v>
      </c>
      <c r="M174">
        <v>-0.32275301729970501</v>
      </c>
      <c r="N174">
        <v>-11.3254383222864</v>
      </c>
      <c r="O174">
        <v>41.07</v>
      </c>
      <c r="P174">
        <v>1249</v>
      </c>
      <c r="Q174">
        <v>140</v>
      </c>
      <c r="R174">
        <v>14.11</v>
      </c>
    </row>
    <row r="175" spans="1:18" x14ac:dyDescent="0.25">
      <c r="A175" s="1" t="s">
        <v>177</v>
      </c>
      <c r="B175" s="2">
        <v>461</v>
      </c>
      <c r="C175" s="19">
        <v>46</v>
      </c>
      <c r="D175" s="3" t="s">
        <v>496</v>
      </c>
      <c r="E175" s="3" t="s">
        <v>9</v>
      </c>
      <c r="F175" s="23">
        <v>179942</v>
      </c>
      <c r="G175" s="15">
        <v>2005</v>
      </c>
      <c r="H175" s="15">
        <f>Table_7[[#This Row],[Listing Price (USD)]]/10000</f>
        <v>17.994199999999999</v>
      </c>
      <c r="I175" s="28">
        <f>Table_7[[#This Row],[Length 
(ft)]]</f>
        <v>46</v>
      </c>
      <c r="J175" s="28">
        <f>2020-Table_7[[#This Row],[Year]]</f>
        <v>15</v>
      </c>
      <c r="K175">
        <v>1276962685648.25</v>
      </c>
      <c r="L175">
        <v>26959.675436732599</v>
      </c>
      <c r="M175">
        <v>-0.32275301729970501</v>
      </c>
      <c r="N175">
        <v>-11.3254383222864</v>
      </c>
      <c r="O175">
        <v>41.07</v>
      </c>
      <c r="P175">
        <v>1249</v>
      </c>
      <c r="Q175">
        <v>140</v>
      </c>
      <c r="R175">
        <v>14.11</v>
      </c>
    </row>
    <row r="176" spans="1:18" x14ac:dyDescent="0.25">
      <c r="A176" s="1" t="s">
        <v>187</v>
      </c>
      <c r="B176" s="2">
        <v>466</v>
      </c>
      <c r="C176" s="19">
        <v>46</v>
      </c>
      <c r="D176" s="3" t="s">
        <v>496</v>
      </c>
      <c r="E176" s="3" t="s">
        <v>9</v>
      </c>
      <c r="F176" s="23">
        <v>169000</v>
      </c>
      <c r="G176" s="15">
        <v>2005</v>
      </c>
      <c r="H176" s="15">
        <f>Table_7[[#This Row],[Listing Price (USD)]]/10000</f>
        <v>16.899999999999999</v>
      </c>
      <c r="I176" s="28">
        <f>Table_7[[#This Row],[Length 
(ft)]]</f>
        <v>46</v>
      </c>
      <c r="J176" s="28">
        <f>2020-Table_7[[#This Row],[Year]]</f>
        <v>15</v>
      </c>
      <c r="K176">
        <v>1276962685648.25</v>
      </c>
      <c r="L176">
        <v>26959.675436732599</v>
      </c>
      <c r="M176">
        <v>-0.32275301729970501</v>
      </c>
      <c r="N176">
        <v>-11.3254383222864</v>
      </c>
      <c r="O176">
        <v>41.07</v>
      </c>
      <c r="P176">
        <v>1249</v>
      </c>
      <c r="Q176">
        <v>140</v>
      </c>
      <c r="R176">
        <v>14.11</v>
      </c>
    </row>
    <row r="177" spans="1:18" x14ac:dyDescent="0.25">
      <c r="A177" s="1" t="s">
        <v>128</v>
      </c>
      <c r="B177" s="2" t="s">
        <v>566</v>
      </c>
      <c r="C177" s="19">
        <v>45</v>
      </c>
      <c r="D177" s="3" t="s">
        <v>496</v>
      </c>
      <c r="E177" s="3" t="s">
        <v>3</v>
      </c>
      <c r="F177" s="23">
        <v>97200</v>
      </c>
      <c r="G177" s="15">
        <v>2008</v>
      </c>
      <c r="H177" s="15">
        <f>Table_7[[#This Row],[Listing Price (USD)]]/10000</f>
        <v>9.7200000000000006</v>
      </c>
      <c r="I177" s="28">
        <f>Table_7[[#This Row],[Length 
(ft)]]</f>
        <v>45</v>
      </c>
      <c r="J177" s="28">
        <f>2020-Table_7[[#This Row],[Year]]</f>
        <v>12</v>
      </c>
      <c r="K177">
        <v>2639008701648.2598</v>
      </c>
      <c r="L177">
        <v>39055.282928075401</v>
      </c>
      <c r="M177">
        <v>0.47649885272508302</v>
      </c>
      <c r="N177">
        <v>-7.7845864916787102</v>
      </c>
      <c r="O177">
        <v>39.07</v>
      </c>
      <c r="P177">
        <v>849</v>
      </c>
      <c r="Q177">
        <v>140</v>
      </c>
      <c r="R177">
        <v>14.11</v>
      </c>
    </row>
    <row r="178" spans="1:18" x14ac:dyDescent="0.25">
      <c r="A178" s="1" t="s">
        <v>128</v>
      </c>
      <c r="B178" s="2" t="s">
        <v>566</v>
      </c>
      <c r="C178" s="19">
        <v>45</v>
      </c>
      <c r="D178" s="3" t="s">
        <v>496</v>
      </c>
      <c r="E178" s="3" t="s">
        <v>9</v>
      </c>
      <c r="F178" s="23">
        <v>109323</v>
      </c>
      <c r="G178" s="15">
        <v>2008</v>
      </c>
      <c r="H178" s="15">
        <f>Table_7[[#This Row],[Listing Price (USD)]]/10000</f>
        <v>10.9323</v>
      </c>
      <c r="I178" s="28">
        <f>Table_7[[#This Row],[Length 
(ft)]]</f>
        <v>45</v>
      </c>
      <c r="J178" s="28">
        <f>2020-Table_7[[#This Row],[Year]]</f>
        <v>12</v>
      </c>
      <c r="K178">
        <v>1276962685648.25</v>
      </c>
      <c r="L178">
        <v>26959.675436732599</v>
      </c>
      <c r="M178">
        <v>-0.32275301729970501</v>
      </c>
      <c r="N178">
        <v>-11.3254383222864</v>
      </c>
      <c r="O178">
        <v>39.07</v>
      </c>
      <c r="P178">
        <v>849</v>
      </c>
      <c r="Q178">
        <v>140</v>
      </c>
      <c r="R178">
        <v>14.11</v>
      </c>
    </row>
    <row r="179" spans="1:18" x14ac:dyDescent="0.25">
      <c r="A179" s="1" t="s">
        <v>128</v>
      </c>
      <c r="B179" s="2" t="s">
        <v>566</v>
      </c>
      <c r="C179" s="19">
        <v>45</v>
      </c>
      <c r="D179" s="3" t="s">
        <v>496</v>
      </c>
      <c r="E179" s="3" t="s">
        <v>24</v>
      </c>
      <c r="F179" s="23">
        <v>127548</v>
      </c>
      <c r="G179" s="15">
        <v>2005</v>
      </c>
      <c r="H179" s="15">
        <f>Table_7[[#This Row],[Listing Price (USD)]]/10000</f>
        <v>12.754799999999999</v>
      </c>
      <c r="I179" s="28">
        <f>Table_7[[#This Row],[Length 
(ft)]]</f>
        <v>45</v>
      </c>
      <c r="J179" s="28">
        <f>2020-Table_7[[#This Row],[Year]]</f>
        <v>15</v>
      </c>
      <c r="K179">
        <v>1896755301518.1399</v>
      </c>
      <c r="L179">
        <v>31911.0357890017</v>
      </c>
      <c r="M179">
        <v>-0.13770757391656999</v>
      </c>
      <c r="N179">
        <v>-9.0399534112288507</v>
      </c>
      <c r="O179">
        <v>39.07</v>
      </c>
      <c r="P179">
        <v>849</v>
      </c>
      <c r="Q179">
        <v>140</v>
      </c>
      <c r="R179">
        <v>14.11</v>
      </c>
    </row>
    <row r="180" spans="1:18" x14ac:dyDescent="0.25">
      <c r="A180" s="1" t="s">
        <v>128</v>
      </c>
      <c r="B180" s="2" t="s">
        <v>566</v>
      </c>
      <c r="C180" s="19">
        <v>45</v>
      </c>
      <c r="D180" s="3" t="s">
        <v>496</v>
      </c>
      <c r="E180" s="3" t="s">
        <v>18</v>
      </c>
      <c r="F180" s="23">
        <v>132402</v>
      </c>
      <c r="G180" s="15">
        <v>2006</v>
      </c>
      <c r="H180" s="15">
        <f>Table_7[[#This Row],[Listing Price (USD)]]/10000</f>
        <v>13.2402</v>
      </c>
      <c r="I180" s="28">
        <f>Table_7[[#This Row],[Length 
(ft)]]</f>
        <v>45</v>
      </c>
      <c r="J180" s="28">
        <f>2020-Table_7[[#This Row],[Year]]</f>
        <v>14</v>
      </c>
      <c r="K180">
        <v>188925995936.80701</v>
      </c>
      <c r="L180">
        <v>17658.947301119199</v>
      </c>
      <c r="M180">
        <v>-1.2479835558140799</v>
      </c>
      <c r="N180">
        <v>-9.0040436420214593</v>
      </c>
      <c r="O180">
        <v>39.07</v>
      </c>
      <c r="P180">
        <v>849</v>
      </c>
      <c r="Q180">
        <v>140</v>
      </c>
      <c r="R180">
        <v>14.11</v>
      </c>
    </row>
    <row r="181" spans="1:18" x14ac:dyDescent="0.25">
      <c r="A181" s="1" t="s">
        <v>128</v>
      </c>
      <c r="B181" s="2" t="s">
        <v>566</v>
      </c>
      <c r="C181" s="19">
        <v>45</v>
      </c>
      <c r="D181" s="3" t="s">
        <v>496</v>
      </c>
      <c r="E181" s="3" t="s">
        <v>56</v>
      </c>
      <c r="F181" s="23">
        <v>145801</v>
      </c>
      <c r="G181" s="15">
        <v>2008</v>
      </c>
      <c r="H181" s="15">
        <f>Table_7[[#This Row],[Listing Price (USD)]]/10000</f>
        <v>14.5801</v>
      </c>
      <c r="I181" s="28">
        <f>Table_7[[#This Row],[Length 
(ft)]]</f>
        <v>45</v>
      </c>
      <c r="J181" s="28">
        <f>2020-Table_7[[#This Row],[Year]]</f>
        <v>12</v>
      </c>
      <c r="K181">
        <v>14933066818.9606</v>
      </c>
      <c r="L181">
        <v>28977.565567363599</v>
      </c>
      <c r="M181">
        <v>0.63854495677665302</v>
      </c>
      <c r="N181">
        <v>-8.3242832319722009</v>
      </c>
      <c r="O181">
        <v>39.07</v>
      </c>
      <c r="P181">
        <v>849</v>
      </c>
      <c r="Q181">
        <v>140</v>
      </c>
      <c r="R181">
        <v>14.11</v>
      </c>
    </row>
    <row r="182" spans="1:18" x14ac:dyDescent="0.25">
      <c r="A182" s="1" t="s">
        <v>128</v>
      </c>
      <c r="B182" s="2" t="s">
        <v>566</v>
      </c>
      <c r="C182" s="19">
        <v>45</v>
      </c>
      <c r="D182" s="3" t="s">
        <v>496</v>
      </c>
      <c r="E182" s="3" t="s">
        <v>536</v>
      </c>
      <c r="F182" s="23">
        <v>159171</v>
      </c>
      <c r="G182" s="15">
        <v>2007</v>
      </c>
      <c r="H182" s="15">
        <f>Table_7[[#This Row],[Listing Price (USD)]]/10000</f>
        <v>15.9171</v>
      </c>
      <c r="I182" s="28">
        <f>Table_7[[#This Row],[Length 
(ft)]]</f>
        <v>45</v>
      </c>
      <c r="J182" s="28">
        <f>2020-Table_7[[#This Row],[Year]]</f>
        <v>13</v>
      </c>
      <c r="K182">
        <v>355222449505.211</v>
      </c>
      <c r="L182">
        <v>60915.424399546202</v>
      </c>
      <c r="M182">
        <v>0.42071197411002598</v>
      </c>
      <c r="N182">
        <v>-1.99460756850381</v>
      </c>
      <c r="O182">
        <v>39.07</v>
      </c>
      <c r="P182">
        <v>849</v>
      </c>
      <c r="Q182">
        <v>140</v>
      </c>
      <c r="R182">
        <v>14.11</v>
      </c>
    </row>
    <row r="183" spans="1:18" x14ac:dyDescent="0.25">
      <c r="A183" s="1" t="s">
        <v>128</v>
      </c>
      <c r="B183" s="2" t="s">
        <v>566</v>
      </c>
      <c r="C183" s="19">
        <v>45</v>
      </c>
      <c r="D183" s="3" t="s">
        <v>496</v>
      </c>
      <c r="E183" s="3" t="s">
        <v>56</v>
      </c>
      <c r="F183" s="23">
        <v>166413</v>
      </c>
      <c r="G183" s="15">
        <v>2011</v>
      </c>
      <c r="H183" s="15">
        <f>Table_7[[#This Row],[Listing Price (USD)]]/10000</f>
        <v>16.641300000000001</v>
      </c>
      <c r="I183" s="28">
        <f>Table_7[[#This Row],[Length 
(ft)]]</f>
        <v>45</v>
      </c>
      <c r="J183" s="28">
        <f>2020-Table_7[[#This Row],[Year]]</f>
        <v>9</v>
      </c>
      <c r="K183">
        <v>14933066818.9606</v>
      </c>
      <c r="L183">
        <v>28977.565567363599</v>
      </c>
      <c r="M183">
        <v>0.63854495677665302</v>
      </c>
      <c r="N183">
        <v>-8.3242832319722009</v>
      </c>
      <c r="O183">
        <v>39.07</v>
      </c>
      <c r="P183">
        <v>849</v>
      </c>
      <c r="Q183">
        <v>140</v>
      </c>
      <c r="R183">
        <v>14.11</v>
      </c>
    </row>
    <row r="184" spans="1:18" x14ac:dyDescent="0.25">
      <c r="A184" s="1" t="s">
        <v>128</v>
      </c>
      <c r="B184" s="2" t="s">
        <v>566</v>
      </c>
      <c r="C184" s="19">
        <v>45</v>
      </c>
      <c r="D184" s="3" t="s">
        <v>496</v>
      </c>
      <c r="E184" s="3" t="s">
        <v>9</v>
      </c>
      <c r="F184" s="23">
        <v>168886</v>
      </c>
      <c r="G184" s="15">
        <v>2006</v>
      </c>
      <c r="H184" s="15">
        <f>Table_7[[#This Row],[Listing Price (USD)]]/10000</f>
        <v>16.8886</v>
      </c>
      <c r="I184" s="28">
        <f>Table_7[[#This Row],[Length 
(ft)]]</f>
        <v>45</v>
      </c>
      <c r="J184" s="28">
        <f>2020-Table_7[[#This Row],[Year]]</f>
        <v>14</v>
      </c>
      <c r="K184">
        <v>1276962685648.25</v>
      </c>
      <c r="L184">
        <v>26959.675436732599</v>
      </c>
      <c r="M184">
        <v>-0.32275301729970501</v>
      </c>
      <c r="N184">
        <v>-11.3254383222864</v>
      </c>
      <c r="O184">
        <v>39.07</v>
      </c>
      <c r="P184">
        <v>849</v>
      </c>
      <c r="Q184">
        <v>140</v>
      </c>
      <c r="R184">
        <v>14.11</v>
      </c>
    </row>
    <row r="185" spans="1:18" x14ac:dyDescent="0.25">
      <c r="A185" s="1" t="s">
        <v>128</v>
      </c>
      <c r="B185" s="2" t="s">
        <v>566</v>
      </c>
      <c r="C185" s="19">
        <v>45</v>
      </c>
      <c r="D185" s="3" t="s">
        <v>496</v>
      </c>
      <c r="E185" s="3" t="s">
        <v>56</v>
      </c>
      <c r="F185" s="23">
        <v>176131</v>
      </c>
      <c r="G185" s="15">
        <v>2010</v>
      </c>
      <c r="H185" s="15">
        <f>Table_7[[#This Row],[Listing Price (USD)]]/10000</f>
        <v>17.613099999999999</v>
      </c>
      <c r="I185" s="28">
        <f>Table_7[[#This Row],[Length 
(ft)]]</f>
        <v>45</v>
      </c>
      <c r="J185" s="28">
        <f>2020-Table_7[[#This Row],[Year]]</f>
        <v>10</v>
      </c>
      <c r="K185">
        <v>14933066818.9606</v>
      </c>
      <c r="L185">
        <v>28977.565567363599</v>
      </c>
      <c r="M185">
        <v>0.63854495677665302</v>
      </c>
      <c r="N185">
        <v>-8.3242832319722009</v>
      </c>
      <c r="O185">
        <v>39.07</v>
      </c>
      <c r="P185">
        <v>849</v>
      </c>
      <c r="Q185">
        <v>140</v>
      </c>
      <c r="R185">
        <v>14.11</v>
      </c>
    </row>
    <row r="186" spans="1:18" x14ac:dyDescent="0.25">
      <c r="A186" s="1" t="s">
        <v>128</v>
      </c>
      <c r="B186" s="2" t="s">
        <v>566</v>
      </c>
      <c r="C186" s="19">
        <v>45</v>
      </c>
      <c r="D186" s="3" t="s">
        <v>495</v>
      </c>
      <c r="E186" s="3" t="s">
        <v>518</v>
      </c>
      <c r="F186" s="23">
        <v>189000</v>
      </c>
      <c r="G186" s="15">
        <v>2009</v>
      </c>
      <c r="H186" s="15">
        <f>Table_7[[#This Row],[Listing Price (USD)]]/10000</f>
        <v>18.899999999999999</v>
      </c>
      <c r="I186" s="28">
        <f>Table_7[[#This Row],[Length 
(ft)]]</f>
        <v>45</v>
      </c>
      <c r="J186" s="28">
        <f>2020-Table_7[[#This Row],[Year]]</f>
        <v>11</v>
      </c>
      <c r="K186">
        <v>1724759000000</v>
      </c>
      <c r="L186">
        <v>85575.039999999994</v>
      </c>
      <c r="M186">
        <v>1.23</v>
      </c>
      <c r="N186">
        <v>3.8</v>
      </c>
      <c r="O186">
        <v>39.07</v>
      </c>
      <c r="P186">
        <v>849</v>
      </c>
      <c r="Q186">
        <v>140</v>
      </c>
      <c r="R186">
        <v>14.11</v>
      </c>
    </row>
    <row r="187" spans="1:18" x14ac:dyDescent="0.25">
      <c r="A187" s="1" t="s">
        <v>128</v>
      </c>
      <c r="B187" s="2" t="s">
        <v>566</v>
      </c>
      <c r="C187" s="19">
        <v>45</v>
      </c>
      <c r="D187" s="3" t="s">
        <v>496</v>
      </c>
      <c r="E187" s="3" t="s">
        <v>237</v>
      </c>
      <c r="F187" s="23">
        <v>194401</v>
      </c>
      <c r="G187" s="15">
        <v>2011</v>
      </c>
      <c r="H187" s="15">
        <f>Table_7[[#This Row],[Listing Price (USD)]]/10000</f>
        <v>19.440100000000001</v>
      </c>
      <c r="I187" s="28">
        <f>Table_7[[#This Row],[Length 
(ft)]]</f>
        <v>45</v>
      </c>
      <c r="J187" s="28">
        <f>2020-Table_7[[#This Row],[Year]]</f>
        <v>9</v>
      </c>
      <c r="K187">
        <v>229031860520.77701</v>
      </c>
      <c r="L187">
        <v>22242.406417972001</v>
      </c>
      <c r="M187">
        <v>-1.2438329957616699E-2</v>
      </c>
      <c r="N187">
        <v>-8.3005160422115107</v>
      </c>
      <c r="O187">
        <v>39.07</v>
      </c>
      <c r="P187">
        <v>849</v>
      </c>
      <c r="Q187">
        <v>140</v>
      </c>
      <c r="R187">
        <v>14.11</v>
      </c>
    </row>
    <row r="188" spans="1:18" x14ac:dyDescent="0.25">
      <c r="A188" s="1" t="s">
        <v>384</v>
      </c>
      <c r="B188" s="3" t="s">
        <v>134</v>
      </c>
      <c r="C188" s="19">
        <v>45</v>
      </c>
      <c r="D188" s="3" t="s">
        <v>497</v>
      </c>
      <c r="E188" s="3" t="s">
        <v>506</v>
      </c>
      <c r="F188" s="23">
        <v>149950</v>
      </c>
      <c r="G188" s="15">
        <v>2010</v>
      </c>
      <c r="H188" s="15">
        <f>Table_7[[#This Row],[Listing Price (USD)]]/10000</f>
        <v>14.994999999999999</v>
      </c>
      <c r="I188" s="28">
        <f>Table_7[[#This Row],[Length 
(ft)]]</f>
        <v>45</v>
      </c>
      <c r="J188" s="28">
        <f>2020-Table_7[[#This Row],[Year]]</f>
        <v>10</v>
      </c>
      <c r="K188">
        <v>1370281481.4814799</v>
      </c>
      <c r="L188">
        <v>14787.6357752901</v>
      </c>
      <c r="M188">
        <v>0.62598970704669799</v>
      </c>
      <c r="N188">
        <v>-20.1923705722071</v>
      </c>
      <c r="O188">
        <v>39.07</v>
      </c>
      <c r="P188">
        <v>849</v>
      </c>
      <c r="Q188">
        <v>140</v>
      </c>
      <c r="R188">
        <v>14.11</v>
      </c>
    </row>
    <row r="189" spans="1:18" x14ac:dyDescent="0.25">
      <c r="A189" s="1" t="s">
        <v>128</v>
      </c>
      <c r="B189" s="2" t="s">
        <v>134</v>
      </c>
      <c r="C189" s="19">
        <v>45</v>
      </c>
      <c r="D189" s="3" t="s">
        <v>496</v>
      </c>
      <c r="E189" s="3" t="s">
        <v>198</v>
      </c>
      <c r="F189" s="23">
        <v>157889</v>
      </c>
      <c r="G189" s="15">
        <v>2011</v>
      </c>
      <c r="H189" s="15">
        <f>Table_7[[#This Row],[Listing Price (USD)]]/10000</f>
        <v>15.7889</v>
      </c>
      <c r="I189" s="28">
        <f>Table_7[[#This Row],[Length 
(ft)]]</f>
        <v>45</v>
      </c>
      <c r="J189" s="28">
        <f>2020-Table_7[[#This Row],[Year]]</f>
        <v>9</v>
      </c>
      <c r="K189">
        <v>53706800043.684196</v>
      </c>
      <c r="L189">
        <v>25545.241002713599</v>
      </c>
      <c r="M189">
        <v>-5.4856815760606699E-2</v>
      </c>
      <c r="N189">
        <v>-4.3213699045106999</v>
      </c>
      <c r="O189">
        <v>39.07</v>
      </c>
      <c r="P189">
        <v>849</v>
      </c>
      <c r="Q189">
        <v>140</v>
      </c>
      <c r="R189">
        <v>14.11</v>
      </c>
    </row>
    <row r="190" spans="1:18" x14ac:dyDescent="0.25">
      <c r="A190" s="1" t="s">
        <v>128</v>
      </c>
      <c r="B190" s="3" t="s">
        <v>134</v>
      </c>
      <c r="C190" s="19">
        <v>45</v>
      </c>
      <c r="D190" s="3" t="s">
        <v>496</v>
      </c>
      <c r="E190" s="3" t="s">
        <v>3</v>
      </c>
      <c r="F190" s="23">
        <v>178560</v>
      </c>
      <c r="G190" s="15">
        <v>2010</v>
      </c>
      <c r="H190" s="15">
        <f>Table_7[[#This Row],[Listing Price (USD)]]/10000</f>
        <v>17.856000000000002</v>
      </c>
      <c r="I190" s="28">
        <f>Table_7[[#This Row],[Length 
(ft)]]</f>
        <v>45</v>
      </c>
      <c r="J190" s="28">
        <f>2020-Table_7[[#This Row],[Year]]</f>
        <v>10</v>
      </c>
      <c r="K190">
        <v>2639008701648.2598</v>
      </c>
      <c r="L190">
        <v>39055.282928075401</v>
      </c>
      <c r="M190">
        <v>0.47649885272508302</v>
      </c>
      <c r="N190">
        <v>-7.7845864916787102</v>
      </c>
      <c r="O190">
        <v>39.07</v>
      </c>
      <c r="P190">
        <v>849</v>
      </c>
      <c r="Q190">
        <v>140</v>
      </c>
      <c r="R190">
        <v>14.11</v>
      </c>
    </row>
    <row r="191" spans="1:18" x14ac:dyDescent="0.25">
      <c r="A191" s="1" t="s">
        <v>128</v>
      </c>
      <c r="B191" s="3" t="s">
        <v>134</v>
      </c>
      <c r="C191" s="19">
        <v>45</v>
      </c>
      <c r="D191" s="3" t="s">
        <v>497</v>
      </c>
      <c r="E191" s="3" t="s">
        <v>377</v>
      </c>
      <c r="F191" s="23">
        <v>229578</v>
      </c>
      <c r="G191" s="15">
        <v>2011</v>
      </c>
      <c r="H191" s="15">
        <f>Table_7[[#This Row],[Listing Price (USD)]]/10000</f>
        <v>22.957799999999999</v>
      </c>
      <c r="I191" s="28">
        <f>Table_7[[#This Row],[Length 
(ft)]]</f>
        <v>45</v>
      </c>
      <c r="J191" s="28">
        <f>2020-Table_7[[#This Row],[Year]]</f>
        <v>9</v>
      </c>
      <c r="K191">
        <v>930371009830.08838</v>
      </c>
      <c r="L191">
        <v>32045.28833705237</v>
      </c>
      <c r="M191">
        <v>0.810222564232847</v>
      </c>
      <c r="N191">
        <v>-6.18704127562025</v>
      </c>
      <c r="O191">
        <v>39.07</v>
      </c>
      <c r="P191">
        <v>849</v>
      </c>
      <c r="Q191">
        <v>140</v>
      </c>
      <c r="R191">
        <v>14.11</v>
      </c>
    </row>
    <row r="192" spans="1:18" x14ac:dyDescent="0.25">
      <c r="A192" s="1" t="s">
        <v>10</v>
      </c>
      <c r="B192" s="3">
        <v>54</v>
      </c>
      <c r="C192" s="19">
        <v>56</v>
      </c>
      <c r="D192" s="3" t="s">
        <v>497</v>
      </c>
      <c r="E192" s="3" t="s">
        <v>506</v>
      </c>
      <c r="F192" s="23">
        <v>495000</v>
      </c>
      <c r="G192" s="15">
        <v>2006</v>
      </c>
      <c r="H192" s="15">
        <f>Table_7[[#This Row],[Listing Price (USD)]]/10000</f>
        <v>49.5</v>
      </c>
      <c r="I192" s="28">
        <f>Table_7[[#This Row],[Length 
(ft)]]</f>
        <v>56</v>
      </c>
      <c r="J192" s="28">
        <f>2020-Table_7[[#This Row],[Year]]</f>
        <v>14</v>
      </c>
      <c r="K192">
        <v>1370281481.4814799</v>
      </c>
      <c r="L192">
        <v>14787.6357752901</v>
      </c>
      <c r="M192">
        <v>0.62598970704669799</v>
      </c>
      <c r="N192">
        <v>-20.1923705722071</v>
      </c>
      <c r="O192">
        <v>49.7</v>
      </c>
      <c r="P192">
        <v>1515</v>
      </c>
      <c r="Q192">
        <v>137</v>
      </c>
      <c r="R192">
        <v>17.059999999999999</v>
      </c>
    </row>
    <row r="193" spans="1:18" x14ac:dyDescent="0.25">
      <c r="A193" s="1" t="s">
        <v>177</v>
      </c>
      <c r="B193" s="2">
        <v>575</v>
      </c>
      <c r="C193" s="19">
        <v>56</v>
      </c>
      <c r="D193" s="3" t="s">
        <v>496</v>
      </c>
      <c r="E193" s="3" t="s">
        <v>31</v>
      </c>
      <c r="F193" s="23">
        <v>340069</v>
      </c>
      <c r="G193" s="15">
        <v>2013</v>
      </c>
      <c r="H193" s="15">
        <f>Table_7[[#This Row],[Listing Price (USD)]]/10000</f>
        <v>34.006900000000002</v>
      </c>
      <c r="I193" s="28">
        <f>Table_7[[#This Row],[Length 
(ft)]]</f>
        <v>56</v>
      </c>
      <c r="J193" s="28">
        <f>2020-Table_7[[#This Row],[Year]]</f>
        <v>7</v>
      </c>
      <c r="K193">
        <v>57472012426.685303</v>
      </c>
      <c r="L193">
        <v>14198.753959474399</v>
      </c>
      <c r="M193">
        <v>0.15481137456202801</v>
      </c>
      <c r="N193">
        <v>-8.5803430210621805</v>
      </c>
      <c r="O193">
        <v>49.7</v>
      </c>
      <c r="P193">
        <v>1515</v>
      </c>
      <c r="Q193">
        <v>137</v>
      </c>
      <c r="R193">
        <v>17.059999999999999</v>
      </c>
    </row>
    <row r="194" spans="1:18" x14ac:dyDescent="0.25">
      <c r="A194" s="1" t="s">
        <v>177</v>
      </c>
      <c r="B194" s="2">
        <v>575</v>
      </c>
      <c r="C194" s="19">
        <v>56</v>
      </c>
      <c r="D194" s="3" t="s">
        <v>496</v>
      </c>
      <c r="E194" s="3" t="s">
        <v>24</v>
      </c>
      <c r="F194" s="23">
        <v>455449</v>
      </c>
      <c r="G194" s="15">
        <v>2013</v>
      </c>
      <c r="H194" s="15">
        <f>Table_7[[#This Row],[Listing Price (USD)]]/10000</f>
        <v>45.544899999999998</v>
      </c>
      <c r="I194" s="28">
        <f>Table_7[[#This Row],[Length 
(ft)]]</f>
        <v>56</v>
      </c>
      <c r="J194" s="28">
        <f>2020-Table_7[[#This Row],[Year]]</f>
        <v>7</v>
      </c>
      <c r="K194">
        <v>1896755301518.1399</v>
      </c>
      <c r="L194">
        <v>31911.0357890017</v>
      </c>
      <c r="M194">
        <v>-0.13770757391656999</v>
      </c>
      <c r="N194">
        <v>-9.0399534112288507</v>
      </c>
      <c r="O194">
        <v>49.7</v>
      </c>
      <c r="P194">
        <v>1515</v>
      </c>
      <c r="Q194">
        <v>137</v>
      </c>
      <c r="R194">
        <v>17.059999999999999</v>
      </c>
    </row>
    <row r="195" spans="1:18" x14ac:dyDescent="0.25">
      <c r="A195" s="1" t="s">
        <v>177</v>
      </c>
      <c r="B195" s="2">
        <v>575</v>
      </c>
      <c r="C195" s="19">
        <v>56</v>
      </c>
      <c r="D195" s="3" t="s">
        <v>496</v>
      </c>
      <c r="E195" s="3" t="s">
        <v>237</v>
      </c>
      <c r="F195" s="23">
        <v>510103</v>
      </c>
      <c r="G195" s="15">
        <v>2013</v>
      </c>
      <c r="H195" s="15">
        <f>Table_7[[#This Row],[Listing Price (USD)]]/10000</f>
        <v>51.010300000000001</v>
      </c>
      <c r="I195" s="28">
        <f>Table_7[[#This Row],[Length 
(ft)]]</f>
        <v>56</v>
      </c>
      <c r="J195" s="28">
        <f>2020-Table_7[[#This Row],[Year]]</f>
        <v>7</v>
      </c>
      <c r="K195">
        <v>229031860520.77701</v>
      </c>
      <c r="L195">
        <v>22242.406417972001</v>
      </c>
      <c r="M195">
        <v>-1.2438329957616699E-2</v>
      </c>
      <c r="N195">
        <v>-8.3005160422115107</v>
      </c>
      <c r="O195">
        <v>49.7</v>
      </c>
      <c r="P195">
        <v>1515</v>
      </c>
      <c r="Q195">
        <v>137</v>
      </c>
      <c r="R195">
        <v>17.059999999999999</v>
      </c>
    </row>
    <row r="196" spans="1:18" x14ac:dyDescent="0.25">
      <c r="A196" s="1" t="s">
        <v>177</v>
      </c>
      <c r="B196" s="2">
        <v>588</v>
      </c>
      <c r="C196" s="19">
        <v>56</v>
      </c>
      <c r="D196" s="3" t="s">
        <v>496</v>
      </c>
      <c r="E196" s="3" t="s">
        <v>56</v>
      </c>
      <c r="F196" s="23">
        <v>722646</v>
      </c>
      <c r="G196" s="15">
        <v>2017</v>
      </c>
      <c r="H196" s="15">
        <f>Table_7[[#This Row],[Listing Price (USD)]]/10000</f>
        <v>72.264600000000002</v>
      </c>
      <c r="I196" s="28">
        <f>Table_7[[#This Row],[Length 
(ft)]]</f>
        <v>56</v>
      </c>
      <c r="J196" s="28">
        <f>2020-Table_7[[#This Row],[Year]]</f>
        <v>3</v>
      </c>
      <c r="K196">
        <v>14933066818.9606</v>
      </c>
      <c r="L196">
        <v>28977.565567363599</v>
      </c>
      <c r="M196">
        <v>0.63854495677665302</v>
      </c>
      <c r="N196">
        <v>-8.3242832319722009</v>
      </c>
      <c r="O196">
        <v>49.7</v>
      </c>
      <c r="P196">
        <v>1689</v>
      </c>
      <c r="Q196">
        <v>137</v>
      </c>
      <c r="R196">
        <v>17.059999999999999</v>
      </c>
    </row>
    <row r="197" spans="1:18" x14ac:dyDescent="0.25">
      <c r="A197" s="1" t="s">
        <v>117</v>
      </c>
      <c r="B197" s="3" t="s">
        <v>338</v>
      </c>
      <c r="C197" s="19">
        <v>37</v>
      </c>
      <c r="D197" s="3" t="s">
        <v>495</v>
      </c>
      <c r="E197" s="3" t="s">
        <v>518</v>
      </c>
      <c r="F197" s="23">
        <v>234000</v>
      </c>
      <c r="G197" s="15">
        <v>2014</v>
      </c>
      <c r="H197" s="15">
        <f>Table_7[[#This Row],[Listing Price (USD)]]/10000</f>
        <v>23.4</v>
      </c>
      <c r="I197" s="28">
        <f>Table_7[[#This Row],[Length 
(ft)]]</f>
        <v>37</v>
      </c>
      <c r="J197" s="28">
        <f>2020-Table_7[[#This Row],[Year]]</f>
        <v>6</v>
      </c>
      <c r="K197">
        <v>1724759000000</v>
      </c>
      <c r="L197">
        <v>85575.039999999994</v>
      </c>
      <c r="M197">
        <v>1.23</v>
      </c>
      <c r="N197">
        <v>3.8</v>
      </c>
      <c r="O197">
        <v>34.119999999999997</v>
      </c>
      <c r="P197">
        <v>990.28200000000004</v>
      </c>
      <c r="Q197">
        <v>137</v>
      </c>
      <c r="R197">
        <v>22.97</v>
      </c>
    </row>
    <row r="198" spans="1:18" x14ac:dyDescent="0.25">
      <c r="A198" s="1" t="s">
        <v>128</v>
      </c>
      <c r="B198" s="3">
        <v>520</v>
      </c>
      <c r="C198" s="19">
        <v>50</v>
      </c>
      <c r="D198" s="3" t="s">
        <v>497</v>
      </c>
      <c r="E198" s="3" t="s">
        <v>483</v>
      </c>
      <c r="F198" s="23">
        <v>400996</v>
      </c>
      <c r="G198" s="15">
        <v>2018</v>
      </c>
      <c r="H198" s="15">
        <f>Table_7[[#This Row],[Listing Price (USD)]]/10000</f>
        <v>40.099600000000002</v>
      </c>
      <c r="I198" s="28">
        <f>Table_7[[#This Row],[Length 
(ft)]]</f>
        <v>50</v>
      </c>
      <c r="J198" s="28">
        <f>2020-Table_7[[#This Row],[Year]]</f>
        <v>2</v>
      </c>
      <c r="K198">
        <v>4200000000</v>
      </c>
      <c r="L198">
        <v>39553.199999999997</v>
      </c>
      <c r="M198">
        <v>2.5</v>
      </c>
      <c r="N198">
        <v>-2.1</v>
      </c>
      <c r="O198">
        <v>44.85</v>
      </c>
      <c r="P198">
        <v>1084</v>
      </c>
      <c r="Q198">
        <v>132</v>
      </c>
      <c r="R198">
        <v>15.75</v>
      </c>
    </row>
    <row r="199" spans="1:18" x14ac:dyDescent="0.25">
      <c r="A199" s="1" t="s">
        <v>128</v>
      </c>
      <c r="B199" s="3" t="s">
        <v>568</v>
      </c>
      <c r="C199" s="19">
        <v>49</v>
      </c>
      <c r="D199" s="3" t="s">
        <v>496</v>
      </c>
      <c r="E199" s="3" t="s">
        <v>549</v>
      </c>
      <c r="F199" s="23">
        <v>278177</v>
      </c>
      <c r="G199" s="15">
        <v>2015</v>
      </c>
      <c r="H199" s="15">
        <f>Table_7[[#This Row],[Listing Price (USD)]]/10000</f>
        <v>27.817699999999999</v>
      </c>
      <c r="I199" s="28">
        <f>Table_7[[#This Row],[Length 
(ft)]]</f>
        <v>49</v>
      </c>
      <c r="J199" s="28">
        <f>2020-Table_7[[#This Row],[Year]]</f>
        <v>5</v>
      </c>
      <c r="K199">
        <v>362198318435.26001</v>
      </c>
      <c r="L199">
        <v>67329.677791096707</v>
      </c>
      <c r="M199">
        <v>1.28658490707998</v>
      </c>
      <c r="N199">
        <v>-0.71718266924479201</v>
      </c>
      <c r="O199">
        <v>44.85</v>
      </c>
      <c r="P199">
        <v>1084.002</v>
      </c>
      <c r="Q199">
        <v>132</v>
      </c>
      <c r="R199">
        <v>15.75</v>
      </c>
    </row>
    <row r="200" spans="1:18" x14ac:dyDescent="0.25">
      <c r="A200" s="1" t="s">
        <v>128</v>
      </c>
      <c r="B200" s="3" t="s">
        <v>568</v>
      </c>
      <c r="C200" s="19">
        <v>49</v>
      </c>
      <c r="D200" s="3" t="s">
        <v>496</v>
      </c>
      <c r="E200" s="3" t="s">
        <v>24</v>
      </c>
      <c r="F200" s="23">
        <v>286668</v>
      </c>
      <c r="G200" s="15">
        <v>2014</v>
      </c>
      <c r="H200" s="15">
        <f>Table_7[[#This Row],[Listing Price (USD)]]/10000</f>
        <v>28.666799999999999</v>
      </c>
      <c r="I200" s="28">
        <f>Table_7[[#This Row],[Length 
(ft)]]</f>
        <v>49</v>
      </c>
      <c r="J200" s="28">
        <f>2020-Table_7[[#This Row],[Year]]</f>
        <v>6</v>
      </c>
      <c r="K200">
        <v>1896755301518.1399</v>
      </c>
      <c r="L200">
        <v>31911.0357890017</v>
      </c>
      <c r="M200">
        <v>-0.13770757391656999</v>
      </c>
      <c r="N200">
        <v>-9.0399534112288507</v>
      </c>
      <c r="O200">
        <v>44.85</v>
      </c>
      <c r="P200">
        <v>1084.002</v>
      </c>
      <c r="Q200">
        <v>132</v>
      </c>
      <c r="R200">
        <v>15.75</v>
      </c>
    </row>
    <row r="201" spans="1:18" x14ac:dyDescent="0.25">
      <c r="A201" s="1" t="s">
        <v>384</v>
      </c>
      <c r="B201" s="3" t="s">
        <v>568</v>
      </c>
      <c r="C201" s="19">
        <v>49</v>
      </c>
      <c r="D201" s="3" t="s">
        <v>497</v>
      </c>
      <c r="E201" s="3" t="s">
        <v>483</v>
      </c>
      <c r="F201" s="23">
        <v>297709</v>
      </c>
      <c r="G201" s="15">
        <v>2015</v>
      </c>
      <c r="H201" s="15">
        <f>Table_7[[#This Row],[Listing Price (USD)]]/10000</f>
        <v>29.770900000000001</v>
      </c>
      <c r="I201" s="28">
        <f>Table_7[[#This Row],[Length 
(ft)]]</f>
        <v>49</v>
      </c>
      <c r="J201" s="28">
        <f>2020-Table_7[[#This Row],[Year]]</f>
        <v>5</v>
      </c>
      <c r="K201">
        <v>4200000000</v>
      </c>
      <c r="L201">
        <v>39553.199999999997</v>
      </c>
      <c r="M201">
        <v>2.5</v>
      </c>
      <c r="N201">
        <v>-2.1</v>
      </c>
      <c r="O201">
        <v>44.85</v>
      </c>
      <c r="P201">
        <v>1084.002</v>
      </c>
      <c r="Q201">
        <v>132</v>
      </c>
      <c r="R201">
        <v>15.75</v>
      </c>
    </row>
    <row r="202" spans="1:18" x14ac:dyDescent="0.25">
      <c r="A202" s="1" t="s">
        <v>384</v>
      </c>
      <c r="B202" s="3" t="s">
        <v>568</v>
      </c>
      <c r="C202" s="19">
        <v>49</v>
      </c>
      <c r="D202" s="3" t="s">
        <v>497</v>
      </c>
      <c r="E202" s="3" t="s">
        <v>483</v>
      </c>
      <c r="F202" s="23">
        <v>346315</v>
      </c>
      <c r="G202" s="15">
        <v>2013</v>
      </c>
      <c r="H202" s="15">
        <f>Table_7[[#This Row],[Listing Price (USD)]]/10000</f>
        <v>34.631500000000003</v>
      </c>
      <c r="I202" s="28">
        <f>Table_7[[#This Row],[Length 
(ft)]]</f>
        <v>49</v>
      </c>
      <c r="J202" s="28">
        <f>2020-Table_7[[#This Row],[Year]]</f>
        <v>7</v>
      </c>
      <c r="K202">
        <v>4200000000</v>
      </c>
      <c r="L202">
        <v>39553.199999999997</v>
      </c>
      <c r="M202">
        <v>2.5</v>
      </c>
      <c r="N202">
        <v>-2.1</v>
      </c>
      <c r="O202">
        <v>44.85</v>
      </c>
      <c r="P202">
        <v>1084.002</v>
      </c>
      <c r="Q202">
        <v>132</v>
      </c>
      <c r="R202">
        <v>15.75</v>
      </c>
    </row>
    <row r="203" spans="1:18" x14ac:dyDescent="0.25">
      <c r="A203" s="1" t="s">
        <v>128</v>
      </c>
      <c r="B203" s="3" t="s">
        <v>568</v>
      </c>
      <c r="C203" s="19">
        <v>49</v>
      </c>
      <c r="D203" s="3" t="s">
        <v>497</v>
      </c>
      <c r="E203" s="3" t="s">
        <v>483</v>
      </c>
      <c r="F203" s="23">
        <v>358466</v>
      </c>
      <c r="G203" s="15">
        <v>2013</v>
      </c>
      <c r="H203" s="15">
        <f>Table_7[[#This Row],[Listing Price (USD)]]/10000</f>
        <v>35.846600000000002</v>
      </c>
      <c r="I203" s="28">
        <f>Table_7[[#This Row],[Length 
(ft)]]</f>
        <v>49</v>
      </c>
      <c r="J203" s="28">
        <f>2020-Table_7[[#This Row],[Year]]</f>
        <v>7</v>
      </c>
      <c r="K203">
        <v>4200000000</v>
      </c>
      <c r="L203">
        <v>39553.199999999997</v>
      </c>
      <c r="M203">
        <v>2.5</v>
      </c>
      <c r="N203">
        <v>-2.1</v>
      </c>
      <c r="O203">
        <v>44.85</v>
      </c>
      <c r="P203">
        <v>1084.002</v>
      </c>
      <c r="Q203">
        <v>132</v>
      </c>
      <c r="R203">
        <v>15.75</v>
      </c>
    </row>
    <row r="204" spans="1:18" x14ac:dyDescent="0.25">
      <c r="A204" s="1" t="s">
        <v>128</v>
      </c>
      <c r="B204" s="2" t="s">
        <v>138</v>
      </c>
      <c r="C204" s="19">
        <v>50</v>
      </c>
      <c r="D204" s="3" t="s">
        <v>496</v>
      </c>
      <c r="E204" s="3" t="s">
        <v>24</v>
      </c>
      <c r="F204" s="23">
        <v>267233</v>
      </c>
      <c r="G204" s="15">
        <v>2016</v>
      </c>
      <c r="H204" s="15">
        <f>Table_7[[#This Row],[Listing Price (USD)]]/10000</f>
        <v>26.723299999999998</v>
      </c>
      <c r="I204" s="28">
        <f>Table_7[[#This Row],[Length 
(ft)]]</f>
        <v>50</v>
      </c>
      <c r="J204" s="28">
        <f>2020-Table_7[[#This Row],[Year]]</f>
        <v>4</v>
      </c>
      <c r="K204">
        <v>1896755301518.1399</v>
      </c>
      <c r="L204">
        <v>31911.0357890017</v>
      </c>
      <c r="M204">
        <v>-0.13770757391656999</v>
      </c>
      <c r="N204">
        <v>-9.0399534112288507</v>
      </c>
      <c r="O204">
        <v>44.85</v>
      </c>
      <c r="P204">
        <v>1084.002</v>
      </c>
      <c r="Q204">
        <v>132</v>
      </c>
      <c r="R204">
        <v>15.75</v>
      </c>
    </row>
    <row r="205" spans="1:18" x14ac:dyDescent="0.25">
      <c r="A205" s="1" t="s">
        <v>128</v>
      </c>
      <c r="B205" s="2" t="s">
        <v>138</v>
      </c>
      <c r="C205" s="19">
        <v>50</v>
      </c>
      <c r="D205" s="3" t="s">
        <v>496</v>
      </c>
      <c r="E205" s="3" t="s">
        <v>9</v>
      </c>
      <c r="F205" s="23">
        <v>376556</v>
      </c>
      <c r="G205" s="15">
        <v>2016</v>
      </c>
      <c r="H205" s="15">
        <f>Table_7[[#This Row],[Listing Price (USD)]]/10000</f>
        <v>37.6556</v>
      </c>
      <c r="I205" s="28">
        <f>Table_7[[#This Row],[Length 
(ft)]]</f>
        <v>50</v>
      </c>
      <c r="J205" s="28">
        <f>2020-Table_7[[#This Row],[Year]]</f>
        <v>4</v>
      </c>
      <c r="K205">
        <v>1276962685648.25</v>
      </c>
      <c r="L205">
        <v>26959.675436732599</v>
      </c>
      <c r="M205">
        <v>-0.32275301729970501</v>
      </c>
      <c r="N205">
        <v>-11.3254383222864</v>
      </c>
      <c r="O205">
        <v>44.85</v>
      </c>
      <c r="P205">
        <v>1084.002</v>
      </c>
      <c r="Q205">
        <v>132</v>
      </c>
      <c r="R205">
        <v>15.75</v>
      </c>
    </row>
    <row r="206" spans="1:18" x14ac:dyDescent="0.25">
      <c r="A206" s="1" t="s">
        <v>128</v>
      </c>
      <c r="B206" s="2" t="s">
        <v>139</v>
      </c>
      <c r="C206" s="19">
        <v>50</v>
      </c>
      <c r="D206" s="3" t="s">
        <v>496</v>
      </c>
      <c r="E206" s="3" t="s">
        <v>31</v>
      </c>
      <c r="F206" s="23">
        <v>518432</v>
      </c>
      <c r="G206" s="15">
        <v>2017</v>
      </c>
      <c r="H206" s="15">
        <f>Table_7[[#This Row],[Listing Price (USD)]]/10000</f>
        <v>51.843200000000003</v>
      </c>
      <c r="I206" s="28">
        <f>Table_7[[#This Row],[Length 
(ft)]]</f>
        <v>50</v>
      </c>
      <c r="J206" s="28">
        <f>2020-Table_7[[#This Row],[Year]]</f>
        <v>3</v>
      </c>
      <c r="K206">
        <v>57472012426.685303</v>
      </c>
      <c r="L206">
        <v>14198.753959474399</v>
      </c>
      <c r="M206">
        <v>0.15481137456202801</v>
      </c>
      <c r="N206">
        <v>-8.5803430210621805</v>
      </c>
      <c r="O206">
        <v>44.85</v>
      </c>
      <c r="P206">
        <v>1084</v>
      </c>
      <c r="Q206">
        <v>132</v>
      </c>
      <c r="R206">
        <v>15.75</v>
      </c>
    </row>
    <row r="207" spans="1:18" x14ac:dyDescent="0.25">
      <c r="A207" s="1" t="s">
        <v>290</v>
      </c>
      <c r="B207" s="2" t="s">
        <v>291</v>
      </c>
      <c r="C207" s="19">
        <v>50</v>
      </c>
      <c r="D207" s="3" t="s">
        <v>496</v>
      </c>
      <c r="E207" s="3" t="s">
        <v>24</v>
      </c>
      <c r="F207" s="23">
        <v>467658</v>
      </c>
      <c r="G207" s="15">
        <v>2011</v>
      </c>
      <c r="H207" s="15">
        <f>Table_7[[#This Row],[Listing Price (USD)]]/10000</f>
        <v>46.765799999999999</v>
      </c>
      <c r="I207" s="28">
        <f>Table_7[[#This Row],[Length 
(ft)]]</f>
        <v>50</v>
      </c>
      <c r="J207" s="28">
        <f>2020-Table_7[[#This Row],[Year]]</f>
        <v>9</v>
      </c>
      <c r="K207">
        <v>1896755301518.1399</v>
      </c>
      <c r="L207">
        <v>31911.0357890017</v>
      </c>
      <c r="M207">
        <v>-0.13770757391656999</v>
      </c>
      <c r="N207">
        <v>-9.0399534112288507</v>
      </c>
      <c r="O207">
        <v>44.85</v>
      </c>
      <c r="P207">
        <v>1084</v>
      </c>
      <c r="Q207">
        <v>132</v>
      </c>
      <c r="R207">
        <v>15.75</v>
      </c>
    </row>
    <row r="208" spans="1:18" x14ac:dyDescent="0.25">
      <c r="A208" s="1" t="s">
        <v>290</v>
      </c>
      <c r="B208" s="2" t="s">
        <v>291</v>
      </c>
      <c r="C208" s="19">
        <v>50</v>
      </c>
      <c r="D208" s="3" t="s">
        <v>496</v>
      </c>
      <c r="E208" s="3" t="s">
        <v>24</v>
      </c>
      <c r="F208" s="23">
        <v>479805</v>
      </c>
      <c r="G208" s="15">
        <v>2011</v>
      </c>
      <c r="H208" s="15">
        <f>Table_7[[#This Row],[Listing Price (USD)]]/10000</f>
        <v>47.980499999999999</v>
      </c>
      <c r="I208" s="28">
        <f>Table_7[[#This Row],[Length 
(ft)]]</f>
        <v>50</v>
      </c>
      <c r="J208" s="28">
        <f>2020-Table_7[[#This Row],[Year]]</f>
        <v>9</v>
      </c>
      <c r="K208">
        <v>1896755301518.1399</v>
      </c>
      <c r="L208">
        <v>31911.0357890017</v>
      </c>
      <c r="M208">
        <v>-0.13770757391656999</v>
      </c>
      <c r="N208">
        <v>-9.0399534112288507</v>
      </c>
      <c r="O208">
        <v>44.85</v>
      </c>
      <c r="P208">
        <v>1084</v>
      </c>
      <c r="Q208">
        <v>132</v>
      </c>
      <c r="R208">
        <v>15.75</v>
      </c>
    </row>
    <row r="209" spans="1:18" x14ac:dyDescent="0.25">
      <c r="A209" s="1" t="s">
        <v>290</v>
      </c>
      <c r="B209" s="2" t="s">
        <v>292</v>
      </c>
      <c r="C209" s="19">
        <v>50</v>
      </c>
      <c r="D209" s="3" t="s">
        <v>496</v>
      </c>
      <c r="E209" s="3" t="s">
        <v>24</v>
      </c>
      <c r="F209" s="23">
        <v>668083</v>
      </c>
      <c r="G209" s="15">
        <v>2015</v>
      </c>
      <c r="H209" s="15">
        <f>Table_7[[#This Row],[Listing Price (USD)]]/10000</f>
        <v>66.808300000000003</v>
      </c>
      <c r="I209" s="28">
        <f>Table_7[[#This Row],[Length 
(ft)]]</f>
        <v>50</v>
      </c>
      <c r="J209" s="28">
        <f>2020-Table_7[[#This Row],[Year]]</f>
        <v>5</v>
      </c>
      <c r="K209">
        <v>1896755301518.1399</v>
      </c>
      <c r="L209">
        <v>31911.0357890017</v>
      </c>
      <c r="M209">
        <v>-0.13770757391656999</v>
      </c>
      <c r="N209">
        <v>-9.0399534112288507</v>
      </c>
      <c r="O209">
        <v>44.85</v>
      </c>
      <c r="P209">
        <v>1084</v>
      </c>
      <c r="Q209">
        <v>132</v>
      </c>
      <c r="R209">
        <v>15.75</v>
      </c>
    </row>
    <row r="210" spans="1:18" x14ac:dyDescent="0.25">
      <c r="A210" s="1" t="s">
        <v>290</v>
      </c>
      <c r="B210" s="2" t="s">
        <v>293</v>
      </c>
      <c r="C210" s="19">
        <v>50</v>
      </c>
      <c r="D210" s="3" t="s">
        <v>496</v>
      </c>
      <c r="E210" s="3" t="s">
        <v>24</v>
      </c>
      <c r="F210" s="23">
        <v>753112</v>
      </c>
      <c r="G210" s="15">
        <v>2016</v>
      </c>
      <c r="H210" s="15">
        <f>Table_7[[#This Row],[Listing Price (USD)]]/10000</f>
        <v>75.311199999999999</v>
      </c>
      <c r="I210" s="28">
        <f>Table_7[[#This Row],[Length 
(ft)]]</f>
        <v>50</v>
      </c>
      <c r="J210" s="28">
        <f>2020-Table_7[[#This Row],[Year]]</f>
        <v>4</v>
      </c>
      <c r="K210">
        <v>1896755301518.1399</v>
      </c>
      <c r="L210">
        <v>31911.0357890017</v>
      </c>
      <c r="M210">
        <v>-0.13770757391656999</v>
      </c>
      <c r="N210">
        <v>-9.0399534112288507</v>
      </c>
      <c r="O210">
        <v>44.85</v>
      </c>
      <c r="P210">
        <v>1084</v>
      </c>
      <c r="Q210">
        <v>132</v>
      </c>
      <c r="R210">
        <v>15.75</v>
      </c>
    </row>
    <row r="211" spans="1:18" x14ac:dyDescent="0.25">
      <c r="A211" s="1" t="s">
        <v>357</v>
      </c>
      <c r="B211" s="3" t="s">
        <v>360</v>
      </c>
      <c r="C211" s="19">
        <v>54</v>
      </c>
      <c r="D211" s="3" t="s">
        <v>495</v>
      </c>
      <c r="E211" s="3" t="s">
        <v>515</v>
      </c>
      <c r="F211" s="23">
        <v>895000</v>
      </c>
      <c r="G211" s="15">
        <v>2015</v>
      </c>
      <c r="H211" s="15">
        <f>Table_7[[#This Row],[Listing Price (USD)]]/10000</f>
        <v>89.5</v>
      </c>
      <c r="I211" s="28">
        <f>Table_7[[#This Row],[Length 
(ft)]]</f>
        <v>54</v>
      </c>
      <c r="J211" s="28">
        <f>2020-Table_7[[#This Row],[Year]]</f>
        <v>5</v>
      </c>
      <c r="K211">
        <v>410675000000</v>
      </c>
      <c r="L211">
        <v>66531.03</v>
      </c>
      <c r="M211">
        <v>1.23</v>
      </c>
      <c r="N211">
        <v>1.8</v>
      </c>
      <c r="O211">
        <v>50.5</v>
      </c>
      <c r="P211">
        <v>1350.002</v>
      </c>
      <c r="Q211">
        <v>130</v>
      </c>
      <c r="R211">
        <v>15.5</v>
      </c>
    </row>
    <row r="212" spans="1:18" x14ac:dyDescent="0.25">
      <c r="A212" s="1" t="s">
        <v>261</v>
      </c>
      <c r="B212" s="2" t="s">
        <v>263</v>
      </c>
      <c r="C212" s="19">
        <v>52</v>
      </c>
      <c r="D212" s="3" t="s">
        <v>496</v>
      </c>
      <c r="E212" s="3" t="s">
        <v>31</v>
      </c>
      <c r="F212" s="23">
        <v>91102</v>
      </c>
      <c r="G212" s="15">
        <v>2008</v>
      </c>
      <c r="H212" s="15">
        <f>Table_7[[#This Row],[Listing Price (USD)]]/10000</f>
        <v>9.1102000000000007</v>
      </c>
      <c r="I212" s="28">
        <f>Table_7[[#This Row],[Length 
(ft)]]</f>
        <v>52</v>
      </c>
      <c r="J212" s="28">
        <f>2020-Table_7[[#This Row],[Year]]</f>
        <v>12</v>
      </c>
      <c r="K212">
        <v>57472012426.685303</v>
      </c>
      <c r="L212">
        <v>14198.753959474399</v>
      </c>
      <c r="M212">
        <v>0.15481137456202801</v>
      </c>
      <c r="N212">
        <v>-8.5803430210621805</v>
      </c>
      <c r="O212">
        <v>51.35</v>
      </c>
      <c r="P212">
        <v>1367.0219999999999</v>
      </c>
      <c r="Q212">
        <v>127</v>
      </c>
      <c r="R212">
        <v>15.09</v>
      </c>
    </row>
    <row r="213" spans="1:18" x14ac:dyDescent="0.25">
      <c r="A213" s="1" t="s">
        <v>261</v>
      </c>
      <c r="B213" s="2" t="s">
        <v>263</v>
      </c>
      <c r="C213" s="19">
        <v>52</v>
      </c>
      <c r="D213" s="3" t="s">
        <v>496</v>
      </c>
      <c r="E213" s="3" t="s">
        <v>31</v>
      </c>
      <c r="F213" s="23">
        <v>91102</v>
      </c>
      <c r="G213" s="15">
        <v>2007</v>
      </c>
      <c r="H213" s="15">
        <f>Table_7[[#This Row],[Listing Price (USD)]]/10000</f>
        <v>9.1102000000000007</v>
      </c>
      <c r="I213" s="28">
        <f>Table_7[[#This Row],[Length 
(ft)]]</f>
        <v>52</v>
      </c>
      <c r="J213" s="28">
        <f>2020-Table_7[[#This Row],[Year]]</f>
        <v>13</v>
      </c>
      <c r="K213">
        <v>57472012426.685303</v>
      </c>
      <c r="L213">
        <v>14198.753959474399</v>
      </c>
      <c r="M213">
        <v>0.15481137456202801</v>
      </c>
      <c r="N213">
        <v>-8.5803430210621805</v>
      </c>
      <c r="O213">
        <v>51.35</v>
      </c>
      <c r="P213">
        <v>1367.0219999999999</v>
      </c>
      <c r="Q213">
        <v>127</v>
      </c>
      <c r="R213">
        <v>15.09</v>
      </c>
    </row>
    <row r="214" spans="1:18" x14ac:dyDescent="0.25">
      <c r="A214" s="1" t="s">
        <v>261</v>
      </c>
      <c r="B214" s="2" t="s">
        <v>263</v>
      </c>
      <c r="C214" s="19">
        <v>52</v>
      </c>
      <c r="D214" s="3" t="s">
        <v>496</v>
      </c>
      <c r="E214" s="3" t="s">
        <v>18</v>
      </c>
      <c r="F214" s="23">
        <v>115396</v>
      </c>
      <c r="G214" s="15">
        <v>2007</v>
      </c>
      <c r="H214" s="15">
        <f>Table_7[[#This Row],[Listing Price (USD)]]/10000</f>
        <v>11.5396</v>
      </c>
      <c r="I214" s="28">
        <f>Table_7[[#This Row],[Length 
(ft)]]</f>
        <v>52</v>
      </c>
      <c r="J214" s="28">
        <f>2020-Table_7[[#This Row],[Year]]</f>
        <v>13</v>
      </c>
      <c r="K214">
        <v>188925995936.80701</v>
      </c>
      <c r="L214">
        <v>17658.947301119199</v>
      </c>
      <c r="M214">
        <v>-1.2479835558140799</v>
      </c>
      <c r="N214">
        <v>-9.0040436420214593</v>
      </c>
      <c r="O214">
        <v>51.35</v>
      </c>
      <c r="P214">
        <v>1367.0219999999999</v>
      </c>
      <c r="Q214">
        <v>127</v>
      </c>
      <c r="R214">
        <v>15.09</v>
      </c>
    </row>
    <row r="215" spans="1:18" x14ac:dyDescent="0.25">
      <c r="A215" s="1" t="s">
        <v>239</v>
      </c>
      <c r="B215" s="2" t="s">
        <v>240</v>
      </c>
      <c r="C215" s="19">
        <v>40</v>
      </c>
      <c r="D215" s="3" t="s">
        <v>496</v>
      </c>
      <c r="E215" s="3" t="s">
        <v>124</v>
      </c>
      <c r="F215" s="23">
        <v>344449</v>
      </c>
      <c r="G215" s="15">
        <v>2009</v>
      </c>
      <c r="H215" s="15">
        <f>Table_7[[#This Row],[Listing Price (USD)]]/10000</f>
        <v>34.444899999999997</v>
      </c>
      <c r="I215" s="28">
        <f>Table_7[[#This Row],[Length 
(ft)]]</f>
        <v>40</v>
      </c>
      <c r="J215" s="28">
        <f>2020-Table_7[[#This Row],[Year]]</f>
        <v>11</v>
      </c>
      <c r="K215">
        <v>547054174235.87598</v>
      </c>
      <c r="L215">
        <v>52837.903977814902</v>
      </c>
      <c r="M215">
        <v>0.497367318853562</v>
      </c>
      <c r="N215">
        <v>-2.1702131788587198</v>
      </c>
      <c r="O215">
        <v>30</v>
      </c>
      <c r="P215">
        <v>572.00199999999995</v>
      </c>
      <c r="Q215">
        <v>125</v>
      </c>
      <c r="R215">
        <v>12.92</v>
      </c>
    </row>
    <row r="216" spans="1:18" x14ac:dyDescent="0.25">
      <c r="A216" s="1" t="s">
        <v>239</v>
      </c>
      <c r="B216" s="2" t="s">
        <v>241</v>
      </c>
      <c r="C216" s="19">
        <v>40</v>
      </c>
      <c r="D216" s="3" t="s">
        <v>496</v>
      </c>
      <c r="E216" s="3" t="s">
        <v>24</v>
      </c>
      <c r="F216" s="23">
        <v>425144</v>
      </c>
      <c r="G216" s="15">
        <v>2007</v>
      </c>
      <c r="H216" s="15">
        <f>Table_7[[#This Row],[Listing Price (USD)]]/10000</f>
        <v>42.514400000000002</v>
      </c>
      <c r="I216" s="28">
        <f>Table_7[[#This Row],[Length 
(ft)]]</f>
        <v>40</v>
      </c>
      <c r="J216" s="28">
        <f>2020-Table_7[[#This Row],[Year]]</f>
        <v>13</v>
      </c>
      <c r="K216">
        <v>1896755301518.1399</v>
      </c>
      <c r="L216">
        <v>31911.0357890017</v>
      </c>
      <c r="M216">
        <v>-0.13770757391656999</v>
      </c>
      <c r="N216">
        <v>-9.0399534112288507</v>
      </c>
      <c r="O216">
        <v>30</v>
      </c>
      <c r="P216">
        <v>572.00199999999995</v>
      </c>
      <c r="Q216">
        <v>125</v>
      </c>
      <c r="R216">
        <v>12.92</v>
      </c>
    </row>
    <row r="217" spans="1:18" x14ac:dyDescent="0.25">
      <c r="A217" s="1" t="s">
        <v>143</v>
      </c>
      <c r="B217" s="2" t="s">
        <v>150</v>
      </c>
      <c r="C217" s="19">
        <v>39</v>
      </c>
      <c r="D217" s="3" t="s">
        <v>496</v>
      </c>
      <c r="E217" s="3" t="s">
        <v>24</v>
      </c>
      <c r="F217" s="23">
        <v>206551</v>
      </c>
      <c r="G217" s="15">
        <v>2017</v>
      </c>
      <c r="H217" s="15">
        <f>Table_7[[#This Row],[Listing Price (USD)]]/10000</f>
        <v>20.655100000000001</v>
      </c>
      <c r="I217" s="28">
        <f>Table_7[[#This Row],[Length 
(ft)]]</f>
        <v>39</v>
      </c>
      <c r="J217" s="28">
        <f>2020-Table_7[[#This Row],[Year]]</f>
        <v>3</v>
      </c>
      <c r="K217">
        <v>1896755301518.1399</v>
      </c>
      <c r="L217">
        <v>31911.0357890017</v>
      </c>
      <c r="M217">
        <v>-0.13770757391656999</v>
      </c>
      <c r="N217">
        <v>-9.0399534112288507</v>
      </c>
      <c r="O217">
        <v>30</v>
      </c>
      <c r="P217">
        <v>572.00199999999995</v>
      </c>
      <c r="Q217">
        <v>125</v>
      </c>
      <c r="R217">
        <v>12.92</v>
      </c>
    </row>
    <row r="218" spans="1:18" x14ac:dyDescent="0.25">
      <c r="A218" s="1" t="s">
        <v>128</v>
      </c>
      <c r="B218" s="2" t="s">
        <v>129</v>
      </c>
      <c r="C218" s="19">
        <v>40</v>
      </c>
      <c r="D218" s="3" t="s">
        <v>496</v>
      </c>
      <c r="E218" s="3" t="s">
        <v>24</v>
      </c>
      <c r="F218" s="23">
        <v>95985</v>
      </c>
      <c r="G218" s="15">
        <v>2007</v>
      </c>
      <c r="H218" s="15">
        <f>Table_7[[#This Row],[Listing Price (USD)]]/10000</f>
        <v>9.5984999999999996</v>
      </c>
      <c r="I218" s="28">
        <f>Table_7[[#This Row],[Length 
(ft)]]</f>
        <v>40</v>
      </c>
      <c r="J218" s="28">
        <f>2020-Table_7[[#This Row],[Year]]</f>
        <v>13</v>
      </c>
      <c r="K218">
        <v>1896755301518.1399</v>
      </c>
      <c r="L218">
        <v>31911.0357890017</v>
      </c>
      <c r="M218">
        <v>-0.13770757391656999</v>
      </c>
      <c r="N218">
        <v>-9.0399534112288507</v>
      </c>
      <c r="O218">
        <v>30</v>
      </c>
      <c r="P218">
        <v>572.00199999999995</v>
      </c>
      <c r="Q218">
        <v>125</v>
      </c>
      <c r="R218">
        <v>12.92</v>
      </c>
    </row>
    <row r="219" spans="1:18" x14ac:dyDescent="0.25">
      <c r="A219" s="1" t="s">
        <v>128</v>
      </c>
      <c r="B219" s="2" t="s">
        <v>129</v>
      </c>
      <c r="C219" s="19">
        <v>40</v>
      </c>
      <c r="D219" s="3" t="s">
        <v>496</v>
      </c>
      <c r="E219" s="3" t="s">
        <v>9</v>
      </c>
      <c r="F219" s="23">
        <v>108108</v>
      </c>
      <c r="G219" s="15">
        <v>2006</v>
      </c>
      <c r="H219" s="15">
        <f>Table_7[[#This Row],[Listing Price (USD)]]/10000</f>
        <v>10.8108</v>
      </c>
      <c r="I219" s="28">
        <f>Table_7[[#This Row],[Length 
(ft)]]</f>
        <v>40</v>
      </c>
      <c r="J219" s="28">
        <f>2020-Table_7[[#This Row],[Year]]</f>
        <v>14</v>
      </c>
      <c r="K219">
        <v>1276962685648.25</v>
      </c>
      <c r="L219">
        <v>26959.675436732599</v>
      </c>
      <c r="M219">
        <v>-0.32275301729970501</v>
      </c>
      <c r="N219">
        <v>-11.3254383222864</v>
      </c>
      <c r="O219">
        <v>30</v>
      </c>
      <c r="P219">
        <v>572.00199999999995</v>
      </c>
      <c r="Q219">
        <v>125</v>
      </c>
      <c r="R219">
        <v>12.92</v>
      </c>
    </row>
    <row r="220" spans="1:18" x14ac:dyDescent="0.25">
      <c r="A220" s="1" t="s">
        <v>128</v>
      </c>
      <c r="B220" s="2" t="s">
        <v>129</v>
      </c>
      <c r="C220" s="19">
        <v>40</v>
      </c>
      <c r="D220" s="3" t="s">
        <v>496</v>
      </c>
      <c r="E220" s="3" t="s">
        <v>18</v>
      </c>
      <c r="F220" s="23">
        <v>119024</v>
      </c>
      <c r="G220" s="15">
        <v>2009</v>
      </c>
      <c r="H220" s="15">
        <f>Table_7[[#This Row],[Listing Price (USD)]]/10000</f>
        <v>11.9024</v>
      </c>
      <c r="I220" s="28">
        <f>Table_7[[#This Row],[Length 
(ft)]]</f>
        <v>40</v>
      </c>
      <c r="J220" s="28">
        <f>2020-Table_7[[#This Row],[Year]]</f>
        <v>11</v>
      </c>
      <c r="K220">
        <v>188925995936.80701</v>
      </c>
      <c r="L220">
        <v>17658.947301119199</v>
      </c>
      <c r="M220">
        <v>-1.2479835558140799</v>
      </c>
      <c r="N220">
        <v>-9.0040436420214593</v>
      </c>
      <c r="O220">
        <v>30</v>
      </c>
      <c r="P220">
        <v>572.00199999999995</v>
      </c>
      <c r="Q220">
        <v>125</v>
      </c>
      <c r="R220">
        <v>12.92</v>
      </c>
    </row>
    <row r="221" spans="1:18" x14ac:dyDescent="0.25">
      <c r="A221" s="1" t="s">
        <v>128</v>
      </c>
      <c r="B221" s="2" t="s">
        <v>129</v>
      </c>
      <c r="C221" s="19">
        <v>40</v>
      </c>
      <c r="D221" s="3" t="s">
        <v>496</v>
      </c>
      <c r="E221" s="3" t="s">
        <v>237</v>
      </c>
      <c r="F221" s="23">
        <v>133598</v>
      </c>
      <c r="G221" s="15">
        <v>2007</v>
      </c>
      <c r="H221" s="15">
        <f>Table_7[[#This Row],[Listing Price (USD)]]/10000</f>
        <v>13.3598</v>
      </c>
      <c r="I221" s="28">
        <f>Table_7[[#This Row],[Length 
(ft)]]</f>
        <v>40</v>
      </c>
      <c r="J221" s="28">
        <f>2020-Table_7[[#This Row],[Year]]</f>
        <v>13</v>
      </c>
      <c r="K221">
        <v>229031860520.77701</v>
      </c>
      <c r="L221">
        <v>22242.406417972001</v>
      </c>
      <c r="M221">
        <v>-1.2438329957616699E-2</v>
      </c>
      <c r="N221">
        <v>-8.3005160422115107</v>
      </c>
      <c r="O221">
        <v>30</v>
      </c>
      <c r="P221">
        <v>572.00199999999995</v>
      </c>
      <c r="Q221">
        <v>125</v>
      </c>
      <c r="R221">
        <v>12.92</v>
      </c>
    </row>
    <row r="222" spans="1:18" x14ac:dyDescent="0.25">
      <c r="A222" s="1" t="s">
        <v>45</v>
      </c>
      <c r="B222" s="3" t="s">
        <v>92</v>
      </c>
      <c r="C222" s="19">
        <v>54</v>
      </c>
      <c r="D222" s="3" t="s">
        <v>497</v>
      </c>
      <c r="E222" s="3" t="s">
        <v>377</v>
      </c>
      <c r="F222" s="23">
        <v>182000</v>
      </c>
      <c r="G222" s="15">
        <v>2009</v>
      </c>
      <c r="H222" s="15">
        <f>Table_7[[#This Row],[Listing Price (USD)]]/10000</f>
        <v>18.2</v>
      </c>
      <c r="I222" s="28">
        <f>Table_7[[#This Row],[Length 
(ft)]]</f>
        <v>54</v>
      </c>
      <c r="J222" s="28">
        <f>2020-Table_7[[#This Row],[Year]]</f>
        <v>11</v>
      </c>
      <c r="K222">
        <v>930371009830.08838</v>
      </c>
      <c r="L222">
        <v>32045.28833705237</v>
      </c>
      <c r="M222">
        <v>0.810222564232847</v>
      </c>
      <c r="N222">
        <v>-6.18704127562025</v>
      </c>
      <c r="O222">
        <v>49.17</v>
      </c>
      <c r="P222">
        <v>1329.002</v>
      </c>
      <c r="Q222">
        <v>125</v>
      </c>
      <c r="R222">
        <v>16.079999999999998</v>
      </c>
    </row>
    <row r="223" spans="1:18" x14ac:dyDescent="0.25">
      <c r="A223" s="1" t="s">
        <v>45</v>
      </c>
      <c r="B223" s="3" t="s">
        <v>92</v>
      </c>
      <c r="C223" s="19">
        <v>54</v>
      </c>
      <c r="D223" s="3" t="s">
        <v>497</v>
      </c>
      <c r="E223" s="3" t="s">
        <v>377</v>
      </c>
      <c r="F223" s="23">
        <v>188347</v>
      </c>
      <c r="G223" s="15">
        <v>2009</v>
      </c>
      <c r="H223" s="15">
        <f>Table_7[[#This Row],[Listing Price (USD)]]/10000</f>
        <v>18.834700000000002</v>
      </c>
      <c r="I223" s="28">
        <f>Table_7[[#This Row],[Length 
(ft)]]</f>
        <v>54</v>
      </c>
      <c r="J223" s="28">
        <f>2020-Table_7[[#This Row],[Year]]</f>
        <v>11</v>
      </c>
      <c r="K223">
        <v>930371009830.08838</v>
      </c>
      <c r="L223">
        <v>32045.28833705237</v>
      </c>
      <c r="M223">
        <v>0.810222564232847</v>
      </c>
      <c r="N223">
        <v>-6.18704127562025</v>
      </c>
      <c r="O223">
        <v>49.17</v>
      </c>
      <c r="P223">
        <v>1329.002</v>
      </c>
      <c r="Q223">
        <v>125</v>
      </c>
      <c r="R223">
        <v>16.079999999999998</v>
      </c>
    </row>
    <row r="224" spans="1:18" x14ac:dyDescent="0.25">
      <c r="A224" s="1" t="s">
        <v>45</v>
      </c>
      <c r="B224" s="2" t="s">
        <v>92</v>
      </c>
      <c r="C224" s="19">
        <v>54</v>
      </c>
      <c r="D224" s="3" t="s">
        <v>496</v>
      </c>
      <c r="E224" s="3" t="s">
        <v>18</v>
      </c>
      <c r="F224" s="23">
        <v>206470</v>
      </c>
      <c r="G224" s="15">
        <v>2009</v>
      </c>
      <c r="H224" s="15">
        <f>Table_7[[#This Row],[Listing Price (USD)]]/10000</f>
        <v>20.646999999999998</v>
      </c>
      <c r="I224" s="28">
        <f>Table_7[[#This Row],[Length 
(ft)]]</f>
        <v>54</v>
      </c>
      <c r="J224" s="28">
        <f>2020-Table_7[[#This Row],[Year]]</f>
        <v>11</v>
      </c>
      <c r="K224">
        <v>188925995936.80701</v>
      </c>
      <c r="L224">
        <v>17658.947301119199</v>
      </c>
      <c r="M224">
        <v>-1.2479835558140799</v>
      </c>
      <c r="N224">
        <v>-9.0040436420214593</v>
      </c>
      <c r="O224">
        <v>49.17</v>
      </c>
      <c r="P224">
        <v>1329.002</v>
      </c>
      <c r="Q224">
        <v>125</v>
      </c>
      <c r="R224">
        <v>16.079999999999998</v>
      </c>
    </row>
    <row r="225" spans="1:18" x14ac:dyDescent="0.25">
      <c r="A225" s="1" t="s">
        <v>45</v>
      </c>
      <c r="B225" s="2" t="s">
        <v>92</v>
      </c>
      <c r="C225" s="19">
        <v>54</v>
      </c>
      <c r="D225" s="3" t="s">
        <v>496</v>
      </c>
      <c r="E225" s="3" t="s">
        <v>31</v>
      </c>
      <c r="F225" s="23">
        <v>212543</v>
      </c>
      <c r="G225" s="15">
        <v>2009</v>
      </c>
      <c r="H225" s="15">
        <f>Table_7[[#This Row],[Listing Price (USD)]]/10000</f>
        <v>21.254300000000001</v>
      </c>
      <c r="I225" s="28">
        <f>Table_7[[#This Row],[Length 
(ft)]]</f>
        <v>54</v>
      </c>
      <c r="J225" s="28">
        <f>2020-Table_7[[#This Row],[Year]]</f>
        <v>11</v>
      </c>
      <c r="K225">
        <v>57472012426.685303</v>
      </c>
      <c r="L225">
        <v>14198.753959474399</v>
      </c>
      <c r="M225">
        <v>0.15481137456202801</v>
      </c>
      <c r="N225">
        <v>-8.5803430210621805</v>
      </c>
      <c r="O225">
        <v>49.17</v>
      </c>
      <c r="P225">
        <v>1329.002</v>
      </c>
      <c r="Q225">
        <v>125</v>
      </c>
      <c r="R225">
        <v>16.079999999999998</v>
      </c>
    </row>
    <row r="226" spans="1:18" x14ac:dyDescent="0.25">
      <c r="A226" s="1" t="s">
        <v>45</v>
      </c>
      <c r="B226" s="2" t="s">
        <v>92</v>
      </c>
      <c r="C226" s="19">
        <v>54</v>
      </c>
      <c r="D226" s="3" t="s">
        <v>496</v>
      </c>
      <c r="E226" s="3" t="s">
        <v>31</v>
      </c>
      <c r="F226" s="23">
        <v>212572</v>
      </c>
      <c r="G226" s="15">
        <v>2009</v>
      </c>
      <c r="H226" s="15">
        <f>Table_7[[#This Row],[Listing Price (USD)]]/10000</f>
        <v>21.257200000000001</v>
      </c>
      <c r="I226" s="28">
        <f>Table_7[[#This Row],[Length 
(ft)]]</f>
        <v>54</v>
      </c>
      <c r="J226" s="28">
        <f>2020-Table_7[[#This Row],[Year]]</f>
        <v>11</v>
      </c>
      <c r="K226">
        <v>57472012426.685303</v>
      </c>
      <c r="L226">
        <v>14198.753959474399</v>
      </c>
      <c r="M226">
        <v>0.15481137456202801</v>
      </c>
      <c r="N226">
        <v>-8.5803430210621805</v>
      </c>
      <c r="O226">
        <v>49.17</v>
      </c>
      <c r="P226">
        <v>1329.002</v>
      </c>
      <c r="Q226">
        <v>125</v>
      </c>
      <c r="R226">
        <v>16.079999999999998</v>
      </c>
    </row>
    <row r="227" spans="1:18" x14ac:dyDescent="0.25">
      <c r="A227" s="1" t="s">
        <v>45</v>
      </c>
      <c r="B227" s="3" t="s">
        <v>92</v>
      </c>
      <c r="C227" s="19">
        <v>54</v>
      </c>
      <c r="D227" s="3" t="s">
        <v>497</v>
      </c>
      <c r="E227" s="3" t="s">
        <v>370</v>
      </c>
      <c r="F227" s="23">
        <v>215000</v>
      </c>
      <c r="G227" s="15">
        <v>2012</v>
      </c>
      <c r="H227" s="15">
        <f>Table_7[[#This Row],[Listing Price (USD)]]/10000</f>
        <v>21.5</v>
      </c>
      <c r="I227" s="28">
        <f>Table_7[[#This Row],[Length 
(ft)]]</f>
        <v>54</v>
      </c>
      <c r="J227" s="28">
        <f>2020-Table_7[[#This Row],[Year]]</f>
        <v>8</v>
      </c>
      <c r="K227">
        <v>500000000</v>
      </c>
      <c r="L227">
        <v>34200</v>
      </c>
      <c r="M227">
        <v>1.1000000000000001</v>
      </c>
      <c r="N227">
        <v>2</v>
      </c>
      <c r="O227">
        <v>49.17</v>
      </c>
      <c r="P227">
        <v>1329.002</v>
      </c>
      <c r="Q227">
        <v>125</v>
      </c>
      <c r="R227">
        <v>16.079999999999998</v>
      </c>
    </row>
    <row r="228" spans="1:18" x14ac:dyDescent="0.25">
      <c r="A228" s="1" t="s">
        <v>45</v>
      </c>
      <c r="B228" s="2" t="s">
        <v>92</v>
      </c>
      <c r="C228" s="19">
        <v>54</v>
      </c>
      <c r="D228" s="3" t="s">
        <v>496</v>
      </c>
      <c r="E228" s="3" t="s">
        <v>31</v>
      </c>
      <c r="F228" s="23">
        <v>218533</v>
      </c>
      <c r="G228" s="15">
        <v>2009</v>
      </c>
      <c r="H228" s="15">
        <f>Table_7[[#This Row],[Listing Price (USD)]]/10000</f>
        <v>21.853300000000001</v>
      </c>
      <c r="I228" s="28">
        <f>Table_7[[#This Row],[Length 
(ft)]]</f>
        <v>54</v>
      </c>
      <c r="J228" s="28">
        <f>2020-Table_7[[#This Row],[Year]]</f>
        <v>11</v>
      </c>
      <c r="K228">
        <v>57472012426.685303</v>
      </c>
      <c r="L228">
        <v>14198.753959474399</v>
      </c>
      <c r="M228">
        <v>0.15481137456202801</v>
      </c>
      <c r="N228">
        <v>-8.5803430210621805</v>
      </c>
      <c r="O228">
        <v>49.17</v>
      </c>
      <c r="P228">
        <v>1329.002</v>
      </c>
      <c r="Q228">
        <v>125</v>
      </c>
      <c r="R228">
        <v>16.079999999999998</v>
      </c>
    </row>
    <row r="229" spans="1:18" x14ac:dyDescent="0.25">
      <c r="A229" s="1" t="s">
        <v>45</v>
      </c>
      <c r="B229" s="2" t="s">
        <v>92</v>
      </c>
      <c r="C229" s="19">
        <v>54</v>
      </c>
      <c r="D229" s="3" t="s">
        <v>496</v>
      </c>
      <c r="E229" s="3" t="s">
        <v>18</v>
      </c>
      <c r="F229" s="23">
        <v>224688</v>
      </c>
      <c r="G229" s="15">
        <v>2009</v>
      </c>
      <c r="H229" s="15">
        <f>Table_7[[#This Row],[Listing Price (USD)]]/10000</f>
        <v>22.468800000000002</v>
      </c>
      <c r="I229" s="28">
        <f>Table_7[[#This Row],[Length 
(ft)]]</f>
        <v>54</v>
      </c>
      <c r="J229" s="28">
        <f>2020-Table_7[[#This Row],[Year]]</f>
        <v>11</v>
      </c>
      <c r="K229">
        <v>188925995936.80701</v>
      </c>
      <c r="L229">
        <v>17658.947301119199</v>
      </c>
      <c r="M229">
        <v>-1.2479835558140799</v>
      </c>
      <c r="N229">
        <v>-9.0040436420214593</v>
      </c>
      <c r="O229">
        <v>49.17</v>
      </c>
      <c r="P229">
        <v>1329.002</v>
      </c>
      <c r="Q229">
        <v>125</v>
      </c>
      <c r="R229">
        <v>16.079999999999998</v>
      </c>
    </row>
    <row r="230" spans="1:18" x14ac:dyDescent="0.25">
      <c r="A230" s="1" t="s">
        <v>45</v>
      </c>
      <c r="B230" s="2" t="s">
        <v>92</v>
      </c>
      <c r="C230" s="19">
        <v>54</v>
      </c>
      <c r="D230" s="3" t="s">
        <v>496</v>
      </c>
      <c r="E230" s="3" t="s">
        <v>18</v>
      </c>
      <c r="F230" s="23">
        <v>224719</v>
      </c>
      <c r="G230" s="15">
        <v>2012</v>
      </c>
      <c r="H230" s="15">
        <f>Table_7[[#This Row],[Listing Price (USD)]]/10000</f>
        <v>22.471900000000002</v>
      </c>
      <c r="I230" s="28">
        <f>Table_7[[#This Row],[Length 
(ft)]]</f>
        <v>54</v>
      </c>
      <c r="J230" s="28">
        <f>2020-Table_7[[#This Row],[Year]]</f>
        <v>8</v>
      </c>
      <c r="K230">
        <v>188925995936.80701</v>
      </c>
      <c r="L230">
        <v>17658.947301119199</v>
      </c>
      <c r="M230">
        <v>-1.2479835558140799</v>
      </c>
      <c r="N230">
        <v>-9.0040436420214593</v>
      </c>
      <c r="O230">
        <v>49.17</v>
      </c>
      <c r="P230">
        <v>1329.002</v>
      </c>
      <c r="Q230">
        <v>125</v>
      </c>
      <c r="R230">
        <v>16.079999999999998</v>
      </c>
    </row>
    <row r="231" spans="1:18" x14ac:dyDescent="0.25">
      <c r="A231" s="1" t="s">
        <v>45</v>
      </c>
      <c r="B231" s="2" t="s">
        <v>92</v>
      </c>
      <c r="C231" s="19">
        <v>54</v>
      </c>
      <c r="D231" s="3" t="s">
        <v>496</v>
      </c>
      <c r="E231" s="3" t="s">
        <v>31</v>
      </c>
      <c r="F231" s="23">
        <v>227117</v>
      </c>
      <c r="G231" s="15">
        <v>2009</v>
      </c>
      <c r="H231" s="15">
        <f>Table_7[[#This Row],[Listing Price (USD)]]/10000</f>
        <v>22.7117</v>
      </c>
      <c r="I231" s="28">
        <f>Table_7[[#This Row],[Length 
(ft)]]</f>
        <v>54</v>
      </c>
      <c r="J231" s="28">
        <f>2020-Table_7[[#This Row],[Year]]</f>
        <v>11</v>
      </c>
      <c r="K231">
        <v>57472012426.685303</v>
      </c>
      <c r="L231">
        <v>14198.753959474399</v>
      </c>
      <c r="M231">
        <v>0.15481137456202801</v>
      </c>
      <c r="N231">
        <v>-8.5803430210621805</v>
      </c>
      <c r="O231">
        <v>49.17</v>
      </c>
      <c r="P231">
        <v>1329.002</v>
      </c>
      <c r="Q231">
        <v>125</v>
      </c>
      <c r="R231">
        <v>16.079999999999998</v>
      </c>
    </row>
    <row r="232" spans="1:18" x14ac:dyDescent="0.25">
      <c r="A232" s="1" t="s">
        <v>45</v>
      </c>
      <c r="B232" s="3" t="s">
        <v>92</v>
      </c>
      <c r="C232" s="19">
        <v>54</v>
      </c>
      <c r="D232" s="3" t="s">
        <v>497</v>
      </c>
      <c r="E232" s="3" t="s">
        <v>392</v>
      </c>
      <c r="F232" s="23">
        <v>239900</v>
      </c>
      <c r="G232" s="15">
        <v>2009</v>
      </c>
      <c r="H232" s="15">
        <f>Table_7[[#This Row],[Listing Price (USD)]]/10000</f>
        <v>23.99</v>
      </c>
      <c r="I232" s="28">
        <f>Table_7[[#This Row],[Length 
(ft)]]</f>
        <v>54</v>
      </c>
      <c r="J232" s="28">
        <f>2020-Table_7[[#This Row],[Year]]</f>
        <v>11</v>
      </c>
      <c r="K232">
        <v>1043414814.81481</v>
      </c>
      <c r="L232">
        <v>8437.5667322870595</v>
      </c>
      <c r="M232">
        <v>-0.74073259704550098</v>
      </c>
      <c r="N232">
        <v>-13.7559294530644</v>
      </c>
      <c r="O232">
        <v>49.17</v>
      </c>
      <c r="P232">
        <v>1329.002</v>
      </c>
      <c r="Q232">
        <v>125</v>
      </c>
      <c r="R232">
        <v>16.079999999999998</v>
      </c>
    </row>
    <row r="233" spans="1:18" x14ac:dyDescent="0.25">
      <c r="A233" s="1" t="s">
        <v>45</v>
      </c>
      <c r="B233" s="2" t="s">
        <v>92</v>
      </c>
      <c r="C233" s="19">
        <v>54</v>
      </c>
      <c r="D233" s="3" t="s">
        <v>496</v>
      </c>
      <c r="E233" s="3" t="s">
        <v>31</v>
      </c>
      <c r="F233" s="23">
        <v>240510</v>
      </c>
      <c r="G233" s="15">
        <v>2009</v>
      </c>
      <c r="H233" s="15">
        <f>Table_7[[#This Row],[Listing Price (USD)]]/10000</f>
        <v>24.050999999999998</v>
      </c>
      <c r="I233" s="28">
        <f>Table_7[[#This Row],[Length 
(ft)]]</f>
        <v>54</v>
      </c>
      <c r="J233" s="28">
        <f>2020-Table_7[[#This Row],[Year]]</f>
        <v>11</v>
      </c>
      <c r="K233">
        <v>57472012426.685303</v>
      </c>
      <c r="L233">
        <v>14198.753959474399</v>
      </c>
      <c r="M233">
        <v>0.15481137456202801</v>
      </c>
      <c r="N233">
        <v>-8.5803430210621805</v>
      </c>
      <c r="O233">
        <v>49.17</v>
      </c>
      <c r="P233">
        <v>1329.002</v>
      </c>
      <c r="Q233">
        <v>125</v>
      </c>
      <c r="R233">
        <v>16.079999999999998</v>
      </c>
    </row>
    <row r="234" spans="1:18" x14ac:dyDescent="0.25">
      <c r="A234" s="1" t="s">
        <v>45</v>
      </c>
      <c r="B234" s="2" t="s">
        <v>92</v>
      </c>
      <c r="C234" s="19">
        <v>54</v>
      </c>
      <c r="D234" s="3" t="s">
        <v>496</v>
      </c>
      <c r="E234" s="3" t="s">
        <v>31</v>
      </c>
      <c r="F234" s="23">
        <v>240520</v>
      </c>
      <c r="G234" s="15">
        <v>2009</v>
      </c>
      <c r="H234" s="15">
        <f>Table_7[[#This Row],[Listing Price (USD)]]/10000</f>
        <v>24.052</v>
      </c>
      <c r="I234" s="28">
        <f>Table_7[[#This Row],[Length 
(ft)]]</f>
        <v>54</v>
      </c>
      <c r="J234" s="28">
        <f>2020-Table_7[[#This Row],[Year]]</f>
        <v>11</v>
      </c>
      <c r="K234">
        <v>57472012426.685303</v>
      </c>
      <c r="L234">
        <v>14198.753959474399</v>
      </c>
      <c r="M234">
        <v>0.15481137456202801</v>
      </c>
      <c r="N234">
        <v>-8.5803430210621805</v>
      </c>
      <c r="O234">
        <v>49.17</v>
      </c>
      <c r="P234">
        <v>1329.002</v>
      </c>
      <c r="Q234">
        <v>125</v>
      </c>
      <c r="R234">
        <v>16.079999999999998</v>
      </c>
    </row>
    <row r="235" spans="1:18" x14ac:dyDescent="0.25">
      <c r="A235" s="1" t="s">
        <v>45</v>
      </c>
      <c r="B235" s="2" t="s">
        <v>92</v>
      </c>
      <c r="C235" s="19">
        <v>54</v>
      </c>
      <c r="D235" s="3" t="s">
        <v>496</v>
      </c>
      <c r="E235" s="3" t="s">
        <v>18</v>
      </c>
      <c r="F235" s="23">
        <v>241725</v>
      </c>
      <c r="G235" s="15">
        <v>2012</v>
      </c>
      <c r="H235" s="15">
        <f>Table_7[[#This Row],[Listing Price (USD)]]/10000</f>
        <v>24.172499999999999</v>
      </c>
      <c r="I235" s="28">
        <f>Table_7[[#This Row],[Length 
(ft)]]</f>
        <v>54</v>
      </c>
      <c r="J235" s="28">
        <f>2020-Table_7[[#This Row],[Year]]</f>
        <v>8</v>
      </c>
      <c r="K235">
        <v>188925995936.80701</v>
      </c>
      <c r="L235">
        <v>17658.947301119199</v>
      </c>
      <c r="M235">
        <v>-1.2479835558140799</v>
      </c>
      <c r="N235">
        <v>-9.0040436420214593</v>
      </c>
      <c r="O235">
        <v>49.17</v>
      </c>
      <c r="P235">
        <v>1329.002</v>
      </c>
      <c r="Q235">
        <v>125</v>
      </c>
      <c r="R235">
        <v>16.079999999999998</v>
      </c>
    </row>
    <row r="236" spans="1:18" x14ac:dyDescent="0.25">
      <c r="A236" s="1" t="s">
        <v>45</v>
      </c>
      <c r="B236" s="2" t="s">
        <v>92</v>
      </c>
      <c r="C236" s="19">
        <v>54</v>
      </c>
      <c r="D236" s="3" t="s">
        <v>496</v>
      </c>
      <c r="E236" s="3" t="s">
        <v>63</v>
      </c>
      <c r="F236" s="23">
        <v>242906</v>
      </c>
      <c r="G236" s="15">
        <v>2009</v>
      </c>
      <c r="H236" s="15">
        <f>Table_7[[#This Row],[Listing Price (USD)]]/10000</f>
        <v>24.290600000000001</v>
      </c>
      <c r="I236" s="28">
        <f>Table_7[[#This Row],[Length 
(ft)]]</f>
        <v>54</v>
      </c>
      <c r="J236" s="28">
        <f>2020-Table_7[[#This Row],[Year]]</f>
        <v>11</v>
      </c>
      <c r="K236">
        <v>720290000011</v>
      </c>
      <c r="L236">
        <v>13341.6</v>
      </c>
      <c r="M236">
        <v>13</v>
      </c>
      <c r="N236">
        <v>-3</v>
      </c>
      <c r="O236">
        <v>49.17</v>
      </c>
      <c r="P236">
        <v>1329.002</v>
      </c>
      <c r="Q236">
        <v>125</v>
      </c>
      <c r="R236">
        <v>16.079999999999998</v>
      </c>
    </row>
    <row r="237" spans="1:18" x14ac:dyDescent="0.25">
      <c r="A237" s="1" t="s">
        <v>45</v>
      </c>
      <c r="B237" s="2" t="s">
        <v>92</v>
      </c>
      <c r="C237" s="19">
        <v>54</v>
      </c>
      <c r="D237" s="3" t="s">
        <v>496</v>
      </c>
      <c r="E237" s="3" t="s">
        <v>31</v>
      </c>
      <c r="F237" s="23">
        <v>253837</v>
      </c>
      <c r="G237" s="15">
        <v>2009</v>
      </c>
      <c r="H237" s="15">
        <f>Table_7[[#This Row],[Listing Price (USD)]]/10000</f>
        <v>25.383700000000001</v>
      </c>
      <c r="I237" s="28">
        <f>Table_7[[#This Row],[Length 
(ft)]]</f>
        <v>54</v>
      </c>
      <c r="J237" s="28">
        <f>2020-Table_7[[#This Row],[Year]]</f>
        <v>11</v>
      </c>
      <c r="K237">
        <v>57472012426.685303</v>
      </c>
      <c r="L237">
        <v>14198.753959474399</v>
      </c>
      <c r="M237">
        <v>0.15481137456202801</v>
      </c>
      <c r="N237">
        <v>-8.5803430210621805</v>
      </c>
      <c r="O237">
        <v>49.17</v>
      </c>
      <c r="P237">
        <v>1329.002</v>
      </c>
      <c r="Q237">
        <v>125</v>
      </c>
      <c r="R237">
        <v>16.079999999999998</v>
      </c>
    </row>
    <row r="238" spans="1:18" x14ac:dyDescent="0.25">
      <c r="A238" s="1" t="s">
        <v>45</v>
      </c>
      <c r="B238" s="2" t="s">
        <v>92</v>
      </c>
      <c r="C238" s="19">
        <v>54</v>
      </c>
      <c r="D238" s="3" t="s">
        <v>496</v>
      </c>
      <c r="E238" s="3" t="s">
        <v>56</v>
      </c>
      <c r="F238" s="23">
        <v>267197</v>
      </c>
      <c r="G238" s="15">
        <v>2011</v>
      </c>
      <c r="H238" s="15">
        <f>Table_7[[#This Row],[Listing Price (USD)]]/10000</f>
        <v>26.7197</v>
      </c>
      <c r="I238" s="28">
        <f>Table_7[[#This Row],[Length 
(ft)]]</f>
        <v>54</v>
      </c>
      <c r="J238" s="28">
        <f>2020-Table_7[[#This Row],[Year]]</f>
        <v>9</v>
      </c>
      <c r="K238">
        <v>14933066818.9606</v>
      </c>
      <c r="L238">
        <v>28977.565567363599</v>
      </c>
      <c r="M238">
        <v>0.63854495677665302</v>
      </c>
      <c r="N238">
        <v>-8.3242832319722009</v>
      </c>
      <c r="O238">
        <v>49.17</v>
      </c>
      <c r="P238">
        <v>1329.002</v>
      </c>
      <c r="Q238">
        <v>125</v>
      </c>
      <c r="R238">
        <v>16.079999999999998</v>
      </c>
    </row>
    <row r="239" spans="1:18" x14ac:dyDescent="0.25">
      <c r="A239" s="1" t="s">
        <v>45</v>
      </c>
      <c r="B239" s="2" t="s">
        <v>92</v>
      </c>
      <c r="C239" s="19">
        <v>54</v>
      </c>
      <c r="D239" s="3" t="s">
        <v>496</v>
      </c>
      <c r="E239" s="3" t="s">
        <v>3</v>
      </c>
      <c r="F239" s="23">
        <v>279380</v>
      </c>
      <c r="G239" s="15">
        <v>2009</v>
      </c>
      <c r="H239" s="15">
        <f>Table_7[[#This Row],[Listing Price (USD)]]/10000</f>
        <v>27.937999999999999</v>
      </c>
      <c r="I239" s="28">
        <f>Table_7[[#This Row],[Length 
(ft)]]</f>
        <v>54</v>
      </c>
      <c r="J239" s="28">
        <f>2020-Table_7[[#This Row],[Year]]</f>
        <v>11</v>
      </c>
      <c r="K239">
        <v>2639008701648.2598</v>
      </c>
      <c r="L239">
        <v>39055.282928075401</v>
      </c>
      <c r="M239">
        <v>0.47649885272508302</v>
      </c>
      <c r="N239">
        <v>-7.7845864916787102</v>
      </c>
      <c r="O239">
        <v>49.17</v>
      </c>
      <c r="P239">
        <v>1329.002</v>
      </c>
      <c r="Q239">
        <v>125</v>
      </c>
      <c r="R239">
        <v>16.079999999999998</v>
      </c>
    </row>
    <row r="240" spans="1:18" x14ac:dyDescent="0.25">
      <c r="A240" s="1" t="s">
        <v>45</v>
      </c>
      <c r="B240" s="2" t="s">
        <v>92</v>
      </c>
      <c r="C240" s="19">
        <v>54</v>
      </c>
      <c r="D240" s="3" t="s">
        <v>496</v>
      </c>
      <c r="E240" s="3" t="s">
        <v>63</v>
      </c>
      <c r="F240" s="23">
        <v>309098</v>
      </c>
      <c r="G240" s="15">
        <v>2013</v>
      </c>
      <c r="H240" s="15">
        <f>Table_7[[#This Row],[Listing Price (USD)]]/10000</f>
        <v>30.909800000000001</v>
      </c>
      <c r="I240" s="28">
        <f>Table_7[[#This Row],[Length 
(ft)]]</f>
        <v>54</v>
      </c>
      <c r="J240" s="28">
        <f>2020-Table_7[[#This Row],[Year]]</f>
        <v>7</v>
      </c>
      <c r="K240">
        <v>720290000008</v>
      </c>
      <c r="L240">
        <v>13341.6</v>
      </c>
      <c r="M240">
        <v>13</v>
      </c>
      <c r="N240">
        <v>-3</v>
      </c>
      <c r="O240">
        <v>49.17</v>
      </c>
      <c r="P240">
        <v>1329.002</v>
      </c>
      <c r="Q240">
        <v>125</v>
      </c>
      <c r="R240">
        <v>16.079999999999998</v>
      </c>
    </row>
    <row r="241" spans="1:18" x14ac:dyDescent="0.25">
      <c r="A241" s="1" t="s">
        <v>45</v>
      </c>
      <c r="B241" s="2" t="s">
        <v>92</v>
      </c>
      <c r="C241" s="19">
        <v>54</v>
      </c>
      <c r="D241" s="3" t="s">
        <v>496</v>
      </c>
      <c r="E241" s="3" t="s">
        <v>31</v>
      </c>
      <c r="F241" s="23">
        <v>340115</v>
      </c>
      <c r="G241" s="15">
        <v>2010</v>
      </c>
      <c r="H241" s="15">
        <f>Table_7[[#This Row],[Listing Price (USD)]]/10000</f>
        <v>34.011499999999998</v>
      </c>
      <c r="I241" s="28">
        <f>Table_7[[#This Row],[Length 
(ft)]]</f>
        <v>54</v>
      </c>
      <c r="J241" s="28">
        <f>2020-Table_7[[#This Row],[Year]]</f>
        <v>10</v>
      </c>
      <c r="K241">
        <v>57472012426.685303</v>
      </c>
      <c r="L241">
        <v>14198.753959474399</v>
      </c>
      <c r="M241">
        <v>0.15481137456202801</v>
      </c>
      <c r="N241">
        <v>-8.5803430210621805</v>
      </c>
      <c r="O241">
        <v>49.17</v>
      </c>
      <c r="P241">
        <v>1329.002</v>
      </c>
      <c r="Q241">
        <v>125</v>
      </c>
      <c r="R241">
        <v>16.079999999999998</v>
      </c>
    </row>
    <row r="242" spans="1:18" x14ac:dyDescent="0.25">
      <c r="A242" s="1" t="s">
        <v>45</v>
      </c>
      <c r="B242" s="3" t="s">
        <v>92</v>
      </c>
      <c r="C242" s="19">
        <v>54</v>
      </c>
      <c r="D242" s="3" t="s">
        <v>495</v>
      </c>
      <c r="E242" s="3" t="s">
        <v>526</v>
      </c>
      <c r="F242" s="23">
        <v>479805</v>
      </c>
      <c r="G242" s="15">
        <v>2013</v>
      </c>
      <c r="H242" s="15">
        <f>Table_7[[#This Row],[Listing Price (USD)]]/10000</f>
        <v>47.980499999999999</v>
      </c>
      <c r="I242" s="28">
        <f>Table_7[[#This Row],[Length 
(ft)]]</f>
        <v>54</v>
      </c>
      <c r="J242" s="28">
        <f>2020-Table_7[[#This Row],[Year]]</f>
        <v>7</v>
      </c>
      <c r="K242">
        <v>4200000000</v>
      </c>
      <c r="L242">
        <v>39553.199999999997</v>
      </c>
      <c r="M242">
        <v>1.23</v>
      </c>
      <c r="N242">
        <v>-2.1</v>
      </c>
      <c r="O242">
        <v>49.17</v>
      </c>
      <c r="P242">
        <v>1329.002</v>
      </c>
      <c r="Q242">
        <v>125</v>
      </c>
      <c r="R242">
        <v>16.079999999999998</v>
      </c>
    </row>
    <row r="243" spans="1:18" x14ac:dyDescent="0.25">
      <c r="A243" s="1" t="s">
        <v>45</v>
      </c>
      <c r="B243" s="2" t="s">
        <v>91</v>
      </c>
      <c r="C243" s="19">
        <v>54</v>
      </c>
      <c r="D243" s="3" t="s">
        <v>496</v>
      </c>
      <c r="E243" s="3" t="s">
        <v>31</v>
      </c>
      <c r="F243" s="23">
        <v>206255</v>
      </c>
      <c r="G243" s="15">
        <v>2009</v>
      </c>
      <c r="H243" s="15">
        <f>Table_7[[#This Row],[Listing Price (USD)]]/10000</f>
        <v>20.625499999999999</v>
      </c>
      <c r="I243" s="28">
        <f>Table_7[[#This Row],[Length 
(ft)]]</f>
        <v>54</v>
      </c>
      <c r="J243" s="28">
        <f>2020-Table_7[[#This Row],[Year]]</f>
        <v>11</v>
      </c>
      <c r="K243">
        <v>57472012426.685303</v>
      </c>
      <c r="L243">
        <v>14198.753959474399</v>
      </c>
      <c r="M243">
        <v>0.15481137456202801</v>
      </c>
      <c r="N243">
        <v>-8.5803430210621805</v>
      </c>
      <c r="O243">
        <v>49.17</v>
      </c>
      <c r="P243">
        <v>1329.002</v>
      </c>
      <c r="Q243">
        <v>125</v>
      </c>
      <c r="R243">
        <v>16.079999999999998</v>
      </c>
    </row>
    <row r="244" spans="1:18" x14ac:dyDescent="0.25">
      <c r="A244" s="1" t="s">
        <v>45</v>
      </c>
      <c r="B244" s="3" t="s">
        <v>47</v>
      </c>
      <c r="C244" s="19">
        <v>38</v>
      </c>
      <c r="D244" s="3" t="s">
        <v>497</v>
      </c>
      <c r="E244" s="3" t="s">
        <v>370</v>
      </c>
      <c r="F244" s="23">
        <v>115000</v>
      </c>
      <c r="G244" s="15">
        <v>2016</v>
      </c>
      <c r="H244" s="15">
        <f>Table_7[[#This Row],[Listing Price (USD)]]/10000</f>
        <v>11.5</v>
      </c>
      <c r="I244" s="28">
        <f>Table_7[[#This Row],[Length 
(ft)]]</f>
        <v>38</v>
      </c>
      <c r="J244" s="28">
        <f>2020-Table_7[[#This Row],[Year]]</f>
        <v>4</v>
      </c>
      <c r="K244">
        <v>500000000</v>
      </c>
      <c r="L244">
        <v>34200</v>
      </c>
      <c r="M244">
        <v>1.1000000000000001</v>
      </c>
      <c r="N244">
        <v>2</v>
      </c>
      <c r="O244">
        <v>31.42</v>
      </c>
      <c r="P244">
        <v>701.00199999999995</v>
      </c>
      <c r="Q244">
        <v>120</v>
      </c>
      <c r="R244">
        <v>11.92</v>
      </c>
    </row>
    <row r="245" spans="1:18" x14ac:dyDescent="0.25">
      <c r="A245" s="1" t="s">
        <v>45</v>
      </c>
      <c r="B245" s="3" t="s">
        <v>47</v>
      </c>
      <c r="C245" s="19">
        <v>38</v>
      </c>
      <c r="D245" s="3" t="s">
        <v>497</v>
      </c>
      <c r="E245" s="3" t="s">
        <v>370</v>
      </c>
      <c r="F245" s="23">
        <v>119000</v>
      </c>
      <c r="G245" s="15">
        <v>2016</v>
      </c>
      <c r="H245" s="15">
        <f>Table_7[[#This Row],[Listing Price (USD)]]/10000</f>
        <v>11.9</v>
      </c>
      <c r="I245" s="28">
        <f>Table_7[[#This Row],[Length 
(ft)]]</f>
        <v>38</v>
      </c>
      <c r="J245" s="28">
        <f>2020-Table_7[[#This Row],[Year]]</f>
        <v>4</v>
      </c>
      <c r="K245">
        <v>500000000</v>
      </c>
      <c r="L245">
        <v>34200</v>
      </c>
      <c r="M245">
        <v>1.1000000000000001</v>
      </c>
      <c r="N245">
        <v>2</v>
      </c>
      <c r="O245">
        <v>31.42</v>
      </c>
      <c r="P245">
        <v>701.00199999999995</v>
      </c>
      <c r="Q245">
        <v>120</v>
      </c>
      <c r="R245">
        <v>11.92</v>
      </c>
    </row>
    <row r="246" spans="1:18" x14ac:dyDescent="0.25">
      <c r="A246" s="1" t="s">
        <v>45</v>
      </c>
      <c r="B246" s="3" t="s">
        <v>47</v>
      </c>
      <c r="C246" s="19">
        <v>38</v>
      </c>
      <c r="D246" s="3" t="s">
        <v>497</v>
      </c>
      <c r="E246" s="3" t="s">
        <v>370</v>
      </c>
      <c r="F246" s="23">
        <v>139000</v>
      </c>
      <c r="G246" s="15">
        <v>2017</v>
      </c>
      <c r="H246" s="15">
        <f>Table_7[[#This Row],[Listing Price (USD)]]/10000</f>
        <v>13.9</v>
      </c>
      <c r="I246" s="28">
        <f>Table_7[[#This Row],[Length 
(ft)]]</f>
        <v>38</v>
      </c>
      <c r="J246" s="28">
        <f>2020-Table_7[[#This Row],[Year]]</f>
        <v>3</v>
      </c>
      <c r="K246">
        <v>500000000</v>
      </c>
      <c r="L246">
        <v>34200</v>
      </c>
      <c r="M246">
        <v>1.1000000000000001</v>
      </c>
      <c r="N246">
        <v>2</v>
      </c>
      <c r="O246">
        <v>31.42</v>
      </c>
      <c r="P246">
        <v>701.00199999999995</v>
      </c>
      <c r="Q246">
        <v>120</v>
      </c>
      <c r="R246">
        <v>11.92</v>
      </c>
    </row>
    <row r="247" spans="1:18" x14ac:dyDescent="0.25">
      <c r="A247" s="1" t="s">
        <v>45</v>
      </c>
      <c r="B247" s="2" t="s">
        <v>47</v>
      </c>
      <c r="C247" s="19">
        <v>38</v>
      </c>
      <c r="D247" s="3" t="s">
        <v>496</v>
      </c>
      <c r="E247" s="3" t="s">
        <v>24</v>
      </c>
      <c r="F247" s="23">
        <v>145801</v>
      </c>
      <c r="G247" s="15">
        <v>2015</v>
      </c>
      <c r="H247" s="15">
        <f>Table_7[[#This Row],[Listing Price (USD)]]/10000</f>
        <v>14.5801</v>
      </c>
      <c r="I247" s="28">
        <f>Table_7[[#This Row],[Length 
(ft)]]</f>
        <v>38</v>
      </c>
      <c r="J247" s="28">
        <f>2020-Table_7[[#This Row],[Year]]</f>
        <v>5</v>
      </c>
      <c r="K247">
        <v>1896755301518.1399</v>
      </c>
      <c r="L247">
        <v>31911.0357890017</v>
      </c>
      <c r="M247">
        <v>-0.13770757391656999</v>
      </c>
      <c r="N247">
        <v>-9.0399534112288507</v>
      </c>
      <c r="O247">
        <v>31.42</v>
      </c>
      <c r="P247">
        <v>701.00199999999995</v>
      </c>
      <c r="Q247">
        <v>120</v>
      </c>
      <c r="R247">
        <v>11.92</v>
      </c>
    </row>
    <row r="248" spans="1:18" x14ac:dyDescent="0.25">
      <c r="A248" s="1" t="s">
        <v>45</v>
      </c>
      <c r="B248" s="3" t="s">
        <v>47</v>
      </c>
      <c r="C248" s="19">
        <v>38</v>
      </c>
      <c r="D248" s="3" t="s">
        <v>497</v>
      </c>
      <c r="E248" s="3" t="s">
        <v>370</v>
      </c>
      <c r="F248" s="23">
        <v>159000</v>
      </c>
      <c r="G248" s="15">
        <v>2017</v>
      </c>
      <c r="H248" s="15">
        <f>Table_7[[#This Row],[Listing Price (USD)]]/10000</f>
        <v>15.9</v>
      </c>
      <c r="I248" s="28">
        <f>Table_7[[#This Row],[Length 
(ft)]]</f>
        <v>38</v>
      </c>
      <c r="J248" s="28">
        <f>2020-Table_7[[#This Row],[Year]]</f>
        <v>3</v>
      </c>
      <c r="K248">
        <v>500000000</v>
      </c>
      <c r="L248">
        <v>34200</v>
      </c>
      <c r="M248">
        <v>1.1000000000000001</v>
      </c>
      <c r="N248">
        <v>2</v>
      </c>
      <c r="O248">
        <v>31.42</v>
      </c>
      <c r="P248">
        <v>701.00199999999995</v>
      </c>
      <c r="Q248">
        <v>120</v>
      </c>
      <c r="R248">
        <v>11.92</v>
      </c>
    </row>
    <row r="249" spans="1:18" x14ac:dyDescent="0.25">
      <c r="A249" s="1" t="s">
        <v>45</v>
      </c>
      <c r="B249" s="3" t="s">
        <v>47</v>
      </c>
      <c r="C249" s="19">
        <v>38</v>
      </c>
      <c r="D249" s="3" t="s">
        <v>497</v>
      </c>
      <c r="E249" s="3" t="s">
        <v>511</v>
      </c>
      <c r="F249" s="23">
        <v>179000</v>
      </c>
      <c r="G249" s="15">
        <v>2018</v>
      </c>
      <c r="H249" s="15">
        <f>Table_7[[#This Row],[Listing Price (USD)]]/10000</f>
        <v>17.899999999999999</v>
      </c>
      <c r="I249" s="28">
        <f>Table_7[[#This Row],[Length 
(ft)]]</f>
        <v>38</v>
      </c>
      <c r="J249" s="28">
        <f>2020-Table_7[[#This Row],[Year]]</f>
        <v>2</v>
      </c>
      <c r="K249">
        <v>2080000000</v>
      </c>
      <c r="L249">
        <v>5266.8761600421303</v>
      </c>
      <c r="M249">
        <v>0.12143464461495999</v>
      </c>
      <c r="N249">
        <v>-13.4029590948651</v>
      </c>
      <c r="O249">
        <v>31.42</v>
      </c>
      <c r="P249">
        <v>701.00199999999995</v>
      </c>
      <c r="Q249">
        <v>120</v>
      </c>
      <c r="R249">
        <v>11.92</v>
      </c>
    </row>
    <row r="250" spans="1:18" x14ac:dyDescent="0.25">
      <c r="A250" s="1" t="s">
        <v>45</v>
      </c>
      <c r="B250" s="3" t="s">
        <v>47</v>
      </c>
      <c r="C250" s="19">
        <v>37</v>
      </c>
      <c r="D250" s="3" t="s">
        <v>495</v>
      </c>
      <c r="E250" s="3" t="s">
        <v>550</v>
      </c>
      <c r="F250" s="23">
        <v>179000</v>
      </c>
      <c r="G250" s="15">
        <v>2014</v>
      </c>
      <c r="H250" s="15">
        <f>Table_7[[#This Row],[Listing Price (USD)]]/10000</f>
        <v>17.899999999999999</v>
      </c>
      <c r="I250" s="28">
        <f>Table_7[[#This Row],[Length 
(ft)]]</f>
        <v>37</v>
      </c>
      <c r="J250" s="28">
        <f>2020-Table_7[[#This Row],[Year]]</f>
        <v>6</v>
      </c>
      <c r="K250">
        <v>677561000000</v>
      </c>
      <c r="L250">
        <v>57466.28</v>
      </c>
      <c r="M250">
        <v>1.23</v>
      </c>
      <c r="N250">
        <v>3.5</v>
      </c>
      <c r="O250">
        <v>31.42</v>
      </c>
      <c r="P250">
        <v>701.00199999999995</v>
      </c>
      <c r="Q250">
        <v>120</v>
      </c>
      <c r="R250">
        <v>11.92</v>
      </c>
    </row>
    <row r="251" spans="1:18" x14ac:dyDescent="0.25">
      <c r="A251" s="1" t="s">
        <v>45</v>
      </c>
      <c r="B251" s="3" t="s">
        <v>47</v>
      </c>
      <c r="C251" s="19">
        <v>38</v>
      </c>
      <c r="D251" s="3" t="s">
        <v>495</v>
      </c>
      <c r="E251" s="3" t="s">
        <v>518</v>
      </c>
      <c r="F251" s="23">
        <v>187302</v>
      </c>
      <c r="G251" s="15">
        <v>2014</v>
      </c>
      <c r="H251" s="15">
        <f>Table_7[[#This Row],[Listing Price (USD)]]/10000</f>
        <v>18.7302</v>
      </c>
      <c r="I251" s="28">
        <f>Table_7[[#This Row],[Length 
(ft)]]</f>
        <v>38</v>
      </c>
      <c r="J251" s="28">
        <f>2020-Table_7[[#This Row],[Year]]</f>
        <v>6</v>
      </c>
      <c r="K251">
        <v>1724759000000</v>
      </c>
      <c r="L251">
        <v>85575.039999999994</v>
      </c>
      <c r="M251">
        <v>1.23</v>
      </c>
      <c r="N251">
        <v>3.8</v>
      </c>
      <c r="O251">
        <v>31.42</v>
      </c>
      <c r="P251">
        <v>701.00199999999995</v>
      </c>
      <c r="Q251">
        <v>120</v>
      </c>
      <c r="R251">
        <v>11.92</v>
      </c>
    </row>
    <row r="252" spans="1:18" x14ac:dyDescent="0.25">
      <c r="A252" s="1" t="s">
        <v>45</v>
      </c>
      <c r="B252" s="3" t="s">
        <v>47</v>
      </c>
      <c r="C252" s="19">
        <v>38</v>
      </c>
      <c r="D252" s="3" t="s">
        <v>495</v>
      </c>
      <c r="E252" s="3" t="s">
        <v>500</v>
      </c>
      <c r="F252" s="23">
        <v>189900</v>
      </c>
      <c r="G252" s="15">
        <v>2015</v>
      </c>
      <c r="H252" s="15">
        <f>Table_7[[#This Row],[Listing Price (USD)]]/10000</f>
        <v>18.989999999999998</v>
      </c>
      <c r="I252" s="28">
        <f>Table_7[[#This Row],[Length 
(ft)]]</f>
        <v>38</v>
      </c>
      <c r="J252" s="28">
        <f>2020-Table_7[[#This Row],[Year]]</f>
        <v>5</v>
      </c>
      <c r="K252">
        <v>3007188000000</v>
      </c>
      <c r="L252">
        <v>76131.839999999997</v>
      </c>
      <c r="M252">
        <v>1.23</v>
      </c>
      <c r="N252">
        <v>2.7</v>
      </c>
      <c r="O252">
        <v>31.42</v>
      </c>
      <c r="P252">
        <v>701.00199999999995</v>
      </c>
      <c r="Q252">
        <v>120</v>
      </c>
      <c r="R252">
        <v>11.92</v>
      </c>
    </row>
    <row r="253" spans="1:18" x14ac:dyDescent="0.25">
      <c r="A253" s="1" t="s">
        <v>45</v>
      </c>
      <c r="B253" s="3" t="s">
        <v>47</v>
      </c>
      <c r="C253" s="19">
        <v>38</v>
      </c>
      <c r="D253" s="3" t="s">
        <v>495</v>
      </c>
      <c r="E253" s="3" t="s">
        <v>500</v>
      </c>
      <c r="F253" s="23">
        <v>199000</v>
      </c>
      <c r="G253" s="15">
        <v>2016</v>
      </c>
      <c r="H253" s="15">
        <f>Table_7[[#This Row],[Listing Price (USD)]]/10000</f>
        <v>19.899999999999999</v>
      </c>
      <c r="I253" s="28">
        <f>Table_7[[#This Row],[Length 
(ft)]]</f>
        <v>38</v>
      </c>
      <c r="J253" s="28">
        <f>2020-Table_7[[#This Row],[Year]]</f>
        <v>4</v>
      </c>
      <c r="K253">
        <v>3007188000000</v>
      </c>
      <c r="L253">
        <v>76131.839999999997</v>
      </c>
      <c r="M253">
        <v>1.23</v>
      </c>
      <c r="N253">
        <v>2.7</v>
      </c>
      <c r="O253">
        <v>31.42</v>
      </c>
      <c r="P253">
        <v>701.00199999999995</v>
      </c>
      <c r="Q253">
        <v>120</v>
      </c>
      <c r="R253">
        <v>11.92</v>
      </c>
    </row>
    <row r="254" spans="1:18" x14ac:dyDescent="0.25">
      <c r="A254" s="1" t="s">
        <v>45</v>
      </c>
      <c r="B254" s="3" t="s">
        <v>47</v>
      </c>
      <c r="C254" s="19">
        <v>38</v>
      </c>
      <c r="D254" s="3" t="s">
        <v>495</v>
      </c>
      <c r="E254" s="3" t="s">
        <v>552</v>
      </c>
      <c r="F254" s="23">
        <v>199900</v>
      </c>
      <c r="G254" s="15">
        <v>2017</v>
      </c>
      <c r="H254" s="15">
        <f>Table_7[[#This Row],[Listing Price (USD)]]/10000</f>
        <v>19.989999999999998</v>
      </c>
      <c r="I254" s="28">
        <f>Table_7[[#This Row],[Length 
(ft)]]</f>
        <v>38</v>
      </c>
      <c r="J254" s="28">
        <f>2020-Table_7[[#This Row],[Year]]</f>
        <v>3</v>
      </c>
      <c r="K254">
        <v>244882000000</v>
      </c>
      <c r="L254">
        <v>47728.44</v>
      </c>
      <c r="M254">
        <v>1.23</v>
      </c>
      <c r="N254">
        <v>2.5</v>
      </c>
      <c r="O254">
        <v>31.42</v>
      </c>
      <c r="P254">
        <v>701.00199999999995</v>
      </c>
      <c r="Q254">
        <v>120</v>
      </c>
      <c r="R254">
        <v>11.92</v>
      </c>
    </row>
    <row r="255" spans="1:18" x14ac:dyDescent="0.25">
      <c r="A255" s="1" t="s">
        <v>45</v>
      </c>
      <c r="B255" s="3" t="s">
        <v>47</v>
      </c>
      <c r="C255" s="19">
        <v>37</v>
      </c>
      <c r="D255" s="3" t="s">
        <v>495</v>
      </c>
      <c r="E255" s="3" t="s">
        <v>500</v>
      </c>
      <c r="F255" s="23">
        <v>205000</v>
      </c>
      <c r="G255" s="15">
        <v>2017</v>
      </c>
      <c r="H255" s="15">
        <f>Table_7[[#This Row],[Listing Price (USD)]]/10000</f>
        <v>20.5</v>
      </c>
      <c r="I255" s="28">
        <f>Table_7[[#This Row],[Length 
(ft)]]</f>
        <v>37</v>
      </c>
      <c r="J255" s="28">
        <f>2020-Table_7[[#This Row],[Year]]</f>
        <v>3</v>
      </c>
      <c r="K255">
        <v>3007188000000</v>
      </c>
      <c r="L255">
        <v>76131.839999999997</v>
      </c>
      <c r="M255">
        <v>1.23</v>
      </c>
      <c r="N255">
        <v>2.7</v>
      </c>
      <c r="O255">
        <v>31.42</v>
      </c>
      <c r="P255">
        <v>701.00199999999995</v>
      </c>
      <c r="Q255">
        <v>120</v>
      </c>
      <c r="R255">
        <v>11.92</v>
      </c>
    </row>
    <row r="256" spans="1:18" x14ac:dyDescent="0.25">
      <c r="A256" s="1" t="s">
        <v>45</v>
      </c>
      <c r="B256" s="3" t="s">
        <v>47</v>
      </c>
      <c r="C256" s="19">
        <v>38</v>
      </c>
      <c r="D256" s="3" t="s">
        <v>495</v>
      </c>
      <c r="E256" s="3" t="s">
        <v>500</v>
      </c>
      <c r="F256" s="23">
        <v>210000</v>
      </c>
      <c r="G256" s="15">
        <v>2015</v>
      </c>
      <c r="H256" s="15">
        <f>Table_7[[#This Row],[Listing Price (USD)]]/10000</f>
        <v>21</v>
      </c>
      <c r="I256" s="28">
        <f>Table_7[[#This Row],[Length 
(ft)]]</f>
        <v>38</v>
      </c>
      <c r="J256" s="28">
        <f>2020-Table_7[[#This Row],[Year]]</f>
        <v>5</v>
      </c>
      <c r="K256">
        <v>3007188000000</v>
      </c>
      <c r="L256">
        <v>76131.839999999997</v>
      </c>
      <c r="M256">
        <v>1.23</v>
      </c>
      <c r="N256">
        <v>2.7</v>
      </c>
      <c r="O256">
        <v>31.42</v>
      </c>
      <c r="P256">
        <v>701.00199999999995</v>
      </c>
      <c r="Q256">
        <v>120</v>
      </c>
      <c r="R256">
        <v>11.92</v>
      </c>
    </row>
    <row r="257" spans="1:18" x14ac:dyDescent="0.25">
      <c r="A257" s="1" t="s">
        <v>45</v>
      </c>
      <c r="B257" s="3" t="s">
        <v>47</v>
      </c>
      <c r="C257" s="19">
        <v>38</v>
      </c>
      <c r="D257" s="3" t="s">
        <v>495</v>
      </c>
      <c r="E257" s="3" t="s">
        <v>500</v>
      </c>
      <c r="F257" s="23">
        <v>220000</v>
      </c>
      <c r="G257" s="15">
        <v>2017</v>
      </c>
      <c r="H257" s="15">
        <f>Table_7[[#This Row],[Listing Price (USD)]]/10000</f>
        <v>22</v>
      </c>
      <c r="I257" s="28">
        <f>Table_7[[#This Row],[Length 
(ft)]]</f>
        <v>38</v>
      </c>
      <c r="J257" s="28">
        <f>2020-Table_7[[#This Row],[Year]]</f>
        <v>3</v>
      </c>
      <c r="K257">
        <v>3007188000000</v>
      </c>
      <c r="L257">
        <v>76131.839999999997</v>
      </c>
      <c r="M257">
        <v>1.23</v>
      </c>
      <c r="N257">
        <v>2.7</v>
      </c>
      <c r="O257">
        <v>31.42</v>
      </c>
      <c r="P257">
        <v>701.00199999999995</v>
      </c>
      <c r="Q257">
        <v>120</v>
      </c>
      <c r="R257">
        <v>11.92</v>
      </c>
    </row>
    <row r="258" spans="1:18" x14ac:dyDescent="0.25">
      <c r="A258" s="1" t="s">
        <v>128</v>
      </c>
      <c r="B258" s="2">
        <v>520</v>
      </c>
      <c r="C258" s="19">
        <v>50</v>
      </c>
      <c r="D258" s="3" t="s">
        <v>496</v>
      </c>
      <c r="E258" s="3" t="s">
        <v>24</v>
      </c>
      <c r="F258" s="23">
        <v>338723</v>
      </c>
      <c r="G258" s="15">
        <v>2018</v>
      </c>
      <c r="H258" s="15">
        <f>Table_7[[#This Row],[Listing Price (USD)]]/10000</f>
        <v>33.872300000000003</v>
      </c>
      <c r="I258" s="28">
        <f>Table_7[[#This Row],[Length 
(ft)]]</f>
        <v>50</v>
      </c>
      <c r="J258" s="28">
        <f>2020-Table_7[[#This Row],[Year]]</f>
        <v>2</v>
      </c>
      <c r="K258">
        <v>1896755301518.1399</v>
      </c>
      <c r="L258">
        <v>31911.0357890017</v>
      </c>
      <c r="M258">
        <v>-0.13770757391656999</v>
      </c>
      <c r="N258">
        <v>-9.0399534112288507</v>
      </c>
      <c r="O258">
        <v>44.85</v>
      </c>
      <c r="P258">
        <v>1084</v>
      </c>
      <c r="Q258">
        <v>119</v>
      </c>
      <c r="R258">
        <v>15.75</v>
      </c>
    </row>
    <row r="259" spans="1:18" x14ac:dyDescent="0.25">
      <c r="A259" s="1" t="s">
        <v>128</v>
      </c>
      <c r="B259" s="2">
        <v>520</v>
      </c>
      <c r="C259" s="19">
        <v>50</v>
      </c>
      <c r="D259" s="3" t="s">
        <v>496</v>
      </c>
      <c r="E259" s="3" t="s">
        <v>18</v>
      </c>
      <c r="F259" s="23">
        <v>388703</v>
      </c>
      <c r="G259" s="15">
        <v>2018</v>
      </c>
      <c r="H259" s="15">
        <f>Table_7[[#This Row],[Listing Price (USD)]]/10000</f>
        <v>38.8703</v>
      </c>
      <c r="I259" s="28">
        <f>Table_7[[#This Row],[Length 
(ft)]]</f>
        <v>50</v>
      </c>
      <c r="J259" s="28">
        <f>2020-Table_7[[#This Row],[Year]]</f>
        <v>2</v>
      </c>
      <c r="K259">
        <v>188925995936.80701</v>
      </c>
      <c r="L259">
        <v>17658.947301119199</v>
      </c>
      <c r="M259">
        <v>-1.2479835558140799</v>
      </c>
      <c r="N259">
        <v>-9.0040436420214593</v>
      </c>
      <c r="O259">
        <v>44.85</v>
      </c>
      <c r="P259">
        <v>1084</v>
      </c>
      <c r="Q259">
        <v>119</v>
      </c>
      <c r="R259">
        <v>15.75</v>
      </c>
    </row>
    <row r="260" spans="1:18" x14ac:dyDescent="0.25">
      <c r="A260" s="1" t="s">
        <v>128</v>
      </c>
      <c r="B260" s="2">
        <v>520</v>
      </c>
      <c r="C260" s="19">
        <v>50</v>
      </c>
      <c r="D260" s="3" t="s">
        <v>496</v>
      </c>
      <c r="E260" s="3" t="s">
        <v>3</v>
      </c>
      <c r="F260" s="23">
        <v>484664</v>
      </c>
      <c r="G260" s="15">
        <v>2019</v>
      </c>
      <c r="H260" s="15">
        <f>Table_7[[#This Row],[Listing Price (USD)]]/10000</f>
        <v>48.4664</v>
      </c>
      <c r="I260" s="28">
        <f>Table_7[[#This Row],[Length 
(ft)]]</f>
        <v>50</v>
      </c>
      <c r="J260" s="28">
        <f>2020-Table_7[[#This Row],[Year]]</f>
        <v>1</v>
      </c>
      <c r="K260">
        <v>2639008701648.2598</v>
      </c>
      <c r="L260">
        <v>39055.282928075401</v>
      </c>
      <c r="M260">
        <v>0.47649885272508302</v>
      </c>
      <c r="N260">
        <v>-7.7845864916787102</v>
      </c>
      <c r="O260">
        <v>44.85</v>
      </c>
      <c r="P260">
        <v>1084</v>
      </c>
      <c r="Q260">
        <v>119</v>
      </c>
      <c r="R260">
        <v>15.75</v>
      </c>
    </row>
    <row r="261" spans="1:18" x14ac:dyDescent="0.25">
      <c r="A261" s="1" t="s">
        <v>128</v>
      </c>
      <c r="B261" s="2">
        <v>520</v>
      </c>
      <c r="C261" s="19">
        <v>50</v>
      </c>
      <c r="D261" s="3" t="s">
        <v>496</v>
      </c>
      <c r="E261" s="3" t="s">
        <v>3</v>
      </c>
      <c r="F261" s="23">
        <v>498026</v>
      </c>
      <c r="G261" s="15">
        <v>2018</v>
      </c>
      <c r="H261" s="15">
        <f>Table_7[[#This Row],[Listing Price (USD)]]/10000</f>
        <v>49.802599999999998</v>
      </c>
      <c r="I261" s="28">
        <f>Table_7[[#This Row],[Length 
(ft)]]</f>
        <v>50</v>
      </c>
      <c r="J261" s="28">
        <f>2020-Table_7[[#This Row],[Year]]</f>
        <v>2</v>
      </c>
      <c r="K261">
        <v>2639008701648.2598</v>
      </c>
      <c r="L261">
        <v>39055.282928075401</v>
      </c>
      <c r="M261">
        <v>0.47649885272508302</v>
      </c>
      <c r="N261">
        <v>-7.7845864916787102</v>
      </c>
      <c r="O261">
        <v>44.85</v>
      </c>
      <c r="P261">
        <v>1084</v>
      </c>
      <c r="Q261">
        <v>119</v>
      </c>
      <c r="R261">
        <v>15.75</v>
      </c>
    </row>
    <row r="262" spans="1:18" x14ac:dyDescent="0.25">
      <c r="A262" s="1" t="s">
        <v>45</v>
      </c>
      <c r="B262" s="2" t="s">
        <v>55</v>
      </c>
      <c r="C262" s="19">
        <v>43</v>
      </c>
      <c r="D262" s="3" t="s">
        <v>496</v>
      </c>
      <c r="E262" s="3" t="s">
        <v>18</v>
      </c>
      <c r="F262" s="23">
        <v>85017</v>
      </c>
      <c r="G262" s="15">
        <v>2006</v>
      </c>
      <c r="H262" s="15">
        <f>Table_7[[#This Row],[Listing Price (USD)]]/10000</f>
        <v>8.5016999999999996</v>
      </c>
      <c r="I262" s="28">
        <f>Table_7[[#This Row],[Length 
(ft)]]</f>
        <v>43</v>
      </c>
      <c r="J262" s="28">
        <f>2020-Table_7[[#This Row],[Year]]</f>
        <v>14</v>
      </c>
      <c r="K262">
        <v>188925995936.80701</v>
      </c>
      <c r="L262">
        <v>17658.947301119199</v>
      </c>
      <c r="M262">
        <v>-1.2479835558140799</v>
      </c>
      <c r="N262">
        <v>-9.0040436420214593</v>
      </c>
      <c r="O262">
        <v>48</v>
      </c>
      <c r="P262">
        <v>1344.002</v>
      </c>
      <c r="Q262">
        <v>119</v>
      </c>
      <c r="R262">
        <v>16.079999999999998</v>
      </c>
    </row>
    <row r="263" spans="1:18" x14ac:dyDescent="0.25">
      <c r="A263" s="1" t="s">
        <v>45</v>
      </c>
      <c r="B263" s="2" t="s">
        <v>55</v>
      </c>
      <c r="C263" s="19">
        <v>43</v>
      </c>
      <c r="D263" s="3" t="s">
        <v>496</v>
      </c>
      <c r="E263" s="3" t="s">
        <v>24</v>
      </c>
      <c r="F263" s="23">
        <v>91090</v>
      </c>
      <c r="G263" s="15">
        <v>2005</v>
      </c>
      <c r="H263" s="15">
        <f>Table_7[[#This Row],[Listing Price (USD)]]/10000</f>
        <v>9.109</v>
      </c>
      <c r="I263" s="28">
        <f>Table_7[[#This Row],[Length 
(ft)]]</f>
        <v>43</v>
      </c>
      <c r="J263" s="28">
        <f>2020-Table_7[[#This Row],[Year]]</f>
        <v>15</v>
      </c>
      <c r="K263">
        <v>1896755301518.1399</v>
      </c>
      <c r="L263">
        <v>31911.0357890017</v>
      </c>
      <c r="M263">
        <v>-0.13770757391656999</v>
      </c>
      <c r="N263">
        <v>-9.0399534112288507</v>
      </c>
      <c r="O263">
        <v>48</v>
      </c>
      <c r="P263">
        <v>1344.002</v>
      </c>
      <c r="Q263">
        <v>119</v>
      </c>
      <c r="R263">
        <v>16.079999999999998</v>
      </c>
    </row>
    <row r="264" spans="1:18" x14ac:dyDescent="0.25">
      <c r="A264" s="1" t="s">
        <v>45</v>
      </c>
      <c r="B264" s="2" t="s">
        <v>55</v>
      </c>
      <c r="C264" s="19">
        <v>43</v>
      </c>
      <c r="D264" s="3" t="s">
        <v>496</v>
      </c>
      <c r="E264" s="3" t="s">
        <v>9</v>
      </c>
      <c r="F264" s="23">
        <v>95961</v>
      </c>
      <c r="G264" s="15">
        <v>2006</v>
      </c>
      <c r="H264" s="15">
        <f>Table_7[[#This Row],[Listing Price (USD)]]/10000</f>
        <v>9.5960999999999999</v>
      </c>
      <c r="I264" s="28">
        <f>Table_7[[#This Row],[Length 
(ft)]]</f>
        <v>43</v>
      </c>
      <c r="J264" s="28">
        <f>2020-Table_7[[#This Row],[Year]]</f>
        <v>14</v>
      </c>
      <c r="K264">
        <v>1276962685648.25</v>
      </c>
      <c r="L264">
        <v>26959.675436732599</v>
      </c>
      <c r="M264">
        <v>-0.32275301729970501</v>
      </c>
      <c r="N264">
        <v>-11.3254383222864</v>
      </c>
      <c r="O264">
        <v>48</v>
      </c>
      <c r="P264">
        <v>1344.002</v>
      </c>
      <c r="Q264">
        <v>119</v>
      </c>
      <c r="R264">
        <v>16.079999999999998</v>
      </c>
    </row>
    <row r="265" spans="1:18" x14ac:dyDescent="0.25">
      <c r="A265" s="1" t="s">
        <v>45</v>
      </c>
      <c r="B265" s="2" t="s">
        <v>55</v>
      </c>
      <c r="C265" s="19">
        <v>43</v>
      </c>
      <c r="D265" s="3" t="s">
        <v>496</v>
      </c>
      <c r="E265" s="3" t="s">
        <v>18</v>
      </c>
      <c r="F265" s="23">
        <v>103921</v>
      </c>
      <c r="G265" s="15">
        <v>2005</v>
      </c>
      <c r="H265" s="15">
        <f>Table_7[[#This Row],[Listing Price (USD)]]/10000</f>
        <v>10.392099999999999</v>
      </c>
      <c r="I265" s="28">
        <f>Table_7[[#This Row],[Length 
(ft)]]</f>
        <v>43</v>
      </c>
      <c r="J265" s="28">
        <f>2020-Table_7[[#This Row],[Year]]</f>
        <v>15</v>
      </c>
      <c r="K265">
        <v>188925995936.80701</v>
      </c>
      <c r="L265">
        <v>17658.947301119199</v>
      </c>
      <c r="M265">
        <v>-1.2479835558140799</v>
      </c>
      <c r="N265">
        <v>-9.0040436420214593</v>
      </c>
      <c r="O265">
        <v>48</v>
      </c>
      <c r="P265">
        <v>1344.002</v>
      </c>
      <c r="Q265">
        <v>119</v>
      </c>
      <c r="R265">
        <v>16.079999999999998</v>
      </c>
    </row>
    <row r="266" spans="1:18" x14ac:dyDescent="0.25">
      <c r="A266" s="1" t="s">
        <v>45</v>
      </c>
      <c r="B266" s="2" t="s">
        <v>55</v>
      </c>
      <c r="C266" s="19">
        <v>43</v>
      </c>
      <c r="D266" s="3" t="s">
        <v>496</v>
      </c>
      <c r="E266" s="3" t="s">
        <v>516</v>
      </c>
      <c r="F266" s="23">
        <v>108108</v>
      </c>
      <c r="G266" s="15">
        <v>2005</v>
      </c>
      <c r="H266" s="15">
        <f>Table_7[[#This Row],[Listing Price (USD)]]/10000</f>
        <v>10.8108</v>
      </c>
      <c r="I266" s="28">
        <f>Table_7[[#This Row],[Length 
(ft)]]</f>
        <v>43</v>
      </c>
      <c r="J266" s="28">
        <f>2020-Table_7[[#This Row],[Year]]</f>
        <v>15</v>
      </c>
      <c r="K266">
        <v>909793466661.48096</v>
      </c>
      <c r="L266">
        <v>52162.570115040602</v>
      </c>
      <c r="M266">
        <v>1.2724603778917001</v>
      </c>
      <c r="N266">
        <v>-3.88608391819609</v>
      </c>
      <c r="O266">
        <v>48</v>
      </c>
      <c r="P266">
        <v>1344.002</v>
      </c>
      <c r="Q266">
        <v>119</v>
      </c>
      <c r="R266">
        <v>16.079999999999998</v>
      </c>
    </row>
    <row r="267" spans="1:18" x14ac:dyDescent="0.25">
      <c r="A267" s="1" t="s">
        <v>45</v>
      </c>
      <c r="B267" s="2" t="s">
        <v>55</v>
      </c>
      <c r="C267" s="19">
        <v>43</v>
      </c>
      <c r="D267" s="3" t="s">
        <v>496</v>
      </c>
      <c r="E267" s="3" t="s">
        <v>56</v>
      </c>
      <c r="F267" s="23">
        <v>127526</v>
      </c>
      <c r="G267" s="15">
        <v>2005</v>
      </c>
      <c r="H267" s="15">
        <f>Table_7[[#This Row],[Listing Price (USD)]]/10000</f>
        <v>12.752599999999999</v>
      </c>
      <c r="I267" s="28">
        <f>Table_7[[#This Row],[Length 
(ft)]]</f>
        <v>43</v>
      </c>
      <c r="J267" s="28">
        <f>2020-Table_7[[#This Row],[Year]]</f>
        <v>15</v>
      </c>
      <c r="K267">
        <v>14933066818.9606</v>
      </c>
      <c r="L267">
        <v>28977.565567363599</v>
      </c>
      <c r="M267">
        <v>0.63854495677665302</v>
      </c>
      <c r="N267">
        <v>-8.3242832319722009</v>
      </c>
      <c r="O267">
        <v>48</v>
      </c>
      <c r="P267">
        <v>1344.002</v>
      </c>
      <c r="Q267">
        <v>119</v>
      </c>
      <c r="R267">
        <v>16.079999999999998</v>
      </c>
    </row>
    <row r="268" spans="1:18" x14ac:dyDescent="0.25">
      <c r="A268" s="1" t="s">
        <v>45</v>
      </c>
      <c r="B268" s="2" t="s">
        <v>55</v>
      </c>
      <c r="C268" s="19">
        <v>43</v>
      </c>
      <c r="D268" s="3" t="s">
        <v>496</v>
      </c>
      <c r="E268" s="3" t="s">
        <v>3</v>
      </c>
      <c r="F268" s="23">
        <v>127543</v>
      </c>
      <c r="G268" s="15">
        <v>2007</v>
      </c>
      <c r="H268" s="15">
        <f>Table_7[[#This Row],[Listing Price (USD)]]/10000</f>
        <v>12.754300000000001</v>
      </c>
      <c r="I268" s="28">
        <f>Table_7[[#This Row],[Length 
(ft)]]</f>
        <v>43</v>
      </c>
      <c r="J268" s="28">
        <f>2020-Table_7[[#This Row],[Year]]</f>
        <v>13</v>
      </c>
      <c r="K268">
        <v>2639008701648.2598</v>
      </c>
      <c r="L268">
        <v>39055.282928075401</v>
      </c>
      <c r="M268">
        <v>0.47649885272508302</v>
      </c>
      <c r="N268">
        <v>-7.7845864916787102</v>
      </c>
      <c r="O268">
        <v>48</v>
      </c>
      <c r="P268">
        <v>1344.002</v>
      </c>
      <c r="Q268">
        <v>119</v>
      </c>
      <c r="R268">
        <v>16.079999999999998</v>
      </c>
    </row>
    <row r="269" spans="1:18" x14ac:dyDescent="0.25">
      <c r="A269" s="1" t="s">
        <v>45</v>
      </c>
      <c r="B269" s="2" t="s">
        <v>55</v>
      </c>
      <c r="C269" s="19">
        <v>43</v>
      </c>
      <c r="D269" s="3" t="s">
        <v>496</v>
      </c>
      <c r="E269" s="3" t="s">
        <v>56</v>
      </c>
      <c r="F269" s="23">
        <v>145764</v>
      </c>
      <c r="G269" s="15">
        <v>2006</v>
      </c>
      <c r="H269" s="15">
        <f>Table_7[[#This Row],[Listing Price (USD)]]/10000</f>
        <v>14.5764</v>
      </c>
      <c r="I269" s="28">
        <f>Table_7[[#This Row],[Length 
(ft)]]</f>
        <v>43</v>
      </c>
      <c r="J269" s="28">
        <f>2020-Table_7[[#This Row],[Year]]</f>
        <v>14</v>
      </c>
      <c r="K269">
        <v>14933066818.9606</v>
      </c>
      <c r="L269">
        <v>28977.565567363599</v>
      </c>
      <c r="M269">
        <v>0.63854495677665302</v>
      </c>
      <c r="N269">
        <v>-8.3242832319722009</v>
      </c>
      <c r="O269">
        <v>48</v>
      </c>
      <c r="P269">
        <v>1344.002</v>
      </c>
      <c r="Q269">
        <v>119</v>
      </c>
      <c r="R269">
        <v>16.079999999999998</v>
      </c>
    </row>
    <row r="270" spans="1:18" x14ac:dyDescent="0.25">
      <c r="A270" s="1" t="s">
        <v>45</v>
      </c>
      <c r="B270" s="2" t="s">
        <v>88</v>
      </c>
      <c r="C270" s="19">
        <v>53</v>
      </c>
      <c r="D270" s="3" t="s">
        <v>496</v>
      </c>
      <c r="E270" s="3" t="s">
        <v>31</v>
      </c>
      <c r="F270" s="23">
        <v>176131</v>
      </c>
      <c r="G270" s="15">
        <v>2006</v>
      </c>
      <c r="H270" s="15">
        <f>Table_7[[#This Row],[Listing Price (USD)]]/10000</f>
        <v>17.613099999999999</v>
      </c>
      <c r="I270" s="28">
        <f>Table_7[[#This Row],[Length 
(ft)]]</f>
        <v>53</v>
      </c>
      <c r="J270" s="28">
        <f>2020-Table_7[[#This Row],[Year]]</f>
        <v>14</v>
      </c>
      <c r="K270">
        <v>57472012426.685303</v>
      </c>
      <c r="L270">
        <v>14198.753959474399</v>
      </c>
      <c r="M270">
        <v>0.15481137456202801</v>
      </c>
      <c r="N270">
        <v>-8.5803430210621805</v>
      </c>
      <c r="O270">
        <v>48</v>
      </c>
      <c r="P270">
        <v>1344.002</v>
      </c>
      <c r="Q270">
        <v>119</v>
      </c>
      <c r="R270">
        <v>16.079999999999998</v>
      </c>
    </row>
    <row r="271" spans="1:18" x14ac:dyDescent="0.25">
      <c r="A271" s="1" t="s">
        <v>45</v>
      </c>
      <c r="B271" s="2" t="s">
        <v>88</v>
      </c>
      <c r="C271" s="19">
        <v>53</v>
      </c>
      <c r="D271" s="3" t="s">
        <v>496</v>
      </c>
      <c r="E271" s="3" t="s">
        <v>3</v>
      </c>
      <c r="F271" s="23">
        <v>191922</v>
      </c>
      <c r="G271" s="15">
        <v>2007</v>
      </c>
      <c r="H271" s="15">
        <f>Table_7[[#This Row],[Listing Price (USD)]]/10000</f>
        <v>19.1922</v>
      </c>
      <c r="I271" s="28">
        <f>Table_7[[#This Row],[Length 
(ft)]]</f>
        <v>53</v>
      </c>
      <c r="J271" s="28">
        <f>2020-Table_7[[#This Row],[Year]]</f>
        <v>13</v>
      </c>
      <c r="K271">
        <v>2639008701648.2598</v>
      </c>
      <c r="L271">
        <v>39055.282928075401</v>
      </c>
      <c r="M271">
        <v>0.47649885272508302</v>
      </c>
      <c r="N271">
        <v>-7.7845864916787102</v>
      </c>
      <c r="O271">
        <v>48</v>
      </c>
      <c r="P271">
        <v>1344.002</v>
      </c>
      <c r="Q271">
        <v>119</v>
      </c>
      <c r="R271">
        <v>16.079999999999998</v>
      </c>
    </row>
    <row r="272" spans="1:18" x14ac:dyDescent="0.25">
      <c r="A272" s="1" t="s">
        <v>45</v>
      </c>
      <c r="B272" s="2" t="s">
        <v>88</v>
      </c>
      <c r="C272" s="19">
        <v>53</v>
      </c>
      <c r="D272" s="3" t="s">
        <v>496</v>
      </c>
      <c r="E272" s="3" t="s">
        <v>19</v>
      </c>
      <c r="F272" s="23">
        <v>206509</v>
      </c>
      <c r="G272" s="15">
        <v>2008</v>
      </c>
      <c r="H272" s="15">
        <f>Table_7[[#This Row],[Listing Price (USD)]]/10000</f>
        <v>20.6509</v>
      </c>
      <c r="I272" s="28">
        <f>Table_7[[#This Row],[Length 
(ft)]]</f>
        <v>53</v>
      </c>
      <c r="J272" s="28">
        <f>2020-Table_7[[#This Row],[Year]]</f>
        <v>12</v>
      </c>
      <c r="K272">
        <v>4200000000</v>
      </c>
      <c r="L272">
        <v>39553.199999999997</v>
      </c>
      <c r="M272">
        <v>4.0999999999999996</v>
      </c>
      <c r="N272">
        <v>-2.1</v>
      </c>
      <c r="O272">
        <v>48</v>
      </c>
      <c r="P272">
        <v>1344.002</v>
      </c>
      <c r="Q272">
        <v>119</v>
      </c>
      <c r="R272">
        <v>16.079999999999998</v>
      </c>
    </row>
    <row r="273" spans="1:18" x14ac:dyDescent="0.25">
      <c r="A273" s="1" t="s">
        <v>45</v>
      </c>
      <c r="B273" s="2" t="s">
        <v>88</v>
      </c>
      <c r="C273" s="19">
        <v>53</v>
      </c>
      <c r="D273" s="3" t="s">
        <v>496</v>
      </c>
      <c r="E273" s="3" t="s">
        <v>18</v>
      </c>
      <c r="F273" s="23">
        <v>218645</v>
      </c>
      <c r="G273" s="15">
        <v>2007</v>
      </c>
      <c r="H273" s="15">
        <f>Table_7[[#This Row],[Listing Price (USD)]]/10000</f>
        <v>21.8645</v>
      </c>
      <c r="I273" s="28">
        <f>Table_7[[#This Row],[Length 
(ft)]]</f>
        <v>53</v>
      </c>
      <c r="J273" s="28">
        <f>2020-Table_7[[#This Row],[Year]]</f>
        <v>13</v>
      </c>
      <c r="K273">
        <v>188925995936.80701</v>
      </c>
      <c r="L273">
        <v>17658.947301119199</v>
      </c>
      <c r="M273">
        <v>-1.2479835558140799</v>
      </c>
      <c r="N273">
        <v>-9.0040436420214593</v>
      </c>
      <c r="O273">
        <v>48</v>
      </c>
      <c r="P273">
        <v>1344.002</v>
      </c>
      <c r="Q273">
        <v>119</v>
      </c>
      <c r="R273">
        <v>16.079999999999998</v>
      </c>
    </row>
    <row r="274" spans="1:18" x14ac:dyDescent="0.25">
      <c r="A274" s="1" t="s">
        <v>45</v>
      </c>
      <c r="B274" s="2" t="s">
        <v>88</v>
      </c>
      <c r="C274" s="19">
        <v>53</v>
      </c>
      <c r="D274" s="3" t="s">
        <v>496</v>
      </c>
      <c r="E274" s="3" t="s">
        <v>9</v>
      </c>
      <c r="F274" s="23">
        <v>223504</v>
      </c>
      <c r="G274" s="15">
        <v>2005</v>
      </c>
      <c r="H274" s="15">
        <f>Table_7[[#This Row],[Listing Price (USD)]]/10000</f>
        <v>22.3504</v>
      </c>
      <c r="I274" s="28">
        <f>Table_7[[#This Row],[Length 
(ft)]]</f>
        <v>53</v>
      </c>
      <c r="J274" s="28">
        <f>2020-Table_7[[#This Row],[Year]]</f>
        <v>15</v>
      </c>
      <c r="K274">
        <v>1276962685648.25</v>
      </c>
      <c r="L274">
        <v>26959.675436732599</v>
      </c>
      <c r="M274">
        <v>-0.32275301729970501</v>
      </c>
      <c r="N274">
        <v>-11.3254383222864</v>
      </c>
      <c r="O274">
        <v>48</v>
      </c>
      <c r="P274">
        <v>1344.002</v>
      </c>
      <c r="Q274">
        <v>119</v>
      </c>
      <c r="R274">
        <v>16.079999999999998</v>
      </c>
    </row>
    <row r="275" spans="1:18" x14ac:dyDescent="0.25">
      <c r="A275" s="1" t="s">
        <v>45</v>
      </c>
      <c r="B275" s="2" t="s">
        <v>88</v>
      </c>
      <c r="C275" s="19">
        <v>53</v>
      </c>
      <c r="D275" s="3" t="s">
        <v>496</v>
      </c>
      <c r="E275" s="3" t="s">
        <v>9</v>
      </c>
      <c r="F275" s="23">
        <v>224719</v>
      </c>
      <c r="G275" s="15">
        <v>2005</v>
      </c>
      <c r="H275" s="15">
        <f>Table_7[[#This Row],[Listing Price (USD)]]/10000</f>
        <v>22.471900000000002</v>
      </c>
      <c r="I275" s="28">
        <f>Table_7[[#This Row],[Length 
(ft)]]</f>
        <v>53</v>
      </c>
      <c r="J275" s="28">
        <f>2020-Table_7[[#This Row],[Year]]</f>
        <v>15</v>
      </c>
      <c r="K275">
        <v>1276962685648.25</v>
      </c>
      <c r="L275">
        <v>26959.675436732599</v>
      </c>
      <c r="M275">
        <v>-0.32275301729970501</v>
      </c>
      <c r="N275">
        <v>-11.3254383222864</v>
      </c>
      <c r="O275">
        <v>48</v>
      </c>
      <c r="P275">
        <v>1344.002</v>
      </c>
      <c r="Q275">
        <v>119</v>
      </c>
      <c r="R275">
        <v>16.079999999999998</v>
      </c>
    </row>
    <row r="276" spans="1:18" x14ac:dyDescent="0.25">
      <c r="A276" s="1" t="s">
        <v>45</v>
      </c>
      <c r="B276" s="2" t="s">
        <v>88</v>
      </c>
      <c r="C276" s="19">
        <v>53</v>
      </c>
      <c r="D276" s="3" t="s">
        <v>496</v>
      </c>
      <c r="E276" s="3" t="s">
        <v>18</v>
      </c>
      <c r="F276" s="23">
        <v>230792</v>
      </c>
      <c r="G276" s="15">
        <v>2006</v>
      </c>
      <c r="H276" s="15">
        <f>Table_7[[#This Row],[Listing Price (USD)]]/10000</f>
        <v>23.0792</v>
      </c>
      <c r="I276" s="28">
        <f>Table_7[[#This Row],[Length 
(ft)]]</f>
        <v>53</v>
      </c>
      <c r="J276" s="28">
        <f>2020-Table_7[[#This Row],[Year]]</f>
        <v>14</v>
      </c>
      <c r="K276">
        <v>188925995936.80701</v>
      </c>
      <c r="L276">
        <v>17658.947301119199</v>
      </c>
      <c r="M276">
        <v>-1.2479835558140799</v>
      </c>
      <c r="N276">
        <v>-9.0040436420214593</v>
      </c>
      <c r="O276">
        <v>48</v>
      </c>
      <c r="P276">
        <v>1344.002</v>
      </c>
      <c r="Q276">
        <v>119</v>
      </c>
      <c r="R276">
        <v>16.079999999999998</v>
      </c>
    </row>
    <row r="277" spans="1:18" x14ac:dyDescent="0.25">
      <c r="A277" s="1" t="s">
        <v>175</v>
      </c>
      <c r="B277" s="3">
        <v>40</v>
      </c>
      <c r="C277" s="19">
        <v>40</v>
      </c>
      <c r="D277" s="3" t="s">
        <v>495</v>
      </c>
      <c r="E277" s="3" t="s">
        <v>515</v>
      </c>
      <c r="F277" s="23">
        <v>299500</v>
      </c>
      <c r="G277" s="15">
        <v>2008</v>
      </c>
      <c r="H277" s="15">
        <f>Table_7[[#This Row],[Listing Price (USD)]]/10000</f>
        <v>29.95</v>
      </c>
      <c r="I277" s="28">
        <f>Table_7[[#This Row],[Length 
(ft)]]</f>
        <v>40</v>
      </c>
      <c r="J277" s="28">
        <f>2020-Table_7[[#This Row],[Year]]</f>
        <v>12</v>
      </c>
      <c r="K277">
        <v>410675000000</v>
      </c>
      <c r="L277">
        <v>66531.03</v>
      </c>
      <c r="M277">
        <v>1.23</v>
      </c>
      <c r="N277">
        <v>1.8</v>
      </c>
      <c r="O277">
        <v>34.78</v>
      </c>
      <c r="P277">
        <v>869.72</v>
      </c>
      <c r="Q277">
        <v>118</v>
      </c>
      <c r="R277">
        <v>12.53</v>
      </c>
    </row>
    <row r="278" spans="1:18" x14ac:dyDescent="0.25">
      <c r="A278" s="1" t="s">
        <v>175</v>
      </c>
      <c r="B278" s="2">
        <v>40</v>
      </c>
      <c r="C278" s="19">
        <v>40</v>
      </c>
      <c r="D278" s="3" t="s">
        <v>496</v>
      </c>
      <c r="E278" s="3" t="s">
        <v>19</v>
      </c>
      <c r="F278" s="23">
        <v>299771</v>
      </c>
      <c r="G278" s="15">
        <v>2005</v>
      </c>
      <c r="H278" s="15">
        <f>Table_7[[#This Row],[Listing Price (USD)]]/10000</f>
        <v>29.9771</v>
      </c>
      <c r="I278" s="28">
        <f>Table_7[[#This Row],[Length 
(ft)]]</f>
        <v>40</v>
      </c>
      <c r="J278" s="28">
        <f>2020-Table_7[[#This Row],[Year]]</f>
        <v>15</v>
      </c>
      <c r="K278">
        <v>4200000000</v>
      </c>
      <c r="L278">
        <v>39553.199999999997</v>
      </c>
      <c r="M278">
        <v>4.0999999999999996</v>
      </c>
      <c r="N278">
        <v>-2.1</v>
      </c>
      <c r="O278">
        <v>34.78</v>
      </c>
      <c r="P278">
        <v>869.72</v>
      </c>
      <c r="Q278">
        <v>118</v>
      </c>
      <c r="R278">
        <v>12.53</v>
      </c>
    </row>
    <row r="279" spans="1:18" x14ac:dyDescent="0.25">
      <c r="A279" s="1" t="s">
        <v>175</v>
      </c>
      <c r="B279" s="2">
        <v>40</v>
      </c>
      <c r="C279" s="19">
        <v>40</v>
      </c>
      <c r="D279" s="3" t="s">
        <v>496</v>
      </c>
      <c r="E279" s="3" t="s">
        <v>176</v>
      </c>
      <c r="F279" s="23">
        <v>363194</v>
      </c>
      <c r="G279" s="15">
        <v>2008</v>
      </c>
      <c r="H279" s="15">
        <f>Table_7[[#This Row],[Listing Price (USD)]]/10000</f>
        <v>36.319400000000002</v>
      </c>
      <c r="I279" s="28">
        <f>Table_7[[#This Row],[Length 
(ft)]]</f>
        <v>40</v>
      </c>
      <c r="J279" s="28">
        <f>2020-Table_7[[#This Row],[Year]]</f>
        <v>12</v>
      </c>
      <c r="K279">
        <v>25008448886.3507</v>
      </c>
      <c r="L279">
        <v>28036.189453125</v>
      </c>
      <c r="M279">
        <v>-0.638422797978907</v>
      </c>
      <c r="N279">
        <v>-4.3724741857521501</v>
      </c>
      <c r="O279">
        <v>34.78</v>
      </c>
      <c r="P279">
        <v>869.72</v>
      </c>
      <c r="Q279">
        <v>118</v>
      </c>
      <c r="R279">
        <v>12.53</v>
      </c>
    </row>
    <row r="280" spans="1:18" x14ac:dyDescent="0.25">
      <c r="A280" s="1" t="s">
        <v>45</v>
      </c>
      <c r="B280" s="2" t="s">
        <v>64</v>
      </c>
      <c r="C280" s="19">
        <v>43</v>
      </c>
      <c r="D280" s="3" t="s">
        <v>496</v>
      </c>
      <c r="E280" s="3" t="s">
        <v>24</v>
      </c>
      <c r="F280" s="23">
        <v>180990</v>
      </c>
      <c r="G280" s="15">
        <v>2012</v>
      </c>
      <c r="H280" s="15">
        <f>Table_7[[#This Row],[Listing Price (USD)]]/10000</f>
        <v>18.099</v>
      </c>
      <c r="I280" s="28">
        <f>Table_7[[#This Row],[Length 
(ft)]]</f>
        <v>43</v>
      </c>
      <c r="J280" s="28">
        <f>2020-Table_7[[#This Row],[Year]]</f>
        <v>8</v>
      </c>
      <c r="K280">
        <v>1896755301518.1399</v>
      </c>
      <c r="L280">
        <v>31911.0357890017</v>
      </c>
      <c r="M280">
        <v>-0.13770757391656999</v>
      </c>
      <c r="N280">
        <v>-9.0399534112288507</v>
      </c>
      <c r="O280">
        <v>39.159999999999997</v>
      </c>
      <c r="P280">
        <v>912.00199999999995</v>
      </c>
      <c r="Q280">
        <v>116</v>
      </c>
      <c r="R280">
        <v>14</v>
      </c>
    </row>
    <row r="281" spans="1:18" x14ac:dyDescent="0.25">
      <c r="A281" s="1" t="s">
        <v>45</v>
      </c>
      <c r="B281" s="3" t="s">
        <v>64</v>
      </c>
      <c r="C281" s="19">
        <v>43</v>
      </c>
      <c r="D281" s="3" t="s">
        <v>495</v>
      </c>
      <c r="E281" s="3" t="s">
        <v>500</v>
      </c>
      <c r="F281" s="23">
        <v>219000</v>
      </c>
      <c r="G281" s="15">
        <v>2012</v>
      </c>
      <c r="H281" s="15">
        <f>Table_7[[#This Row],[Listing Price (USD)]]/10000</f>
        <v>21.9</v>
      </c>
      <c r="I281" s="28">
        <f>Table_7[[#This Row],[Length 
(ft)]]</f>
        <v>43</v>
      </c>
      <c r="J281" s="28">
        <f>2020-Table_7[[#This Row],[Year]]</f>
        <v>8</v>
      </c>
      <c r="K281">
        <v>3007188000000</v>
      </c>
      <c r="L281">
        <v>76131.839999999997</v>
      </c>
      <c r="M281">
        <v>1.23</v>
      </c>
      <c r="N281">
        <v>2.7</v>
      </c>
      <c r="O281">
        <v>39.159999999999997</v>
      </c>
      <c r="P281">
        <v>912.00199999999995</v>
      </c>
      <c r="Q281">
        <v>116</v>
      </c>
      <c r="R281">
        <v>14</v>
      </c>
    </row>
    <row r="282" spans="1:18" x14ac:dyDescent="0.25">
      <c r="A282" s="1" t="s">
        <v>175</v>
      </c>
      <c r="B282" s="2">
        <v>44</v>
      </c>
      <c r="C282" s="19">
        <v>47</v>
      </c>
      <c r="D282" s="3" t="s">
        <v>496</v>
      </c>
      <c r="E282" s="3" t="s">
        <v>63</v>
      </c>
      <c r="F282" s="23">
        <v>722928</v>
      </c>
      <c r="G282" s="15">
        <v>2017</v>
      </c>
      <c r="H282" s="15">
        <f>Table_7[[#This Row],[Listing Price (USD)]]/10000</f>
        <v>72.2928</v>
      </c>
      <c r="I282" s="28">
        <f>Table_7[[#This Row],[Length 
(ft)]]</f>
        <v>47</v>
      </c>
      <c r="J282" s="28">
        <f>2020-Table_7[[#This Row],[Year]]</f>
        <v>3</v>
      </c>
      <c r="K282">
        <v>720290000024</v>
      </c>
      <c r="L282">
        <v>13341.6</v>
      </c>
      <c r="M282">
        <v>13</v>
      </c>
      <c r="N282">
        <v>-3</v>
      </c>
      <c r="O282">
        <v>42.26</v>
      </c>
      <c r="P282">
        <v>1179.72</v>
      </c>
      <c r="Q282">
        <v>111</v>
      </c>
      <c r="R282">
        <v>13.78</v>
      </c>
    </row>
    <row r="283" spans="1:18" x14ac:dyDescent="0.25">
      <c r="A283" s="1" t="s">
        <v>357</v>
      </c>
      <c r="B283" s="3">
        <v>470</v>
      </c>
      <c r="C283" s="19">
        <v>47</v>
      </c>
      <c r="D283" s="3" t="s">
        <v>495</v>
      </c>
      <c r="E283" s="3" t="s">
        <v>515</v>
      </c>
      <c r="F283" s="23">
        <v>489000</v>
      </c>
      <c r="G283" s="15">
        <v>2006</v>
      </c>
      <c r="H283" s="15">
        <f>Table_7[[#This Row],[Listing Price (USD)]]/10000</f>
        <v>48.9</v>
      </c>
      <c r="I283" s="28">
        <f>Table_7[[#This Row],[Length 
(ft)]]</f>
        <v>47</v>
      </c>
      <c r="J283" s="28">
        <f>2020-Table_7[[#This Row],[Year]]</f>
        <v>14</v>
      </c>
      <c r="K283">
        <v>410675000000</v>
      </c>
      <c r="L283">
        <v>66531.03</v>
      </c>
      <c r="M283">
        <v>1.23</v>
      </c>
      <c r="N283">
        <v>1.8</v>
      </c>
      <c r="O283">
        <v>39.08</v>
      </c>
      <c r="P283">
        <v>1110</v>
      </c>
      <c r="Q283">
        <v>110</v>
      </c>
      <c r="R283">
        <v>14.18</v>
      </c>
    </row>
    <row r="284" spans="1:18" x14ac:dyDescent="0.25">
      <c r="A284" s="1" t="s">
        <v>296</v>
      </c>
      <c r="B284" s="2" t="s">
        <v>301</v>
      </c>
      <c r="C284" s="19">
        <v>42</v>
      </c>
      <c r="D284" s="3" t="s">
        <v>496</v>
      </c>
      <c r="E284" s="3" t="s">
        <v>516</v>
      </c>
      <c r="F284" s="23">
        <v>583078</v>
      </c>
      <c r="G284" s="15">
        <v>2018</v>
      </c>
      <c r="H284" s="15">
        <f>Table_7[[#This Row],[Listing Price (USD)]]/10000</f>
        <v>58.3078</v>
      </c>
      <c r="I284" s="28">
        <f>Table_7[[#This Row],[Length 
(ft)]]</f>
        <v>42</v>
      </c>
      <c r="J284" s="28">
        <f>2020-Table_7[[#This Row],[Year]]</f>
        <v>2</v>
      </c>
      <c r="K284">
        <v>909793466661.48096</v>
      </c>
      <c r="L284">
        <v>52162.570115040602</v>
      </c>
      <c r="M284">
        <v>1.2724603778917001</v>
      </c>
      <c r="N284">
        <v>-3.88608391819609</v>
      </c>
      <c r="O284">
        <v>38.68</v>
      </c>
      <c r="P284">
        <v>972.952</v>
      </c>
      <c r="Q284">
        <v>110</v>
      </c>
      <c r="R284">
        <v>14.24</v>
      </c>
    </row>
    <row r="285" spans="1:18" x14ac:dyDescent="0.25">
      <c r="A285" s="1" t="s">
        <v>45</v>
      </c>
      <c r="B285" s="2" t="s">
        <v>85</v>
      </c>
      <c r="C285" s="19">
        <v>49</v>
      </c>
      <c r="D285" s="3" t="s">
        <v>496</v>
      </c>
      <c r="E285" s="3" t="s">
        <v>63</v>
      </c>
      <c r="F285" s="23">
        <v>315834</v>
      </c>
      <c r="G285" s="15">
        <v>2014</v>
      </c>
      <c r="H285" s="15">
        <f>Table_7[[#This Row],[Listing Price (USD)]]/10000</f>
        <v>31.583400000000001</v>
      </c>
      <c r="I285" s="28">
        <f>Table_7[[#This Row],[Length 
(ft)]]</f>
        <v>49</v>
      </c>
      <c r="J285" s="28">
        <f>2020-Table_7[[#This Row],[Year]]</f>
        <v>6</v>
      </c>
      <c r="K285">
        <v>720290000000</v>
      </c>
      <c r="L285">
        <v>13341.6</v>
      </c>
      <c r="M285">
        <v>13</v>
      </c>
      <c r="N285">
        <v>-3</v>
      </c>
      <c r="O285">
        <v>46.1</v>
      </c>
      <c r="P285">
        <v>1367.002</v>
      </c>
      <c r="Q285">
        <v>110</v>
      </c>
      <c r="R285">
        <v>15.94</v>
      </c>
    </row>
    <row r="286" spans="1:18" x14ac:dyDescent="0.25">
      <c r="A286" s="1" t="s">
        <v>45</v>
      </c>
      <c r="B286" s="2" t="s">
        <v>85</v>
      </c>
      <c r="C286" s="19">
        <v>49</v>
      </c>
      <c r="D286" s="3" t="s">
        <v>496</v>
      </c>
      <c r="E286" s="3" t="s">
        <v>18</v>
      </c>
      <c r="F286" s="23">
        <v>321895</v>
      </c>
      <c r="G286" s="15">
        <v>2013</v>
      </c>
      <c r="H286" s="15">
        <f>Table_7[[#This Row],[Listing Price (USD)]]/10000</f>
        <v>32.189500000000002</v>
      </c>
      <c r="I286" s="28">
        <f>Table_7[[#This Row],[Length 
(ft)]]</f>
        <v>49</v>
      </c>
      <c r="J286" s="28">
        <f>2020-Table_7[[#This Row],[Year]]</f>
        <v>7</v>
      </c>
      <c r="K286">
        <v>188925995936.80701</v>
      </c>
      <c r="L286">
        <v>17658.947301119199</v>
      </c>
      <c r="M286">
        <v>-1.2479835558140799</v>
      </c>
      <c r="N286">
        <v>-9.0040436420214593</v>
      </c>
      <c r="O286">
        <v>46.1</v>
      </c>
      <c r="P286">
        <v>1367.002</v>
      </c>
      <c r="Q286">
        <v>110</v>
      </c>
      <c r="R286">
        <v>15.94</v>
      </c>
    </row>
    <row r="287" spans="1:18" x14ac:dyDescent="0.25">
      <c r="A287" s="1" t="s">
        <v>45</v>
      </c>
      <c r="B287" s="2" t="s">
        <v>85</v>
      </c>
      <c r="C287" s="19">
        <v>49</v>
      </c>
      <c r="D287" s="3" t="s">
        <v>496</v>
      </c>
      <c r="E287" s="3" t="s">
        <v>3</v>
      </c>
      <c r="F287" s="23">
        <v>326709</v>
      </c>
      <c r="G287" s="15">
        <v>2012</v>
      </c>
      <c r="H287" s="15">
        <f>Table_7[[#This Row],[Listing Price (USD)]]/10000</f>
        <v>32.670900000000003</v>
      </c>
      <c r="I287" s="28">
        <f>Table_7[[#This Row],[Length 
(ft)]]</f>
        <v>49</v>
      </c>
      <c r="J287" s="28">
        <f>2020-Table_7[[#This Row],[Year]]</f>
        <v>8</v>
      </c>
      <c r="K287">
        <v>2639008701648.2598</v>
      </c>
      <c r="L287">
        <v>39055.282928075401</v>
      </c>
      <c r="M287">
        <v>0.47649885272508302</v>
      </c>
      <c r="N287">
        <v>-7.7845864916787102</v>
      </c>
      <c r="O287">
        <v>46.1</v>
      </c>
      <c r="P287">
        <v>1367.002</v>
      </c>
      <c r="Q287">
        <v>110</v>
      </c>
      <c r="R287">
        <v>15.94</v>
      </c>
    </row>
    <row r="288" spans="1:18" x14ac:dyDescent="0.25">
      <c r="A288" s="1" t="s">
        <v>45</v>
      </c>
      <c r="B288" s="2" t="s">
        <v>85</v>
      </c>
      <c r="C288" s="19">
        <v>49</v>
      </c>
      <c r="D288" s="3" t="s">
        <v>496</v>
      </c>
      <c r="E288" s="3" t="s">
        <v>3</v>
      </c>
      <c r="F288" s="23">
        <v>326753</v>
      </c>
      <c r="G288" s="15">
        <v>2012</v>
      </c>
      <c r="H288" s="15">
        <f>Table_7[[#This Row],[Listing Price (USD)]]/10000</f>
        <v>32.6753</v>
      </c>
      <c r="I288" s="28">
        <f>Table_7[[#This Row],[Length 
(ft)]]</f>
        <v>49</v>
      </c>
      <c r="J288" s="28">
        <f>2020-Table_7[[#This Row],[Year]]</f>
        <v>8</v>
      </c>
      <c r="K288">
        <v>2639008701648.2598</v>
      </c>
      <c r="L288">
        <v>39055.282928075401</v>
      </c>
      <c r="M288">
        <v>0.47649885272508302</v>
      </c>
      <c r="N288">
        <v>-7.7845864916787102</v>
      </c>
      <c r="O288">
        <v>46.1</v>
      </c>
      <c r="P288">
        <v>1367.002</v>
      </c>
      <c r="Q288">
        <v>110</v>
      </c>
      <c r="R288">
        <v>15.94</v>
      </c>
    </row>
    <row r="289" spans="1:18" x14ac:dyDescent="0.25">
      <c r="A289" s="1" t="s">
        <v>45</v>
      </c>
      <c r="B289" s="2" t="s">
        <v>85</v>
      </c>
      <c r="C289" s="19">
        <v>49</v>
      </c>
      <c r="D289" s="3" t="s">
        <v>496</v>
      </c>
      <c r="E289" s="3" t="s">
        <v>18</v>
      </c>
      <c r="F289" s="23">
        <v>346988</v>
      </c>
      <c r="G289" s="15">
        <v>2013</v>
      </c>
      <c r="H289" s="15">
        <f>Table_7[[#This Row],[Listing Price (USD)]]/10000</f>
        <v>34.698799999999999</v>
      </c>
      <c r="I289" s="28">
        <f>Table_7[[#This Row],[Length 
(ft)]]</f>
        <v>49</v>
      </c>
      <c r="J289" s="28">
        <f>2020-Table_7[[#This Row],[Year]]</f>
        <v>7</v>
      </c>
      <c r="K289">
        <v>188925995936.80701</v>
      </c>
      <c r="L289">
        <v>17658.947301119199</v>
      </c>
      <c r="M289">
        <v>-1.2479835558140799</v>
      </c>
      <c r="N289">
        <v>-9.0040436420214593</v>
      </c>
      <c r="O289">
        <v>46.1</v>
      </c>
      <c r="P289">
        <v>1367.002</v>
      </c>
      <c r="Q289">
        <v>110</v>
      </c>
      <c r="R289">
        <v>15.94</v>
      </c>
    </row>
    <row r="290" spans="1:18" x14ac:dyDescent="0.25">
      <c r="A290" s="1" t="s">
        <v>45</v>
      </c>
      <c r="B290" s="3" t="s">
        <v>85</v>
      </c>
      <c r="C290" s="19">
        <v>49</v>
      </c>
      <c r="D290" s="3" t="s">
        <v>495</v>
      </c>
      <c r="E290" s="3" t="s">
        <v>500</v>
      </c>
      <c r="F290" s="23">
        <v>375000</v>
      </c>
      <c r="G290" s="15">
        <v>2012</v>
      </c>
      <c r="H290" s="15">
        <f>Table_7[[#This Row],[Listing Price (USD)]]/10000</f>
        <v>37.5</v>
      </c>
      <c r="I290" s="28">
        <f>Table_7[[#This Row],[Length 
(ft)]]</f>
        <v>49</v>
      </c>
      <c r="J290" s="28">
        <f>2020-Table_7[[#This Row],[Year]]</f>
        <v>8</v>
      </c>
      <c r="K290">
        <v>3007188000000</v>
      </c>
      <c r="L290">
        <v>76131.839999999997</v>
      </c>
      <c r="M290">
        <v>1.23</v>
      </c>
      <c r="N290">
        <v>2.7</v>
      </c>
      <c r="O290">
        <v>46.1</v>
      </c>
      <c r="P290">
        <v>1367.002</v>
      </c>
      <c r="Q290">
        <v>110</v>
      </c>
      <c r="R290">
        <v>15.94</v>
      </c>
    </row>
    <row r="291" spans="1:18" x14ac:dyDescent="0.25">
      <c r="A291" s="1" t="s">
        <v>45</v>
      </c>
      <c r="B291" s="2" t="s">
        <v>85</v>
      </c>
      <c r="C291" s="19">
        <v>49</v>
      </c>
      <c r="D291" s="3" t="s">
        <v>496</v>
      </c>
      <c r="E291" s="3" t="s">
        <v>3</v>
      </c>
      <c r="F291" s="23">
        <v>382629</v>
      </c>
      <c r="G291" s="15">
        <v>2014</v>
      </c>
      <c r="H291" s="15">
        <f>Table_7[[#This Row],[Listing Price (USD)]]/10000</f>
        <v>38.262900000000002</v>
      </c>
      <c r="I291" s="28">
        <f>Table_7[[#This Row],[Length 
(ft)]]</f>
        <v>49</v>
      </c>
      <c r="J291" s="28">
        <f>2020-Table_7[[#This Row],[Year]]</f>
        <v>6</v>
      </c>
      <c r="K291">
        <v>2639008701648.2598</v>
      </c>
      <c r="L291">
        <v>39055.282928075401</v>
      </c>
      <c r="M291">
        <v>0.47649885272508302</v>
      </c>
      <c r="N291">
        <v>-7.7845864916787102</v>
      </c>
      <c r="O291">
        <v>46.1</v>
      </c>
      <c r="P291">
        <v>1367.002</v>
      </c>
      <c r="Q291">
        <v>110</v>
      </c>
      <c r="R291">
        <v>15.94</v>
      </c>
    </row>
    <row r="292" spans="1:18" x14ac:dyDescent="0.25">
      <c r="A292" s="1" t="s">
        <v>45</v>
      </c>
      <c r="B292" s="3" t="s">
        <v>85</v>
      </c>
      <c r="C292" s="19">
        <v>49</v>
      </c>
      <c r="D292" s="3" t="s">
        <v>495</v>
      </c>
      <c r="E292" s="3" t="s">
        <v>523</v>
      </c>
      <c r="F292" s="23">
        <v>395000</v>
      </c>
      <c r="G292" s="15">
        <v>2014</v>
      </c>
      <c r="H292" s="15">
        <f>Table_7[[#This Row],[Listing Price (USD)]]/10000</f>
        <v>39.5</v>
      </c>
      <c r="I292" s="28">
        <f>Table_7[[#This Row],[Length 
(ft)]]</f>
        <v>49</v>
      </c>
      <c r="J292" s="28">
        <f>2020-Table_7[[#This Row],[Year]]</f>
        <v>6</v>
      </c>
      <c r="K292">
        <v>1775588000000</v>
      </c>
      <c r="L292">
        <v>60771.06</v>
      </c>
      <c r="M292">
        <v>1.23</v>
      </c>
      <c r="N292">
        <v>5.0999999999999996</v>
      </c>
      <c r="O292">
        <v>46.1</v>
      </c>
      <c r="P292">
        <v>1367.002</v>
      </c>
      <c r="Q292">
        <v>110</v>
      </c>
      <c r="R292">
        <v>15.94</v>
      </c>
    </row>
    <row r="293" spans="1:18" x14ac:dyDescent="0.25">
      <c r="A293" s="1" t="s">
        <v>45</v>
      </c>
      <c r="B293" s="3" t="s">
        <v>85</v>
      </c>
      <c r="C293" s="19">
        <v>49</v>
      </c>
      <c r="D293" s="3" t="s">
        <v>495</v>
      </c>
      <c r="E293" s="3" t="s">
        <v>500</v>
      </c>
      <c r="F293" s="23">
        <v>399650</v>
      </c>
      <c r="G293" s="15">
        <v>2012</v>
      </c>
      <c r="H293" s="15">
        <f>Table_7[[#This Row],[Listing Price (USD)]]/10000</f>
        <v>39.965000000000003</v>
      </c>
      <c r="I293" s="28">
        <f>Table_7[[#This Row],[Length 
(ft)]]</f>
        <v>49</v>
      </c>
      <c r="J293" s="28">
        <f>2020-Table_7[[#This Row],[Year]]</f>
        <v>8</v>
      </c>
      <c r="K293">
        <v>3007188000000</v>
      </c>
      <c r="L293">
        <v>76131.839999999997</v>
      </c>
      <c r="M293">
        <v>1.23</v>
      </c>
      <c r="N293">
        <v>2.7</v>
      </c>
      <c r="O293">
        <v>46.1</v>
      </c>
      <c r="P293">
        <v>1367.002</v>
      </c>
      <c r="Q293">
        <v>110</v>
      </c>
      <c r="R293">
        <v>15.94</v>
      </c>
    </row>
    <row r="294" spans="1:18" x14ac:dyDescent="0.25">
      <c r="A294" s="1" t="s">
        <v>45</v>
      </c>
      <c r="B294" s="3" t="s">
        <v>85</v>
      </c>
      <c r="C294" s="19">
        <v>49</v>
      </c>
      <c r="D294" s="3" t="s">
        <v>495</v>
      </c>
      <c r="E294" s="3" t="s">
        <v>523</v>
      </c>
      <c r="F294" s="23">
        <v>399900</v>
      </c>
      <c r="G294" s="15">
        <v>2015</v>
      </c>
      <c r="H294" s="15">
        <f>Table_7[[#This Row],[Listing Price (USD)]]/10000</f>
        <v>39.99</v>
      </c>
      <c r="I294" s="28">
        <f>Table_7[[#This Row],[Length 
(ft)]]</f>
        <v>49</v>
      </c>
      <c r="J294" s="28">
        <f>2020-Table_7[[#This Row],[Year]]</f>
        <v>5</v>
      </c>
      <c r="K294">
        <v>1775588000000</v>
      </c>
      <c r="L294">
        <v>60771.06</v>
      </c>
      <c r="M294">
        <v>1.23</v>
      </c>
      <c r="N294">
        <v>5.0999999999999996</v>
      </c>
      <c r="O294">
        <v>46.1</v>
      </c>
      <c r="P294">
        <v>1367.002</v>
      </c>
      <c r="Q294">
        <v>110</v>
      </c>
      <c r="R294">
        <v>15.94</v>
      </c>
    </row>
    <row r="295" spans="1:18" x14ac:dyDescent="0.25">
      <c r="A295" s="1" t="s">
        <v>45</v>
      </c>
      <c r="B295" s="2" t="s">
        <v>85</v>
      </c>
      <c r="C295" s="19">
        <v>49</v>
      </c>
      <c r="D295" s="3" t="s">
        <v>496</v>
      </c>
      <c r="E295" s="3" t="s">
        <v>24</v>
      </c>
      <c r="F295" s="23">
        <v>400850</v>
      </c>
      <c r="G295" s="15">
        <v>2014</v>
      </c>
      <c r="H295" s="15">
        <f>Table_7[[#This Row],[Listing Price (USD)]]/10000</f>
        <v>40.085000000000001</v>
      </c>
      <c r="I295" s="28">
        <f>Table_7[[#This Row],[Length 
(ft)]]</f>
        <v>49</v>
      </c>
      <c r="J295" s="28">
        <f>2020-Table_7[[#This Row],[Year]]</f>
        <v>6</v>
      </c>
      <c r="K295">
        <v>1896755301518.1399</v>
      </c>
      <c r="L295">
        <v>31911.0357890017</v>
      </c>
      <c r="M295">
        <v>-0.13770757391656999</v>
      </c>
      <c r="N295">
        <v>-9.0399534112288507</v>
      </c>
      <c r="O295">
        <v>46.1</v>
      </c>
      <c r="P295">
        <v>1367.002</v>
      </c>
      <c r="Q295">
        <v>110</v>
      </c>
      <c r="R295">
        <v>15.94</v>
      </c>
    </row>
    <row r="296" spans="1:18" x14ac:dyDescent="0.25">
      <c r="A296" s="1" t="s">
        <v>45</v>
      </c>
      <c r="B296" s="2" t="s">
        <v>85</v>
      </c>
      <c r="C296" s="19">
        <v>49</v>
      </c>
      <c r="D296" s="3" t="s">
        <v>496</v>
      </c>
      <c r="E296" s="3" t="s">
        <v>3</v>
      </c>
      <c r="F296" s="23">
        <v>423929</v>
      </c>
      <c r="G296" s="15">
        <v>2012</v>
      </c>
      <c r="H296" s="15">
        <f>Table_7[[#This Row],[Listing Price (USD)]]/10000</f>
        <v>42.392899999999997</v>
      </c>
      <c r="I296" s="28">
        <f>Table_7[[#This Row],[Length 
(ft)]]</f>
        <v>49</v>
      </c>
      <c r="J296" s="28">
        <f>2020-Table_7[[#This Row],[Year]]</f>
        <v>8</v>
      </c>
      <c r="K296">
        <v>2639008701648.2598</v>
      </c>
      <c r="L296">
        <v>39055.282928075401</v>
      </c>
      <c r="M296">
        <v>0.47649885272508302</v>
      </c>
      <c r="N296">
        <v>-7.7845864916787102</v>
      </c>
      <c r="O296">
        <v>46.1</v>
      </c>
      <c r="P296">
        <v>1367.002</v>
      </c>
      <c r="Q296">
        <v>110</v>
      </c>
      <c r="R296">
        <v>15.94</v>
      </c>
    </row>
    <row r="297" spans="1:18" x14ac:dyDescent="0.25">
      <c r="A297" s="1" t="s">
        <v>45</v>
      </c>
      <c r="B297" s="2" t="s">
        <v>87</v>
      </c>
      <c r="C297" s="19">
        <v>51</v>
      </c>
      <c r="D297" s="3" t="s">
        <v>496</v>
      </c>
      <c r="E297" s="3" t="s">
        <v>63</v>
      </c>
      <c r="F297" s="23">
        <v>655962</v>
      </c>
      <c r="G297" s="15">
        <v>2018</v>
      </c>
      <c r="H297" s="15">
        <f>Table_7[[#This Row],[Listing Price (USD)]]/10000</f>
        <v>65.596199999999996</v>
      </c>
      <c r="I297" s="28">
        <f>Table_7[[#This Row],[Length 
(ft)]]</f>
        <v>51</v>
      </c>
      <c r="J297" s="28">
        <f>2020-Table_7[[#This Row],[Year]]</f>
        <v>2</v>
      </c>
      <c r="K297">
        <v>720290000000</v>
      </c>
      <c r="L297">
        <v>13341.6</v>
      </c>
      <c r="M297">
        <v>13</v>
      </c>
      <c r="N297">
        <v>-3</v>
      </c>
      <c r="O297">
        <v>46.1</v>
      </c>
      <c r="P297">
        <v>1280.002</v>
      </c>
      <c r="Q297">
        <v>110</v>
      </c>
      <c r="R297">
        <v>15.94</v>
      </c>
    </row>
    <row r="298" spans="1:18" x14ac:dyDescent="0.25">
      <c r="A298" s="1" t="s">
        <v>164</v>
      </c>
      <c r="B298" s="2">
        <v>54</v>
      </c>
      <c r="C298" s="19">
        <v>53</v>
      </c>
      <c r="D298" s="3" t="s">
        <v>496</v>
      </c>
      <c r="E298" s="3" t="s">
        <v>24</v>
      </c>
      <c r="F298" s="23">
        <v>376556</v>
      </c>
      <c r="G298" s="15">
        <v>2008</v>
      </c>
      <c r="H298" s="15">
        <f>Table_7[[#This Row],[Listing Price (USD)]]/10000</f>
        <v>37.6556</v>
      </c>
      <c r="I298" s="28">
        <f>Table_7[[#This Row],[Length 
(ft)]]</f>
        <v>53</v>
      </c>
      <c r="J298" s="28">
        <f>2020-Table_7[[#This Row],[Year]]</f>
        <v>12</v>
      </c>
      <c r="K298">
        <v>1896755301518.1399</v>
      </c>
      <c r="L298">
        <v>31911.0357890017</v>
      </c>
      <c r="M298">
        <v>-0.13770757391656999</v>
      </c>
      <c r="N298">
        <v>-9.0399534112288507</v>
      </c>
      <c r="O298">
        <v>48.72</v>
      </c>
      <c r="P298">
        <v>1883</v>
      </c>
      <c r="Q298">
        <v>106</v>
      </c>
      <c r="R298">
        <v>15.26</v>
      </c>
    </row>
    <row r="299" spans="1:18" x14ac:dyDescent="0.25">
      <c r="A299" s="1" t="s">
        <v>164</v>
      </c>
      <c r="B299" s="2">
        <v>54</v>
      </c>
      <c r="C299" s="19">
        <v>53</v>
      </c>
      <c r="D299" s="3" t="s">
        <v>496</v>
      </c>
      <c r="E299" s="3" t="s">
        <v>3</v>
      </c>
      <c r="F299" s="23">
        <v>455449</v>
      </c>
      <c r="G299" s="15">
        <v>2008</v>
      </c>
      <c r="H299" s="15">
        <f>Table_7[[#This Row],[Listing Price (USD)]]/10000</f>
        <v>45.544899999999998</v>
      </c>
      <c r="I299" s="28">
        <f>Table_7[[#This Row],[Length 
(ft)]]</f>
        <v>53</v>
      </c>
      <c r="J299" s="28">
        <f>2020-Table_7[[#This Row],[Year]]</f>
        <v>12</v>
      </c>
      <c r="K299">
        <v>2639008701648.2598</v>
      </c>
      <c r="L299">
        <v>39055.282928075401</v>
      </c>
      <c r="M299">
        <v>0.47649885272508302</v>
      </c>
      <c r="N299">
        <v>-7.7845864916787102</v>
      </c>
      <c r="O299">
        <v>48.72</v>
      </c>
      <c r="P299">
        <v>1883</v>
      </c>
      <c r="Q299">
        <v>106</v>
      </c>
      <c r="R299">
        <v>15.26</v>
      </c>
    </row>
    <row r="300" spans="1:18" x14ac:dyDescent="0.25">
      <c r="A300" s="1" t="s">
        <v>164</v>
      </c>
      <c r="B300" s="2">
        <v>54</v>
      </c>
      <c r="C300" s="19">
        <v>53</v>
      </c>
      <c r="D300" s="3" t="s">
        <v>496</v>
      </c>
      <c r="E300" s="3" t="s">
        <v>9</v>
      </c>
      <c r="F300" s="23">
        <v>467658</v>
      </c>
      <c r="G300" s="15">
        <v>2007</v>
      </c>
      <c r="H300" s="15">
        <f>Table_7[[#This Row],[Listing Price (USD)]]/10000</f>
        <v>46.765799999999999</v>
      </c>
      <c r="I300" s="28">
        <f>Table_7[[#This Row],[Length 
(ft)]]</f>
        <v>53</v>
      </c>
      <c r="J300" s="28">
        <f>2020-Table_7[[#This Row],[Year]]</f>
        <v>13</v>
      </c>
      <c r="K300">
        <v>1276962685648.25</v>
      </c>
      <c r="L300">
        <v>26959.675436732599</v>
      </c>
      <c r="M300">
        <v>-0.32275301729970501</v>
      </c>
      <c r="N300">
        <v>-11.3254383222864</v>
      </c>
      <c r="O300">
        <v>48.72</v>
      </c>
      <c r="P300">
        <v>1883</v>
      </c>
      <c r="Q300">
        <v>106</v>
      </c>
      <c r="R300">
        <v>15.26</v>
      </c>
    </row>
    <row r="301" spans="1:18" x14ac:dyDescent="0.25">
      <c r="A301" s="1" t="s">
        <v>164</v>
      </c>
      <c r="B301" s="2">
        <v>54</v>
      </c>
      <c r="C301" s="19">
        <v>53</v>
      </c>
      <c r="D301" s="3" t="s">
        <v>496</v>
      </c>
      <c r="E301" s="3" t="s">
        <v>31</v>
      </c>
      <c r="F301" s="23">
        <v>479805</v>
      </c>
      <c r="G301" s="15">
        <v>2011</v>
      </c>
      <c r="H301" s="15">
        <f>Table_7[[#This Row],[Listing Price (USD)]]/10000</f>
        <v>47.980499999999999</v>
      </c>
      <c r="I301" s="28">
        <f>Table_7[[#This Row],[Length 
(ft)]]</f>
        <v>53</v>
      </c>
      <c r="J301" s="28">
        <f>2020-Table_7[[#This Row],[Year]]</f>
        <v>9</v>
      </c>
      <c r="K301">
        <v>57472012426.685303</v>
      </c>
      <c r="L301">
        <v>14198.753959474399</v>
      </c>
      <c r="M301">
        <v>0.15481137456202801</v>
      </c>
      <c r="N301">
        <v>-8.5803430210621805</v>
      </c>
      <c r="O301">
        <v>48.72</v>
      </c>
      <c r="P301">
        <v>1883</v>
      </c>
      <c r="Q301">
        <v>106</v>
      </c>
      <c r="R301">
        <v>15.26</v>
      </c>
    </row>
    <row r="302" spans="1:18" x14ac:dyDescent="0.25">
      <c r="A302" s="1" t="s">
        <v>164</v>
      </c>
      <c r="B302" s="2">
        <v>54</v>
      </c>
      <c r="C302" s="19">
        <v>53</v>
      </c>
      <c r="D302" s="3" t="s">
        <v>496</v>
      </c>
      <c r="E302" s="3" t="s">
        <v>24</v>
      </c>
      <c r="F302" s="23">
        <v>601275</v>
      </c>
      <c r="G302" s="15">
        <v>2015</v>
      </c>
      <c r="H302" s="15">
        <f>Table_7[[#This Row],[Listing Price (USD)]]/10000</f>
        <v>60.127499999999998</v>
      </c>
      <c r="I302" s="28">
        <f>Table_7[[#This Row],[Length 
(ft)]]</f>
        <v>53</v>
      </c>
      <c r="J302" s="28">
        <f>2020-Table_7[[#This Row],[Year]]</f>
        <v>5</v>
      </c>
      <c r="K302">
        <v>1896755301518.1399</v>
      </c>
      <c r="L302">
        <v>31911.0357890017</v>
      </c>
      <c r="M302">
        <v>-0.13770757391656999</v>
      </c>
      <c r="N302">
        <v>-9.0399534112288507</v>
      </c>
      <c r="O302">
        <v>48.72</v>
      </c>
      <c r="P302">
        <v>1883</v>
      </c>
      <c r="Q302">
        <v>106</v>
      </c>
      <c r="R302">
        <v>15.26</v>
      </c>
    </row>
    <row r="303" spans="1:18" x14ac:dyDescent="0.25">
      <c r="A303" s="1" t="s">
        <v>45</v>
      </c>
      <c r="B303" s="2">
        <v>56</v>
      </c>
      <c r="C303" s="19">
        <v>56</v>
      </c>
      <c r="D303" s="3" t="s">
        <v>496</v>
      </c>
      <c r="E303" s="3" t="s">
        <v>9</v>
      </c>
      <c r="F303" s="23">
        <v>352276</v>
      </c>
      <c r="G303" s="15">
        <v>2008</v>
      </c>
      <c r="H303" s="15">
        <f>Table_7[[#This Row],[Listing Price (USD)]]/10000</f>
        <v>35.227600000000002</v>
      </c>
      <c r="I303" s="28">
        <f>Table_7[[#This Row],[Length 
(ft)]]</f>
        <v>56</v>
      </c>
      <c r="J303" s="28">
        <f>2020-Table_7[[#This Row],[Year]]</f>
        <v>12</v>
      </c>
      <c r="K303">
        <v>1276962685648.25</v>
      </c>
      <c r="L303">
        <v>26959.675436732599</v>
      </c>
      <c r="M303">
        <v>-0.32275301729970501</v>
      </c>
      <c r="N303">
        <v>-11.3254383222864</v>
      </c>
      <c r="O303">
        <v>48.75</v>
      </c>
      <c r="P303">
        <v>2044</v>
      </c>
      <c r="Q303">
        <v>106</v>
      </c>
      <c r="R303">
        <v>15.85</v>
      </c>
    </row>
    <row r="304" spans="1:18" x14ac:dyDescent="0.25">
      <c r="A304" s="1" t="s">
        <v>164</v>
      </c>
      <c r="B304" s="2">
        <v>56</v>
      </c>
      <c r="C304" s="19">
        <v>55</v>
      </c>
      <c r="D304" s="3" t="s">
        <v>496</v>
      </c>
      <c r="E304" s="3" t="s">
        <v>19</v>
      </c>
      <c r="F304" s="23">
        <v>353064</v>
      </c>
      <c r="G304" s="15">
        <v>2008</v>
      </c>
      <c r="H304" s="15">
        <f>Table_7[[#This Row],[Listing Price (USD)]]/10000</f>
        <v>35.306399999999996</v>
      </c>
      <c r="I304" s="28">
        <f>Table_7[[#This Row],[Length 
(ft)]]</f>
        <v>55</v>
      </c>
      <c r="J304" s="28">
        <f>2020-Table_7[[#This Row],[Year]]</f>
        <v>12</v>
      </c>
      <c r="K304">
        <v>4200000000</v>
      </c>
      <c r="L304">
        <v>39553.199999999997</v>
      </c>
      <c r="M304">
        <v>4.0999999999999996</v>
      </c>
      <c r="N304">
        <v>-2.1</v>
      </c>
      <c r="O304">
        <v>48.75</v>
      </c>
      <c r="P304">
        <v>2044</v>
      </c>
      <c r="Q304">
        <v>106</v>
      </c>
      <c r="R304">
        <v>15.85</v>
      </c>
    </row>
    <row r="305" spans="1:18" x14ac:dyDescent="0.25">
      <c r="A305" s="1" t="s">
        <v>45</v>
      </c>
      <c r="B305" s="2">
        <v>56</v>
      </c>
      <c r="C305" s="19">
        <v>56</v>
      </c>
      <c r="D305" s="3" t="s">
        <v>496</v>
      </c>
      <c r="E305" s="3" t="s">
        <v>9</v>
      </c>
      <c r="F305" s="23">
        <v>461603</v>
      </c>
      <c r="G305" s="15">
        <v>2005</v>
      </c>
      <c r="H305" s="15">
        <f>Table_7[[#This Row],[Listing Price (USD)]]/10000</f>
        <v>46.160299999999999</v>
      </c>
      <c r="I305" s="28">
        <f>Table_7[[#This Row],[Length 
(ft)]]</f>
        <v>56</v>
      </c>
      <c r="J305" s="28">
        <f>2020-Table_7[[#This Row],[Year]]</f>
        <v>15</v>
      </c>
      <c r="K305">
        <v>1276962685648.25</v>
      </c>
      <c r="L305">
        <v>26959.675436732599</v>
      </c>
      <c r="M305">
        <v>-0.32275301729970501</v>
      </c>
      <c r="N305">
        <v>-11.3254383222864</v>
      </c>
      <c r="O305">
        <v>48.75</v>
      </c>
      <c r="P305">
        <v>2044</v>
      </c>
      <c r="Q305">
        <v>106</v>
      </c>
      <c r="R305">
        <v>15.85</v>
      </c>
    </row>
    <row r="306" spans="1:18" x14ac:dyDescent="0.25">
      <c r="A306" s="1" t="s">
        <v>164</v>
      </c>
      <c r="B306" s="2">
        <v>56</v>
      </c>
      <c r="C306" s="19">
        <v>55</v>
      </c>
      <c r="D306" s="3" t="s">
        <v>496</v>
      </c>
      <c r="E306" s="3" t="s">
        <v>24</v>
      </c>
      <c r="F306" s="23">
        <v>473732</v>
      </c>
      <c r="G306" s="15">
        <v>2007</v>
      </c>
      <c r="H306" s="15">
        <f>Table_7[[#This Row],[Listing Price (USD)]]/10000</f>
        <v>47.373199999999997</v>
      </c>
      <c r="I306" s="28">
        <f>Table_7[[#This Row],[Length 
(ft)]]</f>
        <v>55</v>
      </c>
      <c r="J306" s="28">
        <f>2020-Table_7[[#This Row],[Year]]</f>
        <v>13</v>
      </c>
      <c r="K306">
        <v>1896755301518.1399</v>
      </c>
      <c r="L306">
        <v>31911.0357890017</v>
      </c>
      <c r="M306">
        <v>-0.13770757391656999</v>
      </c>
      <c r="N306">
        <v>-9.0399534112288507</v>
      </c>
      <c r="O306">
        <v>48.75</v>
      </c>
      <c r="P306">
        <v>2044</v>
      </c>
      <c r="Q306">
        <v>106</v>
      </c>
      <c r="R306">
        <v>15.85</v>
      </c>
    </row>
    <row r="307" spans="1:18" x14ac:dyDescent="0.25">
      <c r="A307" s="1" t="s">
        <v>164</v>
      </c>
      <c r="B307" s="2">
        <v>56</v>
      </c>
      <c r="C307" s="19">
        <v>55</v>
      </c>
      <c r="D307" s="3" t="s">
        <v>496</v>
      </c>
      <c r="E307" s="3" t="s">
        <v>24</v>
      </c>
      <c r="F307" s="23">
        <v>473751</v>
      </c>
      <c r="G307" s="15">
        <v>2007</v>
      </c>
      <c r="H307" s="15">
        <f>Table_7[[#This Row],[Listing Price (USD)]]/10000</f>
        <v>47.375100000000003</v>
      </c>
      <c r="I307" s="28">
        <f>Table_7[[#This Row],[Length 
(ft)]]</f>
        <v>55</v>
      </c>
      <c r="J307" s="28">
        <f>2020-Table_7[[#This Row],[Year]]</f>
        <v>13</v>
      </c>
      <c r="K307">
        <v>1896755301518.1399</v>
      </c>
      <c r="L307">
        <v>31911.0357890017</v>
      </c>
      <c r="M307">
        <v>-0.13770757391656999</v>
      </c>
      <c r="N307">
        <v>-9.0399534112288507</v>
      </c>
      <c r="O307">
        <v>48.75</v>
      </c>
      <c r="P307">
        <v>2044</v>
      </c>
      <c r="Q307">
        <v>106</v>
      </c>
      <c r="R307">
        <v>15.85</v>
      </c>
    </row>
    <row r="308" spans="1:18" x14ac:dyDescent="0.25">
      <c r="A308" s="1" t="s">
        <v>45</v>
      </c>
      <c r="B308" s="3">
        <v>523</v>
      </c>
      <c r="C308" s="19">
        <v>53</v>
      </c>
      <c r="D308" s="3" t="s">
        <v>495</v>
      </c>
      <c r="E308" s="3" t="s">
        <v>333</v>
      </c>
      <c r="F308" s="23">
        <v>279000</v>
      </c>
      <c r="G308" s="15">
        <v>2007</v>
      </c>
      <c r="H308" s="15">
        <f>Table_7[[#This Row],[Listing Price (USD)]]/10000</f>
        <v>27.9</v>
      </c>
      <c r="I308" s="28">
        <f>Table_7[[#This Row],[Length 
(ft)]]</f>
        <v>53</v>
      </c>
      <c r="J308" s="28">
        <f>2020-Table_7[[#This Row],[Year]]</f>
        <v>13</v>
      </c>
      <c r="K308">
        <v>1106036000000</v>
      </c>
      <c r="L308">
        <v>51276.72</v>
      </c>
      <c r="M308">
        <v>1.23</v>
      </c>
      <c r="N308">
        <v>2.9</v>
      </c>
      <c r="O308">
        <v>47.75</v>
      </c>
      <c r="P308">
        <v>1435</v>
      </c>
      <c r="Q308">
        <v>106</v>
      </c>
      <c r="R308">
        <v>16.16</v>
      </c>
    </row>
    <row r="309" spans="1:18" x14ac:dyDescent="0.25">
      <c r="A309" s="1" t="s">
        <v>45</v>
      </c>
      <c r="B309" s="3">
        <v>523</v>
      </c>
      <c r="C309" s="19">
        <v>53</v>
      </c>
      <c r="D309" s="3" t="s">
        <v>495</v>
      </c>
      <c r="E309" s="3" t="s">
        <v>500</v>
      </c>
      <c r="F309" s="23">
        <v>337000</v>
      </c>
      <c r="G309" s="15">
        <v>2006</v>
      </c>
      <c r="H309" s="15">
        <f>Table_7[[#This Row],[Listing Price (USD)]]/10000</f>
        <v>33.700000000000003</v>
      </c>
      <c r="I309" s="28">
        <f>Table_7[[#This Row],[Length 
(ft)]]</f>
        <v>53</v>
      </c>
      <c r="J309" s="28">
        <f>2020-Table_7[[#This Row],[Year]]</f>
        <v>14</v>
      </c>
      <c r="K309">
        <v>3007188000000</v>
      </c>
      <c r="L309">
        <v>76131.839999999997</v>
      </c>
      <c r="M309">
        <v>1.23</v>
      </c>
      <c r="N309">
        <v>2.7</v>
      </c>
      <c r="O309">
        <v>47.75</v>
      </c>
      <c r="P309">
        <v>1435</v>
      </c>
      <c r="Q309">
        <v>106</v>
      </c>
      <c r="R309">
        <v>16.16</v>
      </c>
    </row>
    <row r="310" spans="1:18" x14ac:dyDescent="0.25">
      <c r="A310" s="1" t="s">
        <v>177</v>
      </c>
      <c r="B310" s="2">
        <v>531</v>
      </c>
      <c r="C310" s="19">
        <v>53</v>
      </c>
      <c r="D310" s="3" t="s">
        <v>496</v>
      </c>
      <c r="E310" s="3" t="s">
        <v>541</v>
      </c>
      <c r="F310" s="23">
        <v>179775</v>
      </c>
      <c r="G310" s="15">
        <v>2006</v>
      </c>
      <c r="H310" s="15">
        <f>Table_7[[#This Row],[Listing Price (USD)]]/10000</f>
        <v>17.977499999999999</v>
      </c>
      <c r="I310" s="28">
        <f>Table_7[[#This Row],[Length 
(ft)]]</f>
        <v>53</v>
      </c>
      <c r="J310" s="28">
        <f>2020-Table_7[[#This Row],[Year]]</f>
        <v>14</v>
      </c>
      <c r="K310">
        <v>425852281928.12097</v>
      </c>
      <c r="L310">
        <v>85420.190855609704</v>
      </c>
      <c r="M310">
        <v>-0.33458462542844403</v>
      </c>
      <c r="N310">
        <v>6.1845380388162301</v>
      </c>
      <c r="O310">
        <v>47.75</v>
      </c>
      <c r="P310">
        <v>1435</v>
      </c>
      <c r="Q310">
        <v>106</v>
      </c>
      <c r="R310">
        <v>16.16</v>
      </c>
    </row>
    <row r="311" spans="1:18" x14ac:dyDescent="0.25">
      <c r="A311" s="1" t="s">
        <v>177</v>
      </c>
      <c r="B311" s="2">
        <v>531</v>
      </c>
      <c r="C311" s="19">
        <v>53</v>
      </c>
      <c r="D311" s="3" t="s">
        <v>496</v>
      </c>
      <c r="E311" s="3" t="s">
        <v>541</v>
      </c>
      <c r="F311" s="23">
        <v>179782</v>
      </c>
      <c r="G311" s="15">
        <v>2006</v>
      </c>
      <c r="H311" s="15">
        <f>Table_7[[#This Row],[Listing Price (USD)]]/10000</f>
        <v>17.978200000000001</v>
      </c>
      <c r="I311" s="28">
        <f>Table_7[[#This Row],[Length 
(ft)]]</f>
        <v>53</v>
      </c>
      <c r="J311" s="28">
        <f>2020-Table_7[[#This Row],[Year]]</f>
        <v>14</v>
      </c>
      <c r="K311">
        <v>425852281928.12097</v>
      </c>
      <c r="L311">
        <v>85420.190855609704</v>
      </c>
      <c r="M311">
        <v>-0.33458462542844403</v>
      </c>
      <c r="N311">
        <v>6.1845380388162301</v>
      </c>
      <c r="O311">
        <v>47.75</v>
      </c>
      <c r="P311">
        <v>1435</v>
      </c>
      <c r="Q311">
        <v>106</v>
      </c>
      <c r="R311">
        <v>16.16</v>
      </c>
    </row>
    <row r="312" spans="1:18" x14ac:dyDescent="0.25">
      <c r="A312" s="1" t="s">
        <v>177</v>
      </c>
      <c r="B312" s="2">
        <v>531</v>
      </c>
      <c r="C312" s="19">
        <v>53</v>
      </c>
      <c r="D312" s="3" t="s">
        <v>496</v>
      </c>
      <c r="E312" s="3" t="s">
        <v>541</v>
      </c>
      <c r="F312" s="23">
        <v>200433</v>
      </c>
      <c r="G312" s="15">
        <v>2005</v>
      </c>
      <c r="H312" s="15">
        <f>Table_7[[#This Row],[Listing Price (USD)]]/10000</f>
        <v>20.043299999999999</v>
      </c>
      <c r="I312" s="28">
        <f>Table_7[[#This Row],[Length 
(ft)]]</f>
        <v>53</v>
      </c>
      <c r="J312" s="28">
        <f>2020-Table_7[[#This Row],[Year]]</f>
        <v>15</v>
      </c>
      <c r="K312">
        <v>425852281928.12097</v>
      </c>
      <c r="L312">
        <v>85420.190855609704</v>
      </c>
      <c r="M312">
        <v>-0.33458462542844403</v>
      </c>
      <c r="N312">
        <v>6.1845380388162301</v>
      </c>
      <c r="O312">
        <v>47.75</v>
      </c>
      <c r="P312">
        <v>1435</v>
      </c>
      <c r="Q312">
        <v>106</v>
      </c>
      <c r="R312">
        <v>16.16</v>
      </c>
    </row>
    <row r="313" spans="1:18" x14ac:dyDescent="0.25">
      <c r="A313" s="1" t="s">
        <v>177</v>
      </c>
      <c r="B313" s="2">
        <v>531</v>
      </c>
      <c r="C313" s="19">
        <v>53</v>
      </c>
      <c r="D313" s="3" t="s">
        <v>496</v>
      </c>
      <c r="E313" s="3" t="s">
        <v>141</v>
      </c>
      <c r="F313" s="23">
        <v>236875</v>
      </c>
      <c r="G313" s="15">
        <v>2005</v>
      </c>
      <c r="H313" s="15">
        <f>Table_7[[#This Row],[Listing Price (USD)]]/10000</f>
        <v>23.6875</v>
      </c>
      <c r="I313" s="28">
        <f>Table_7[[#This Row],[Length 
(ft)]]</f>
        <v>53</v>
      </c>
      <c r="J313" s="28">
        <f>2020-Table_7[[#This Row],[Year]]</f>
        <v>15</v>
      </c>
      <c r="K313">
        <v>1106036000000</v>
      </c>
      <c r="L313">
        <v>51276.72</v>
      </c>
      <c r="M313">
        <v>1.23</v>
      </c>
      <c r="N313">
        <v>2.9</v>
      </c>
      <c r="O313">
        <v>47.75</v>
      </c>
      <c r="P313">
        <v>1435</v>
      </c>
      <c r="Q313">
        <v>106</v>
      </c>
      <c r="R313">
        <v>16.16</v>
      </c>
    </row>
    <row r="314" spans="1:18" x14ac:dyDescent="0.25">
      <c r="A314" s="1" t="s">
        <v>177</v>
      </c>
      <c r="B314" s="2">
        <v>531</v>
      </c>
      <c r="C314" s="19">
        <v>53</v>
      </c>
      <c r="D314" s="3" t="s">
        <v>496</v>
      </c>
      <c r="E314" s="3" t="s">
        <v>9</v>
      </c>
      <c r="F314" s="23">
        <v>333920</v>
      </c>
      <c r="G314" s="15">
        <v>2005</v>
      </c>
      <c r="H314" s="15">
        <f>Table_7[[#This Row],[Listing Price (USD)]]/10000</f>
        <v>33.392000000000003</v>
      </c>
      <c r="I314" s="28">
        <f>Table_7[[#This Row],[Length 
(ft)]]</f>
        <v>53</v>
      </c>
      <c r="J314" s="28">
        <f>2020-Table_7[[#This Row],[Year]]</f>
        <v>15</v>
      </c>
      <c r="K314">
        <v>1276962685648.25</v>
      </c>
      <c r="L314">
        <v>26959.675436732599</v>
      </c>
      <c r="M314">
        <v>-0.32275301729970501</v>
      </c>
      <c r="N314">
        <v>-11.3254383222864</v>
      </c>
      <c r="O314">
        <v>47.75</v>
      </c>
      <c r="P314">
        <v>1435</v>
      </c>
      <c r="Q314">
        <v>106</v>
      </c>
      <c r="R314">
        <v>16.16</v>
      </c>
    </row>
    <row r="315" spans="1:18" x14ac:dyDescent="0.25">
      <c r="A315" s="1" t="s">
        <v>177</v>
      </c>
      <c r="B315" s="2">
        <v>531</v>
      </c>
      <c r="C315" s="19">
        <v>53</v>
      </c>
      <c r="D315" s="3" t="s">
        <v>496</v>
      </c>
      <c r="E315" s="3" t="s">
        <v>9</v>
      </c>
      <c r="F315" s="23">
        <v>334055</v>
      </c>
      <c r="G315" s="15">
        <v>2005</v>
      </c>
      <c r="H315" s="15">
        <f>Table_7[[#This Row],[Listing Price (USD)]]/10000</f>
        <v>33.405500000000004</v>
      </c>
      <c r="I315" s="28">
        <f>Table_7[[#This Row],[Length 
(ft)]]</f>
        <v>53</v>
      </c>
      <c r="J315" s="28">
        <f>2020-Table_7[[#This Row],[Year]]</f>
        <v>15</v>
      </c>
      <c r="K315">
        <v>1276962685648.25</v>
      </c>
      <c r="L315">
        <v>26959.675436732599</v>
      </c>
      <c r="M315">
        <v>-0.32275301729970501</v>
      </c>
      <c r="N315">
        <v>-11.3254383222864</v>
      </c>
      <c r="O315">
        <v>47.75</v>
      </c>
      <c r="P315">
        <v>1435</v>
      </c>
      <c r="Q315">
        <v>106</v>
      </c>
      <c r="R315">
        <v>16.16</v>
      </c>
    </row>
    <row r="316" spans="1:18" x14ac:dyDescent="0.25">
      <c r="A316" s="1" t="s">
        <v>278</v>
      </c>
      <c r="B316" s="3">
        <v>535</v>
      </c>
      <c r="C316" s="19">
        <v>53</v>
      </c>
      <c r="D316" s="3" t="s">
        <v>495</v>
      </c>
      <c r="E316" s="3" t="s">
        <v>499</v>
      </c>
      <c r="F316" s="23">
        <v>995000</v>
      </c>
      <c r="G316" s="15">
        <v>2014</v>
      </c>
      <c r="H316" s="15">
        <f>Table_7[[#This Row],[Listing Price (USD)]]/10000</f>
        <v>99.5</v>
      </c>
      <c r="I316" s="28">
        <f>Table_7[[#This Row],[Length 
(ft)]]</f>
        <v>53</v>
      </c>
      <c r="J316" s="28">
        <f>2020-Table_7[[#This Row],[Year]]</f>
        <v>6</v>
      </c>
      <c r="K316">
        <v>212540000000</v>
      </c>
      <c r="L316">
        <v>76778.559999999998</v>
      </c>
      <c r="M316">
        <v>1.23</v>
      </c>
      <c r="N316">
        <v>2.2000000000000002</v>
      </c>
      <c r="O316">
        <v>47.75</v>
      </c>
      <c r="P316">
        <v>1435</v>
      </c>
      <c r="Q316">
        <v>106</v>
      </c>
      <c r="R316">
        <v>16.16</v>
      </c>
    </row>
    <row r="317" spans="1:18" x14ac:dyDescent="0.25">
      <c r="A317" s="1" t="s">
        <v>177</v>
      </c>
      <c r="B317" s="2">
        <v>545</v>
      </c>
      <c r="C317" s="19">
        <v>53</v>
      </c>
      <c r="D317" s="3" t="s">
        <v>496</v>
      </c>
      <c r="E317" s="3" t="s">
        <v>516</v>
      </c>
      <c r="F317" s="23">
        <v>361980</v>
      </c>
      <c r="G317" s="15">
        <v>2012</v>
      </c>
      <c r="H317" s="15">
        <f>Table_7[[#This Row],[Listing Price (USD)]]/10000</f>
        <v>36.198</v>
      </c>
      <c r="I317" s="28">
        <f>Table_7[[#This Row],[Length 
(ft)]]</f>
        <v>53</v>
      </c>
      <c r="J317" s="28">
        <f>2020-Table_7[[#This Row],[Year]]</f>
        <v>8</v>
      </c>
      <c r="K317">
        <v>909793466661.48096</v>
      </c>
      <c r="L317">
        <v>52162.570115040602</v>
      </c>
      <c r="M317">
        <v>1.2724603778917001</v>
      </c>
      <c r="N317">
        <v>-3.88608391819609</v>
      </c>
      <c r="O317">
        <v>47.75</v>
      </c>
      <c r="P317">
        <v>1435</v>
      </c>
      <c r="Q317">
        <v>106</v>
      </c>
      <c r="R317">
        <v>16.16</v>
      </c>
    </row>
    <row r="318" spans="1:18" x14ac:dyDescent="0.25">
      <c r="A318" s="1" t="s">
        <v>177</v>
      </c>
      <c r="B318" s="2">
        <v>548</v>
      </c>
      <c r="C318" s="19">
        <v>54</v>
      </c>
      <c r="D318" s="3" t="s">
        <v>496</v>
      </c>
      <c r="E318" s="3" t="s">
        <v>31</v>
      </c>
      <c r="F318" s="23">
        <v>464986</v>
      </c>
      <c r="G318" s="15">
        <v>2019</v>
      </c>
      <c r="H318" s="15">
        <f>Table_7[[#This Row],[Listing Price (USD)]]/10000</f>
        <v>46.498600000000003</v>
      </c>
      <c r="I318" s="28">
        <f>Table_7[[#This Row],[Length 
(ft)]]</f>
        <v>54</v>
      </c>
      <c r="J318" s="28">
        <f>2020-Table_7[[#This Row],[Year]]</f>
        <v>1</v>
      </c>
      <c r="K318">
        <v>57472012426.685303</v>
      </c>
      <c r="L318">
        <v>14198.753959474399</v>
      </c>
      <c r="M318">
        <v>0.15481137456202801</v>
      </c>
      <c r="N318">
        <v>-8.5803430210621805</v>
      </c>
      <c r="O318">
        <v>47.75</v>
      </c>
      <c r="P318">
        <v>1435</v>
      </c>
      <c r="Q318">
        <v>106</v>
      </c>
      <c r="R318">
        <v>16.16</v>
      </c>
    </row>
    <row r="319" spans="1:18" x14ac:dyDescent="0.25">
      <c r="A319" s="1" t="s">
        <v>177</v>
      </c>
      <c r="B319" s="2">
        <v>548</v>
      </c>
      <c r="C319" s="19">
        <v>54</v>
      </c>
      <c r="D319" s="3" t="s">
        <v>496</v>
      </c>
      <c r="E319" s="3" t="s">
        <v>31</v>
      </c>
      <c r="F319" s="23">
        <v>467415</v>
      </c>
      <c r="G319" s="15">
        <v>2019</v>
      </c>
      <c r="H319" s="15">
        <f>Table_7[[#This Row],[Listing Price (USD)]]/10000</f>
        <v>46.741500000000002</v>
      </c>
      <c r="I319" s="28">
        <f>Table_7[[#This Row],[Length 
(ft)]]</f>
        <v>54</v>
      </c>
      <c r="J319" s="28">
        <f>2020-Table_7[[#This Row],[Year]]</f>
        <v>1</v>
      </c>
      <c r="K319">
        <v>57472012426.685303</v>
      </c>
      <c r="L319">
        <v>14198.753959474399</v>
      </c>
      <c r="M319">
        <v>0.15481137456202801</v>
      </c>
      <c r="N319">
        <v>-8.5803430210621805</v>
      </c>
      <c r="O319">
        <v>47.75</v>
      </c>
      <c r="P319">
        <v>1435</v>
      </c>
      <c r="Q319">
        <v>106</v>
      </c>
      <c r="R319">
        <v>16.16</v>
      </c>
    </row>
    <row r="320" spans="1:18" x14ac:dyDescent="0.25">
      <c r="A320" s="1" t="s">
        <v>177</v>
      </c>
      <c r="B320" s="2">
        <v>548</v>
      </c>
      <c r="C320" s="19">
        <v>54</v>
      </c>
      <c r="D320" s="3" t="s">
        <v>496</v>
      </c>
      <c r="E320" s="3" t="s">
        <v>19</v>
      </c>
      <c r="F320" s="23">
        <v>632851</v>
      </c>
      <c r="G320" s="15">
        <v>2018</v>
      </c>
      <c r="H320" s="15">
        <f>Table_7[[#This Row],[Listing Price (USD)]]/10000</f>
        <v>63.2851</v>
      </c>
      <c r="I320" s="28">
        <f>Table_7[[#This Row],[Length 
(ft)]]</f>
        <v>54</v>
      </c>
      <c r="J320" s="28">
        <f>2020-Table_7[[#This Row],[Year]]</f>
        <v>2</v>
      </c>
      <c r="K320">
        <v>4200000000</v>
      </c>
      <c r="L320">
        <v>39553.199999999997</v>
      </c>
      <c r="M320">
        <v>4.0999999999999996</v>
      </c>
      <c r="N320">
        <v>-2.1</v>
      </c>
      <c r="O320">
        <v>47.75</v>
      </c>
      <c r="P320">
        <v>1435</v>
      </c>
      <c r="Q320">
        <v>106</v>
      </c>
      <c r="R320">
        <v>16.16</v>
      </c>
    </row>
    <row r="321" spans="1:18" x14ac:dyDescent="0.25">
      <c r="A321" s="1" t="s">
        <v>177</v>
      </c>
      <c r="B321" s="3">
        <v>548</v>
      </c>
      <c r="C321" s="19">
        <v>54</v>
      </c>
      <c r="D321" s="3" t="s">
        <v>495</v>
      </c>
      <c r="E321" s="3" t="s">
        <v>500</v>
      </c>
      <c r="F321" s="23">
        <v>746498</v>
      </c>
      <c r="G321" s="15">
        <v>2018</v>
      </c>
      <c r="H321" s="15">
        <f>Table_7[[#This Row],[Listing Price (USD)]]/10000</f>
        <v>74.649799999999999</v>
      </c>
      <c r="I321" s="28">
        <f>Table_7[[#This Row],[Length 
(ft)]]</f>
        <v>54</v>
      </c>
      <c r="J321" s="28">
        <f>2020-Table_7[[#This Row],[Year]]</f>
        <v>2</v>
      </c>
      <c r="K321">
        <v>3007188000000</v>
      </c>
      <c r="L321">
        <v>76131.839999999997</v>
      </c>
      <c r="M321">
        <v>1.23</v>
      </c>
      <c r="N321">
        <v>2.7</v>
      </c>
      <c r="O321">
        <v>47.75</v>
      </c>
      <c r="P321">
        <v>1435</v>
      </c>
      <c r="Q321">
        <v>106</v>
      </c>
      <c r="R321">
        <v>16.16</v>
      </c>
    </row>
    <row r="322" spans="1:18" x14ac:dyDescent="0.25">
      <c r="A322" s="1" t="s">
        <v>123</v>
      </c>
      <c r="B322" s="2" t="s">
        <v>126</v>
      </c>
      <c r="C322" s="19">
        <v>46</v>
      </c>
      <c r="D322" s="3" t="s">
        <v>496</v>
      </c>
      <c r="E322" s="3" t="s">
        <v>483</v>
      </c>
      <c r="F322" s="23">
        <v>314606</v>
      </c>
      <c r="G322" s="15">
        <v>2013</v>
      </c>
      <c r="H322" s="15">
        <f>Table_7[[#This Row],[Listing Price (USD)]]/10000</f>
        <v>31.460599999999999</v>
      </c>
      <c r="I322" s="28">
        <f>Table_7[[#This Row],[Length 
(ft)]]</f>
        <v>46</v>
      </c>
      <c r="J322" s="28">
        <f>2020-Table_7[[#This Row],[Year]]</f>
        <v>7</v>
      </c>
      <c r="K322">
        <v>4200000000</v>
      </c>
      <c r="L322">
        <v>39553.199999999997</v>
      </c>
      <c r="M322">
        <v>2.5</v>
      </c>
      <c r="N322">
        <v>-2.1</v>
      </c>
      <c r="O322">
        <v>0</v>
      </c>
      <c r="P322">
        <v>1281.442</v>
      </c>
      <c r="Q322">
        <v>106</v>
      </c>
      <c r="R322">
        <v>14.7</v>
      </c>
    </row>
    <row r="323" spans="1:18" x14ac:dyDescent="0.25">
      <c r="A323" s="1" t="s">
        <v>6</v>
      </c>
      <c r="B323" s="2" t="s">
        <v>8</v>
      </c>
      <c r="C323" s="19">
        <v>54</v>
      </c>
      <c r="D323" s="3" t="s">
        <v>496</v>
      </c>
      <c r="E323" s="3" t="s">
        <v>9</v>
      </c>
      <c r="F323" s="23">
        <v>352262</v>
      </c>
      <c r="G323" s="15">
        <v>2007</v>
      </c>
      <c r="H323" s="15">
        <f>Table_7[[#This Row],[Listing Price (USD)]]/10000</f>
        <v>35.226199999999999</v>
      </c>
      <c r="I323" s="28">
        <f>Table_7[[#This Row],[Length 
(ft)]]</f>
        <v>54</v>
      </c>
      <c r="J323" s="28">
        <f>2020-Table_7[[#This Row],[Year]]</f>
        <v>13</v>
      </c>
      <c r="K323">
        <v>1276962685648.25</v>
      </c>
      <c r="L323">
        <v>26959.675436732599</v>
      </c>
      <c r="M323">
        <v>-0.32275301729970501</v>
      </c>
      <c r="N323">
        <v>-11.3254383222864</v>
      </c>
      <c r="O323">
        <v>52.17</v>
      </c>
      <c r="P323">
        <v>1529.5519999999999</v>
      </c>
      <c r="Q323">
        <v>106</v>
      </c>
      <c r="R323">
        <v>15.75</v>
      </c>
    </row>
    <row r="324" spans="1:18" x14ac:dyDescent="0.25">
      <c r="A324" s="1" t="s">
        <v>45</v>
      </c>
      <c r="B324" s="2" t="s">
        <v>77</v>
      </c>
      <c r="C324" s="19">
        <v>51</v>
      </c>
      <c r="D324" s="3" t="s">
        <v>496</v>
      </c>
      <c r="E324" s="3" t="s">
        <v>31</v>
      </c>
      <c r="F324" s="23">
        <v>103249</v>
      </c>
      <c r="G324" s="15">
        <v>2006</v>
      </c>
      <c r="H324" s="15">
        <f>Table_7[[#This Row],[Listing Price (USD)]]/10000</f>
        <v>10.3249</v>
      </c>
      <c r="I324" s="28">
        <f>Table_7[[#This Row],[Length 
(ft)]]</f>
        <v>51</v>
      </c>
      <c r="J324" s="28">
        <f>2020-Table_7[[#This Row],[Year]]</f>
        <v>14</v>
      </c>
      <c r="K324">
        <v>57472012426.685303</v>
      </c>
      <c r="L324">
        <v>14198.753959474399</v>
      </c>
      <c r="M324">
        <v>0.15481137456202801</v>
      </c>
      <c r="N324">
        <v>-8.5803430210621805</v>
      </c>
      <c r="O324">
        <v>43.24</v>
      </c>
      <c r="P324">
        <v>1067.002</v>
      </c>
      <c r="Q324">
        <v>106</v>
      </c>
      <c r="R324">
        <v>16.079999999999998</v>
      </c>
    </row>
    <row r="325" spans="1:18" x14ac:dyDescent="0.25">
      <c r="A325" s="1" t="s">
        <v>378</v>
      </c>
      <c r="B325" s="3" t="s">
        <v>77</v>
      </c>
      <c r="C325" s="19">
        <v>51</v>
      </c>
      <c r="D325" s="3" t="s">
        <v>497</v>
      </c>
      <c r="E325" s="3" t="s">
        <v>392</v>
      </c>
      <c r="F325" s="23">
        <v>105000</v>
      </c>
      <c r="G325" s="15">
        <v>2005</v>
      </c>
      <c r="H325" s="15">
        <f>Table_7[[#This Row],[Listing Price (USD)]]/10000</f>
        <v>10.5</v>
      </c>
      <c r="I325" s="28">
        <f>Table_7[[#This Row],[Length 
(ft)]]</f>
        <v>51</v>
      </c>
      <c r="J325" s="28">
        <f>2020-Table_7[[#This Row],[Year]]</f>
        <v>15</v>
      </c>
      <c r="K325">
        <v>1043414814.81481</v>
      </c>
      <c r="L325">
        <v>8437.5667322870595</v>
      </c>
      <c r="M325">
        <v>-0.74073259704550098</v>
      </c>
      <c r="N325">
        <v>-13.7559294530644</v>
      </c>
      <c r="O325">
        <v>43.24</v>
      </c>
      <c r="P325">
        <v>1067.002</v>
      </c>
      <c r="Q325">
        <v>106</v>
      </c>
      <c r="R325">
        <v>16.079999999999998</v>
      </c>
    </row>
    <row r="326" spans="1:18" x14ac:dyDescent="0.25">
      <c r="A326" s="1" t="s">
        <v>45</v>
      </c>
      <c r="B326" s="2" t="s">
        <v>77</v>
      </c>
      <c r="C326" s="19">
        <v>51</v>
      </c>
      <c r="D326" s="3" t="s">
        <v>496</v>
      </c>
      <c r="E326" s="3" t="s">
        <v>22</v>
      </c>
      <c r="F326" s="23">
        <v>139550</v>
      </c>
      <c r="G326" s="15">
        <v>2009</v>
      </c>
      <c r="H326" s="15">
        <f>Table_7[[#This Row],[Listing Price (USD)]]/10000</f>
        <v>13.955</v>
      </c>
      <c r="I326" s="28">
        <f>Table_7[[#This Row],[Length 
(ft)]]</f>
        <v>51</v>
      </c>
      <c r="J326" s="28">
        <f>2020-Table_7[[#This Row],[Year]]</f>
        <v>11</v>
      </c>
      <c r="K326">
        <v>3889668895299.6201</v>
      </c>
      <c r="L326">
        <v>46772.825350754501</v>
      </c>
      <c r="M326">
        <v>0.50668988995327402</v>
      </c>
      <c r="N326">
        <v>-3.6967887053804298</v>
      </c>
      <c r="O326">
        <v>43.24</v>
      </c>
      <c r="P326">
        <v>1067.002</v>
      </c>
      <c r="Q326">
        <v>106</v>
      </c>
      <c r="R326">
        <v>16.079999999999998</v>
      </c>
    </row>
    <row r="327" spans="1:18" x14ac:dyDescent="0.25">
      <c r="A327" s="1" t="s">
        <v>45</v>
      </c>
      <c r="B327" s="2" t="s">
        <v>77</v>
      </c>
      <c r="C327" s="19">
        <v>51</v>
      </c>
      <c r="D327" s="3" t="s">
        <v>496</v>
      </c>
      <c r="E327" s="3" t="s">
        <v>31</v>
      </c>
      <c r="F327" s="23">
        <v>139690</v>
      </c>
      <c r="G327" s="15">
        <v>2009</v>
      </c>
      <c r="H327" s="15">
        <f>Table_7[[#This Row],[Listing Price (USD)]]/10000</f>
        <v>13.968999999999999</v>
      </c>
      <c r="I327" s="28">
        <f>Table_7[[#This Row],[Length 
(ft)]]</f>
        <v>51</v>
      </c>
      <c r="J327" s="28">
        <f>2020-Table_7[[#This Row],[Year]]</f>
        <v>11</v>
      </c>
      <c r="K327">
        <v>57472012426.685303</v>
      </c>
      <c r="L327">
        <v>14198.753959474399</v>
      </c>
      <c r="M327">
        <v>0.15481137456202801</v>
      </c>
      <c r="N327">
        <v>-8.5803430210621805</v>
      </c>
      <c r="O327">
        <v>43.24</v>
      </c>
      <c r="P327">
        <v>1067.002</v>
      </c>
      <c r="Q327">
        <v>106</v>
      </c>
      <c r="R327">
        <v>16.079999999999998</v>
      </c>
    </row>
    <row r="328" spans="1:18" x14ac:dyDescent="0.25">
      <c r="A328" s="1" t="s">
        <v>45</v>
      </c>
      <c r="B328" s="2" t="s">
        <v>77</v>
      </c>
      <c r="C328" s="19">
        <v>51</v>
      </c>
      <c r="D328" s="3" t="s">
        <v>496</v>
      </c>
      <c r="E328" s="3" t="s">
        <v>31</v>
      </c>
      <c r="F328" s="23">
        <v>139690</v>
      </c>
      <c r="G328" s="15">
        <v>2007</v>
      </c>
      <c r="H328" s="15">
        <f>Table_7[[#This Row],[Listing Price (USD)]]/10000</f>
        <v>13.968999999999999</v>
      </c>
      <c r="I328" s="28">
        <f>Table_7[[#This Row],[Length 
(ft)]]</f>
        <v>51</v>
      </c>
      <c r="J328" s="28">
        <f>2020-Table_7[[#This Row],[Year]]</f>
        <v>13</v>
      </c>
      <c r="K328">
        <v>57472012426.685303</v>
      </c>
      <c r="L328">
        <v>14198.753959474399</v>
      </c>
      <c r="M328">
        <v>0.15481137456202801</v>
      </c>
      <c r="N328">
        <v>-8.5803430210621805</v>
      </c>
      <c r="O328">
        <v>43.24</v>
      </c>
      <c r="P328">
        <v>1067.002</v>
      </c>
      <c r="Q328">
        <v>106</v>
      </c>
      <c r="R328">
        <v>16.079999999999998</v>
      </c>
    </row>
    <row r="329" spans="1:18" x14ac:dyDescent="0.25">
      <c r="A329" s="1" t="s">
        <v>45</v>
      </c>
      <c r="B329" s="2" t="s">
        <v>77</v>
      </c>
      <c r="C329" s="19">
        <v>51</v>
      </c>
      <c r="D329" s="3" t="s">
        <v>496</v>
      </c>
      <c r="E329" s="3" t="s">
        <v>18</v>
      </c>
      <c r="F329" s="23">
        <v>139690</v>
      </c>
      <c r="G329" s="15">
        <v>2010</v>
      </c>
      <c r="H329" s="15">
        <f>Table_7[[#This Row],[Listing Price (USD)]]/10000</f>
        <v>13.968999999999999</v>
      </c>
      <c r="I329" s="28">
        <f>Table_7[[#This Row],[Length 
(ft)]]</f>
        <v>51</v>
      </c>
      <c r="J329" s="28">
        <f>2020-Table_7[[#This Row],[Year]]</f>
        <v>10</v>
      </c>
      <c r="K329">
        <v>188925995936.80701</v>
      </c>
      <c r="L329">
        <v>17658.947301119199</v>
      </c>
      <c r="M329">
        <v>-1.2479835558140799</v>
      </c>
      <c r="N329">
        <v>-9.0040436420214593</v>
      </c>
      <c r="O329">
        <v>43.24</v>
      </c>
      <c r="P329">
        <v>1067.002</v>
      </c>
      <c r="Q329">
        <v>106</v>
      </c>
      <c r="R329">
        <v>16.079999999999998</v>
      </c>
    </row>
    <row r="330" spans="1:18" x14ac:dyDescent="0.25">
      <c r="A330" s="1" t="s">
        <v>45</v>
      </c>
      <c r="B330" s="2" t="s">
        <v>77</v>
      </c>
      <c r="C330" s="19">
        <v>51</v>
      </c>
      <c r="D330" s="3" t="s">
        <v>496</v>
      </c>
      <c r="E330" s="3" t="s">
        <v>18</v>
      </c>
      <c r="F330" s="23">
        <v>139690</v>
      </c>
      <c r="G330" s="15">
        <v>2008</v>
      </c>
      <c r="H330" s="15">
        <f>Table_7[[#This Row],[Listing Price (USD)]]/10000</f>
        <v>13.968999999999999</v>
      </c>
      <c r="I330" s="28">
        <f>Table_7[[#This Row],[Length 
(ft)]]</f>
        <v>51</v>
      </c>
      <c r="J330" s="28">
        <f>2020-Table_7[[#This Row],[Year]]</f>
        <v>12</v>
      </c>
      <c r="K330">
        <v>188925995936.80701</v>
      </c>
      <c r="L330">
        <v>17658.947301119199</v>
      </c>
      <c r="M330">
        <v>-1.2479835558140799</v>
      </c>
      <c r="N330">
        <v>-9.0040436420214593</v>
      </c>
      <c r="O330">
        <v>43.24</v>
      </c>
      <c r="P330">
        <v>1067.002</v>
      </c>
      <c r="Q330">
        <v>106</v>
      </c>
      <c r="R330">
        <v>16.079999999999998</v>
      </c>
    </row>
    <row r="331" spans="1:18" x14ac:dyDescent="0.25">
      <c r="A331" s="1" t="s">
        <v>45</v>
      </c>
      <c r="B331" s="2" t="s">
        <v>77</v>
      </c>
      <c r="C331" s="19">
        <v>51</v>
      </c>
      <c r="D331" s="3" t="s">
        <v>496</v>
      </c>
      <c r="E331" s="3" t="s">
        <v>18</v>
      </c>
      <c r="F331" s="23">
        <v>144306</v>
      </c>
      <c r="G331" s="15">
        <v>2009</v>
      </c>
      <c r="H331" s="15">
        <f>Table_7[[#This Row],[Listing Price (USD)]]/10000</f>
        <v>14.4306</v>
      </c>
      <c r="I331" s="28">
        <f>Table_7[[#This Row],[Length 
(ft)]]</f>
        <v>51</v>
      </c>
      <c r="J331" s="28">
        <f>2020-Table_7[[#This Row],[Year]]</f>
        <v>11</v>
      </c>
      <c r="K331">
        <v>188925995936.80701</v>
      </c>
      <c r="L331">
        <v>17658.947301119199</v>
      </c>
      <c r="M331">
        <v>-1.2479835558140799</v>
      </c>
      <c r="N331">
        <v>-9.0040436420214593</v>
      </c>
      <c r="O331">
        <v>43.24</v>
      </c>
      <c r="P331">
        <v>1067.002</v>
      </c>
      <c r="Q331">
        <v>106</v>
      </c>
      <c r="R331">
        <v>16.079999999999998</v>
      </c>
    </row>
    <row r="332" spans="1:18" x14ac:dyDescent="0.25">
      <c r="A332" s="1" t="s">
        <v>45</v>
      </c>
      <c r="B332" s="2" t="s">
        <v>77</v>
      </c>
      <c r="C332" s="19">
        <v>51</v>
      </c>
      <c r="D332" s="3" t="s">
        <v>496</v>
      </c>
      <c r="E332" s="3" t="s">
        <v>31</v>
      </c>
      <c r="F332" s="23">
        <v>144549</v>
      </c>
      <c r="G332" s="15">
        <v>2009</v>
      </c>
      <c r="H332" s="15">
        <f>Table_7[[#This Row],[Listing Price (USD)]]/10000</f>
        <v>14.4549</v>
      </c>
      <c r="I332" s="28">
        <f>Table_7[[#This Row],[Length 
(ft)]]</f>
        <v>51</v>
      </c>
      <c r="J332" s="28">
        <f>2020-Table_7[[#This Row],[Year]]</f>
        <v>11</v>
      </c>
      <c r="K332">
        <v>57472012426.685303</v>
      </c>
      <c r="L332">
        <v>14198.753959474399</v>
      </c>
      <c r="M332">
        <v>0.15481137456202801</v>
      </c>
      <c r="N332">
        <v>-8.5803430210621805</v>
      </c>
      <c r="O332">
        <v>43.24</v>
      </c>
      <c r="P332">
        <v>1067.002</v>
      </c>
      <c r="Q332">
        <v>106</v>
      </c>
      <c r="R332">
        <v>16.079999999999998</v>
      </c>
    </row>
    <row r="333" spans="1:18" x14ac:dyDescent="0.25">
      <c r="A333" s="1" t="s">
        <v>45</v>
      </c>
      <c r="B333" s="2" t="s">
        <v>77</v>
      </c>
      <c r="C333" s="19">
        <v>51</v>
      </c>
      <c r="D333" s="3" t="s">
        <v>496</v>
      </c>
      <c r="E333" s="3" t="s">
        <v>3</v>
      </c>
      <c r="F333" s="23">
        <v>144549</v>
      </c>
      <c r="G333" s="15">
        <v>2006</v>
      </c>
      <c r="H333" s="15">
        <f>Table_7[[#This Row],[Listing Price (USD)]]/10000</f>
        <v>14.4549</v>
      </c>
      <c r="I333" s="28">
        <f>Table_7[[#This Row],[Length 
(ft)]]</f>
        <v>51</v>
      </c>
      <c r="J333" s="28">
        <f>2020-Table_7[[#This Row],[Year]]</f>
        <v>14</v>
      </c>
      <c r="K333">
        <v>2639008701648.2598</v>
      </c>
      <c r="L333">
        <v>39055.282928075401</v>
      </c>
      <c r="M333">
        <v>0.47649885272508302</v>
      </c>
      <c r="N333">
        <v>-7.7845864916787102</v>
      </c>
      <c r="O333">
        <v>43.24</v>
      </c>
      <c r="P333">
        <v>1067.002</v>
      </c>
      <c r="Q333">
        <v>106</v>
      </c>
      <c r="R333">
        <v>16.079999999999998</v>
      </c>
    </row>
    <row r="334" spans="1:18" x14ac:dyDescent="0.25">
      <c r="A334" s="1" t="s">
        <v>45</v>
      </c>
      <c r="B334" s="2" t="s">
        <v>77</v>
      </c>
      <c r="C334" s="19">
        <v>51</v>
      </c>
      <c r="D334" s="3" t="s">
        <v>496</v>
      </c>
      <c r="E334" s="3" t="s">
        <v>18</v>
      </c>
      <c r="F334" s="23">
        <v>145764</v>
      </c>
      <c r="G334" s="15">
        <v>2008</v>
      </c>
      <c r="H334" s="15">
        <f>Table_7[[#This Row],[Listing Price (USD)]]/10000</f>
        <v>14.5764</v>
      </c>
      <c r="I334" s="28">
        <f>Table_7[[#This Row],[Length 
(ft)]]</f>
        <v>51</v>
      </c>
      <c r="J334" s="28">
        <f>2020-Table_7[[#This Row],[Year]]</f>
        <v>12</v>
      </c>
      <c r="K334">
        <v>188925995936.80701</v>
      </c>
      <c r="L334">
        <v>17658.947301119199</v>
      </c>
      <c r="M334">
        <v>-1.2479835558140799</v>
      </c>
      <c r="N334">
        <v>-9.0040436420214593</v>
      </c>
      <c r="O334">
        <v>43.24</v>
      </c>
      <c r="P334">
        <v>1067.002</v>
      </c>
      <c r="Q334">
        <v>106</v>
      </c>
      <c r="R334">
        <v>16.079999999999998</v>
      </c>
    </row>
    <row r="335" spans="1:18" x14ac:dyDescent="0.25">
      <c r="A335" s="1" t="s">
        <v>45</v>
      </c>
      <c r="B335" s="2" t="s">
        <v>77</v>
      </c>
      <c r="C335" s="19">
        <v>51</v>
      </c>
      <c r="D335" s="3" t="s">
        <v>496</v>
      </c>
      <c r="E335" s="3" t="s">
        <v>18</v>
      </c>
      <c r="F335" s="23">
        <v>145764</v>
      </c>
      <c r="G335" s="15">
        <v>2007</v>
      </c>
      <c r="H335" s="15">
        <f>Table_7[[#This Row],[Listing Price (USD)]]/10000</f>
        <v>14.5764</v>
      </c>
      <c r="I335" s="28">
        <f>Table_7[[#This Row],[Length 
(ft)]]</f>
        <v>51</v>
      </c>
      <c r="J335" s="28">
        <f>2020-Table_7[[#This Row],[Year]]</f>
        <v>13</v>
      </c>
      <c r="K335">
        <v>188925995936.80701</v>
      </c>
      <c r="L335">
        <v>17658.947301119199</v>
      </c>
      <c r="M335">
        <v>-1.2479835558140799</v>
      </c>
      <c r="N335">
        <v>-9.0040436420214593</v>
      </c>
      <c r="O335">
        <v>43.24</v>
      </c>
      <c r="P335">
        <v>1067.002</v>
      </c>
      <c r="Q335">
        <v>106</v>
      </c>
      <c r="R335">
        <v>16.079999999999998</v>
      </c>
    </row>
    <row r="336" spans="1:18" x14ac:dyDescent="0.25">
      <c r="A336" s="1" t="s">
        <v>45</v>
      </c>
      <c r="B336" s="2" t="s">
        <v>77</v>
      </c>
      <c r="C336" s="19">
        <v>51</v>
      </c>
      <c r="D336" s="3" t="s">
        <v>496</v>
      </c>
      <c r="E336" s="3" t="s">
        <v>24</v>
      </c>
      <c r="F336" s="23">
        <v>145764</v>
      </c>
      <c r="G336" s="15">
        <v>2008</v>
      </c>
      <c r="H336" s="15">
        <f>Table_7[[#This Row],[Listing Price (USD)]]/10000</f>
        <v>14.5764</v>
      </c>
      <c r="I336" s="28">
        <f>Table_7[[#This Row],[Length 
(ft)]]</f>
        <v>51</v>
      </c>
      <c r="J336" s="28">
        <f>2020-Table_7[[#This Row],[Year]]</f>
        <v>12</v>
      </c>
      <c r="K336">
        <v>1896755301518.1399</v>
      </c>
      <c r="L336">
        <v>31911.0357890017</v>
      </c>
      <c r="M336">
        <v>-0.13770757391656999</v>
      </c>
      <c r="N336">
        <v>-9.0399534112288507</v>
      </c>
      <c r="O336">
        <v>43.24</v>
      </c>
      <c r="P336">
        <v>1067.002</v>
      </c>
      <c r="Q336">
        <v>106</v>
      </c>
      <c r="R336">
        <v>16.079999999999998</v>
      </c>
    </row>
    <row r="337" spans="1:18" x14ac:dyDescent="0.25">
      <c r="A337" s="1" t="s">
        <v>45</v>
      </c>
      <c r="B337" s="3" t="s">
        <v>77</v>
      </c>
      <c r="C337" s="19">
        <v>51</v>
      </c>
      <c r="D337" s="3" t="s">
        <v>495</v>
      </c>
      <c r="E337" s="3" t="s">
        <v>333</v>
      </c>
      <c r="F337" s="23">
        <v>149900</v>
      </c>
      <c r="G337" s="15">
        <v>2007</v>
      </c>
      <c r="H337" s="15">
        <f>Table_7[[#This Row],[Listing Price (USD)]]/10000</f>
        <v>14.99</v>
      </c>
      <c r="I337" s="28">
        <f>Table_7[[#This Row],[Length 
(ft)]]</f>
        <v>51</v>
      </c>
      <c r="J337" s="28">
        <f>2020-Table_7[[#This Row],[Year]]</f>
        <v>13</v>
      </c>
      <c r="K337">
        <v>1106036000000</v>
      </c>
      <c r="L337">
        <v>51276.72</v>
      </c>
      <c r="M337">
        <v>1.23</v>
      </c>
      <c r="N337">
        <v>2.9</v>
      </c>
      <c r="O337">
        <v>43.24</v>
      </c>
      <c r="P337">
        <v>1067.002</v>
      </c>
      <c r="Q337">
        <v>106</v>
      </c>
      <c r="R337">
        <v>16.079999999999998</v>
      </c>
    </row>
    <row r="338" spans="1:18" x14ac:dyDescent="0.25">
      <c r="A338" s="1" t="s">
        <v>45</v>
      </c>
      <c r="B338" s="2" t="s">
        <v>77</v>
      </c>
      <c r="C338" s="19">
        <v>51</v>
      </c>
      <c r="D338" s="3" t="s">
        <v>496</v>
      </c>
      <c r="E338" s="3" t="s">
        <v>18</v>
      </c>
      <c r="F338" s="23">
        <v>150622</v>
      </c>
      <c r="G338" s="15">
        <v>2007</v>
      </c>
      <c r="H338" s="15">
        <f>Table_7[[#This Row],[Listing Price (USD)]]/10000</f>
        <v>15.062200000000001</v>
      </c>
      <c r="I338" s="28">
        <f>Table_7[[#This Row],[Length 
(ft)]]</f>
        <v>51</v>
      </c>
      <c r="J338" s="28">
        <f>2020-Table_7[[#This Row],[Year]]</f>
        <v>13</v>
      </c>
      <c r="K338">
        <v>188925995936.80701</v>
      </c>
      <c r="L338">
        <v>17658.947301119199</v>
      </c>
      <c r="M338">
        <v>-1.2479835558140799</v>
      </c>
      <c r="N338">
        <v>-9.0040436420214593</v>
      </c>
      <c r="O338">
        <v>43.24</v>
      </c>
      <c r="P338">
        <v>1067.002</v>
      </c>
      <c r="Q338">
        <v>106</v>
      </c>
      <c r="R338">
        <v>16.079999999999998</v>
      </c>
    </row>
    <row r="339" spans="1:18" x14ac:dyDescent="0.25">
      <c r="A339" s="1" t="s">
        <v>45</v>
      </c>
      <c r="B339" s="3" t="s">
        <v>77</v>
      </c>
      <c r="C339" s="19">
        <v>51</v>
      </c>
      <c r="D339" s="3" t="s">
        <v>497</v>
      </c>
      <c r="E339" s="3" t="s">
        <v>483</v>
      </c>
      <c r="F339" s="23">
        <v>155538</v>
      </c>
      <c r="G339" s="15">
        <v>2009</v>
      </c>
      <c r="H339" s="15">
        <f>Table_7[[#This Row],[Listing Price (USD)]]/10000</f>
        <v>15.553800000000001</v>
      </c>
      <c r="I339" s="28">
        <f>Table_7[[#This Row],[Length 
(ft)]]</f>
        <v>51</v>
      </c>
      <c r="J339" s="28">
        <f>2020-Table_7[[#This Row],[Year]]</f>
        <v>11</v>
      </c>
      <c r="K339">
        <v>4200000000</v>
      </c>
      <c r="L339">
        <v>39553.199999999997</v>
      </c>
      <c r="M339">
        <v>2.5</v>
      </c>
      <c r="N339">
        <v>-2.1</v>
      </c>
      <c r="O339">
        <v>43.24</v>
      </c>
      <c r="P339">
        <v>1067.002</v>
      </c>
      <c r="Q339">
        <v>106</v>
      </c>
      <c r="R339">
        <v>16.079999999999998</v>
      </c>
    </row>
    <row r="340" spans="1:18" x14ac:dyDescent="0.25">
      <c r="A340" s="1" t="s">
        <v>45</v>
      </c>
      <c r="B340" s="3" t="s">
        <v>77</v>
      </c>
      <c r="C340" s="19">
        <v>51</v>
      </c>
      <c r="D340" s="3" t="s">
        <v>495</v>
      </c>
      <c r="E340" s="3" t="s">
        <v>554</v>
      </c>
      <c r="F340" s="23">
        <v>174900</v>
      </c>
      <c r="G340" s="15">
        <v>2007</v>
      </c>
      <c r="H340" s="15">
        <f>Table_7[[#This Row],[Listing Price (USD)]]/10000</f>
        <v>17.489999999999998</v>
      </c>
      <c r="I340" s="28">
        <f>Table_7[[#This Row],[Length 
(ft)]]</f>
        <v>51</v>
      </c>
      <c r="J340" s="28">
        <f>2020-Table_7[[#This Row],[Year]]</f>
        <v>13</v>
      </c>
      <c r="K340">
        <v>4200000000</v>
      </c>
      <c r="L340">
        <v>39553.199999999997</v>
      </c>
      <c r="M340">
        <v>4.0999999999999996</v>
      </c>
      <c r="N340">
        <v>-2.1</v>
      </c>
      <c r="O340">
        <v>43.24</v>
      </c>
      <c r="P340">
        <v>1067.002</v>
      </c>
      <c r="Q340">
        <v>106</v>
      </c>
      <c r="R340">
        <v>16.079999999999998</v>
      </c>
    </row>
    <row r="341" spans="1:18" x14ac:dyDescent="0.25">
      <c r="A341" s="1" t="s">
        <v>45</v>
      </c>
      <c r="B341" s="2" t="s">
        <v>77</v>
      </c>
      <c r="C341" s="19">
        <v>51</v>
      </c>
      <c r="D341" s="3" t="s">
        <v>496</v>
      </c>
      <c r="E341" s="3" t="s">
        <v>18</v>
      </c>
      <c r="F341" s="23">
        <v>176131</v>
      </c>
      <c r="G341" s="15">
        <v>2007</v>
      </c>
      <c r="H341" s="15">
        <f>Table_7[[#This Row],[Listing Price (USD)]]/10000</f>
        <v>17.613099999999999</v>
      </c>
      <c r="I341" s="28">
        <f>Table_7[[#This Row],[Length 
(ft)]]</f>
        <v>51</v>
      </c>
      <c r="J341" s="28">
        <f>2020-Table_7[[#This Row],[Year]]</f>
        <v>13</v>
      </c>
      <c r="K341">
        <v>188925995936.80701</v>
      </c>
      <c r="L341">
        <v>17658.947301119199</v>
      </c>
      <c r="M341">
        <v>-1.2479835558140799</v>
      </c>
      <c r="N341">
        <v>-9.0040436420214593</v>
      </c>
      <c r="O341">
        <v>43.24</v>
      </c>
      <c r="P341">
        <v>1067.002</v>
      </c>
      <c r="Q341">
        <v>106</v>
      </c>
      <c r="R341">
        <v>16.079999999999998</v>
      </c>
    </row>
    <row r="342" spans="1:18" x14ac:dyDescent="0.25">
      <c r="A342" s="1" t="s">
        <v>45</v>
      </c>
      <c r="B342" s="3" t="s">
        <v>77</v>
      </c>
      <c r="C342" s="19">
        <v>51</v>
      </c>
      <c r="D342" s="3" t="s">
        <v>495</v>
      </c>
      <c r="E342" s="3" t="s">
        <v>526</v>
      </c>
      <c r="F342" s="23">
        <v>199900</v>
      </c>
      <c r="G342" s="15">
        <v>2006</v>
      </c>
      <c r="H342" s="15">
        <f>Table_7[[#This Row],[Listing Price (USD)]]/10000</f>
        <v>19.989999999999998</v>
      </c>
      <c r="I342" s="28">
        <f>Table_7[[#This Row],[Length 
(ft)]]</f>
        <v>51</v>
      </c>
      <c r="J342" s="28">
        <f>2020-Table_7[[#This Row],[Year]]</f>
        <v>14</v>
      </c>
      <c r="K342">
        <v>4200000000</v>
      </c>
      <c r="L342">
        <v>39553.199999999997</v>
      </c>
      <c r="M342">
        <v>4.0999999999999996</v>
      </c>
      <c r="N342">
        <v>-2.1</v>
      </c>
      <c r="O342">
        <v>43.24</v>
      </c>
      <c r="P342">
        <v>1067.002</v>
      </c>
      <c r="Q342">
        <v>106</v>
      </c>
      <c r="R342">
        <v>16.079999999999998</v>
      </c>
    </row>
    <row r="343" spans="1:18" x14ac:dyDescent="0.25">
      <c r="A343" s="1" t="s">
        <v>45</v>
      </c>
      <c r="B343" s="2" t="s">
        <v>77</v>
      </c>
      <c r="C343" s="19">
        <v>51</v>
      </c>
      <c r="D343" s="3" t="s">
        <v>496</v>
      </c>
      <c r="E343" s="3" t="s">
        <v>31</v>
      </c>
      <c r="F343" s="23">
        <v>200425</v>
      </c>
      <c r="G343" s="15">
        <v>2008</v>
      </c>
      <c r="H343" s="15">
        <f>Table_7[[#This Row],[Listing Price (USD)]]/10000</f>
        <v>20.0425</v>
      </c>
      <c r="I343" s="28">
        <f>Table_7[[#This Row],[Length 
(ft)]]</f>
        <v>51</v>
      </c>
      <c r="J343" s="28">
        <f>2020-Table_7[[#This Row],[Year]]</f>
        <v>12</v>
      </c>
      <c r="K343">
        <v>57472012426.685303</v>
      </c>
      <c r="L343">
        <v>14198.753959474399</v>
      </c>
      <c r="M343">
        <v>0.15481137456202801</v>
      </c>
      <c r="N343">
        <v>-8.5803430210621805</v>
      </c>
      <c r="O343">
        <v>43.24</v>
      </c>
      <c r="P343">
        <v>1067.002</v>
      </c>
      <c r="Q343">
        <v>106</v>
      </c>
      <c r="R343">
        <v>16.079999999999998</v>
      </c>
    </row>
    <row r="344" spans="1:18" x14ac:dyDescent="0.25">
      <c r="A344" s="1" t="s">
        <v>378</v>
      </c>
      <c r="B344" s="3" t="s">
        <v>77</v>
      </c>
      <c r="C344" s="19">
        <v>51</v>
      </c>
      <c r="D344" s="3" t="s">
        <v>497</v>
      </c>
      <c r="E344" s="3" t="s">
        <v>377</v>
      </c>
      <c r="F344" s="23">
        <v>303785</v>
      </c>
      <c r="G344" s="15">
        <v>2007</v>
      </c>
      <c r="H344" s="15">
        <f>Table_7[[#This Row],[Listing Price (USD)]]/10000</f>
        <v>30.378499999999999</v>
      </c>
      <c r="I344" s="28">
        <f>Table_7[[#This Row],[Length 
(ft)]]</f>
        <v>51</v>
      </c>
      <c r="J344" s="28">
        <f>2020-Table_7[[#This Row],[Year]]</f>
        <v>13</v>
      </c>
      <c r="K344">
        <v>930371009830.08838</v>
      </c>
      <c r="L344">
        <v>32045.28833705237</v>
      </c>
      <c r="M344">
        <v>0.810222564232847</v>
      </c>
      <c r="N344">
        <v>-6.18704127562025</v>
      </c>
      <c r="O344">
        <v>43.24</v>
      </c>
      <c r="P344">
        <v>1067.002</v>
      </c>
      <c r="Q344">
        <v>106</v>
      </c>
      <c r="R344">
        <v>16.079999999999998</v>
      </c>
    </row>
    <row r="345" spans="1:18" x14ac:dyDescent="0.25">
      <c r="A345" s="1" t="s">
        <v>45</v>
      </c>
      <c r="B345" s="2" t="s">
        <v>94</v>
      </c>
      <c r="C345" s="19">
        <v>55</v>
      </c>
      <c r="D345" s="3" t="s">
        <v>496</v>
      </c>
      <c r="E345" s="3" t="s">
        <v>18</v>
      </c>
      <c r="F345" s="23">
        <v>352262</v>
      </c>
      <c r="G345" s="15">
        <v>2013</v>
      </c>
      <c r="H345" s="15">
        <f>Table_7[[#This Row],[Listing Price (USD)]]/10000</f>
        <v>35.226199999999999</v>
      </c>
      <c r="I345" s="28">
        <f>Table_7[[#This Row],[Length 
(ft)]]</f>
        <v>55</v>
      </c>
      <c r="J345" s="28">
        <f>2020-Table_7[[#This Row],[Year]]</f>
        <v>7</v>
      </c>
      <c r="K345">
        <v>188925995936.80701</v>
      </c>
      <c r="L345">
        <v>17658.947301119199</v>
      </c>
      <c r="M345">
        <v>-1.2479835558140799</v>
      </c>
      <c r="N345">
        <v>-9.0040436420214593</v>
      </c>
      <c r="O345">
        <v>49.75</v>
      </c>
      <c r="P345">
        <v>1450.002</v>
      </c>
      <c r="Q345">
        <v>106</v>
      </c>
      <c r="R345">
        <v>16.25</v>
      </c>
    </row>
    <row r="346" spans="1:18" x14ac:dyDescent="0.25">
      <c r="A346" s="1" t="s">
        <v>45</v>
      </c>
      <c r="B346" s="2" t="s">
        <v>94</v>
      </c>
      <c r="C346" s="19">
        <v>55</v>
      </c>
      <c r="D346" s="3" t="s">
        <v>496</v>
      </c>
      <c r="E346" s="3" t="s">
        <v>19</v>
      </c>
      <c r="F346" s="23">
        <v>426342</v>
      </c>
      <c r="G346" s="15">
        <v>2015</v>
      </c>
      <c r="H346" s="15">
        <f>Table_7[[#This Row],[Listing Price (USD)]]/10000</f>
        <v>42.6342</v>
      </c>
      <c r="I346" s="28">
        <f>Table_7[[#This Row],[Length 
(ft)]]</f>
        <v>55</v>
      </c>
      <c r="J346" s="28">
        <f>2020-Table_7[[#This Row],[Year]]</f>
        <v>5</v>
      </c>
      <c r="K346">
        <v>4200000000</v>
      </c>
      <c r="L346">
        <v>39553.199999999997</v>
      </c>
      <c r="M346">
        <v>4.0999999999999996</v>
      </c>
      <c r="N346">
        <v>-2.1</v>
      </c>
      <c r="O346">
        <v>49.75</v>
      </c>
      <c r="P346">
        <v>1450.002</v>
      </c>
      <c r="Q346">
        <v>106</v>
      </c>
      <c r="R346">
        <v>16.25</v>
      </c>
    </row>
    <row r="347" spans="1:18" x14ac:dyDescent="0.25">
      <c r="A347" s="1" t="s">
        <v>45</v>
      </c>
      <c r="B347" s="2" t="s">
        <v>94</v>
      </c>
      <c r="C347" s="19">
        <v>55</v>
      </c>
      <c r="D347" s="3" t="s">
        <v>496</v>
      </c>
      <c r="E347" s="3" t="s">
        <v>9</v>
      </c>
      <c r="F347" s="23">
        <v>438332</v>
      </c>
      <c r="G347" s="15">
        <v>2015</v>
      </c>
      <c r="H347" s="15">
        <f>Table_7[[#This Row],[Listing Price (USD)]]/10000</f>
        <v>43.833199999999998</v>
      </c>
      <c r="I347" s="28">
        <f>Table_7[[#This Row],[Length 
(ft)]]</f>
        <v>55</v>
      </c>
      <c r="J347" s="28">
        <f>2020-Table_7[[#This Row],[Year]]</f>
        <v>5</v>
      </c>
      <c r="K347">
        <v>1276962685648.25</v>
      </c>
      <c r="L347">
        <v>26959.675436732599</v>
      </c>
      <c r="M347">
        <v>-0.32275301729970501</v>
      </c>
      <c r="N347">
        <v>-11.3254383222864</v>
      </c>
      <c r="O347">
        <v>49.75</v>
      </c>
      <c r="P347">
        <v>1450.002</v>
      </c>
      <c r="Q347">
        <v>106</v>
      </c>
      <c r="R347">
        <v>16.25</v>
      </c>
    </row>
    <row r="348" spans="1:18" x14ac:dyDescent="0.25">
      <c r="A348" s="1" t="s">
        <v>45</v>
      </c>
      <c r="B348" s="2" t="s">
        <v>94</v>
      </c>
      <c r="C348" s="19">
        <v>55</v>
      </c>
      <c r="D348" s="3" t="s">
        <v>496</v>
      </c>
      <c r="E348" s="3" t="s">
        <v>9</v>
      </c>
      <c r="F348" s="23">
        <v>455511</v>
      </c>
      <c r="G348" s="15">
        <v>2015</v>
      </c>
      <c r="H348" s="15">
        <f>Table_7[[#This Row],[Listing Price (USD)]]/10000</f>
        <v>45.551099999999998</v>
      </c>
      <c r="I348" s="28">
        <f>Table_7[[#This Row],[Length 
(ft)]]</f>
        <v>55</v>
      </c>
      <c r="J348" s="28">
        <f>2020-Table_7[[#This Row],[Year]]</f>
        <v>5</v>
      </c>
      <c r="K348">
        <v>1276962685648.25</v>
      </c>
      <c r="L348">
        <v>26959.675436732599</v>
      </c>
      <c r="M348">
        <v>-0.32275301729970501</v>
      </c>
      <c r="N348">
        <v>-11.3254383222864</v>
      </c>
      <c r="O348">
        <v>49.75</v>
      </c>
      <c r="P348">
        <v>1450.002</v>
      </c>
      <c r="Q348">
        <v>106</v>
      </c>
      <c r="R348">
        <v>16.25</v>
      </c>
    </row>
    <row r="349" spans="1:18" x14ac:dyDescent="0.25">
      <c r="A349" s="1" t="s">
        <v>45</v>
      </c>
      <c r="B349" s="2" t="s">
        <v>95</v>
      </c>
      <c r="C349" s="19">
        <v>55</v>
      </c>
      <c r="D349" s="3" t="s">
        <v>496</v>
      </c>
      <c r="E349" s="3" t="s">
        <v>31</v>
      </c>
      <c r="F349" s="23">
        <v>460370</v>
      </c>
      <c r="G349" s="15">
        <v>2013</v>
      </c>
      <c r="H349" s="15">
        <f>Table_7[[#This Row],[Listing Price (USD)]]/10000</f>
        <v>46.036999999999999</v>
      </c>
      <c r="I349" s="28">
        <f>Table_7[[#This Row],[Length 
(ft)]]</f>
        <v>55</v>
      </c>
      <c r="J349" s="28">
        <f>2020-Table_7[[#This Row],[Year]]</f>
        <v>7</v>
      </c>
      <c r="K349">
        <v>57472012426.685303</v>
      </c>
      <c r="L349">
        <v>14198.753959474399</v>
      </c>
      <c r="M349">
        <v>0.15481137456202801</v>
      </c>
      <c r="N349">
        <v>-8.5803430210621805</v>
      </c>
      <c r="O349">
        <v>49.75</v>
      </c>
      <c r="P349">
        <v>1450.002</v>
      </c>
      <c r="Q349">
        <v>106</v>
      </c>
      <c r="R349">
        <v>16.25</v>
      </c>
    </row>
    <row r="350" spans="1:18" x14ac:dyDescent="0.25">
      <c r="A350" s="1" t="s">
        <v>45</v>
      </c>
      <c r="B350" s="2" t="s">
        <v>94</v>
      </c>
      <c r="C350" s="19">
        <v>55</v>
      </c>
      <c r="D350" s="3" t="s">
        <v>496</v>
      </c>
      <c r="E350" s="3" t="s">
        <v>9</v>
      </c>
      <c r="F350" s="23">
        <v>460370</v>
      </c>
      <c r="G350" s="15">
        <v>2015</v>
      </c>
      <c r="H350" s="15">
        <f>Table_7[[#This Row],[Listing Price (USD)]]/10000</f>
        <v>46.036999999999999</v>
      </c>
      <c r="I350" s="28">
        <f>Table_7[[#This Row],[Length 
(ft)]]</f>
        <v>55</v>
      </c>
      <c r="J350" s="28">
        <f>2020-Table_7[[#This Row],[Year]]</f>
        <v>5</v>
      </c>
      <c r="K350">
        <v>1276962685648.25</v>
      </c>
      <c r="L350">
        <v>26959.675436732599</v>
      </c>
      <c r="M350">
        <v>-0.32275301729970501</v>
      </c>
      <c r="N350">
        <v>-11.3254383222864</v>
      </c>
      <c r="O350">
        <v>49.75</v>
      </c>
      <c r="P350">
        <v>1450.002</v>
      </c>
      <c r="Q350">
        <v>106</v>
      </c>
      <c r="R350">
        <v>16.25</v>
      </c>
    </row>
    <row r="351" spans="1:18" x14ac:dyDescent="0.25">
      <c r="A351" s="1" t="s">
        <v>45</v>
      </c>
      <c r="B351" s="2" t="s">
        <v>94</v>
      </c>
      <c r="C351" s="19">
        <v>55</v>
      </c>
      <c r="D351" s="3" t="s">
        <v>496</v>
      </c>
      <c r="E351" s="3" t="s">
        <v>24</v>
      </c>
      <c r="F351" s="23">
        <v>467658</v>
      </c>
      <c r="G351" s="15">
        <v>2015</v>
      </c>
      <c r="H351" s="15">
        <f>Table_7[[#This Row],[Listing Price (USD)]]/10000</f>
        <v>46.765799999999999</v>
      </c>
      <c r="I351" s="28">
        <f>Table_7[[#This Row],[Length 
(ft)]]</f>
        <v>55</v>
      </c>
      <c r="J351" s="28">
        <f>2020-Table_7[[#This Row],[Year]]</f>
        <v>5</v>
      </c>
      <c r="K351">
        <v>1896755301518.1399</v>
      </c>
      <c r="L351">
        <v>31911.0357890017</v>
      </c>
      <c r="M351">
        <v>-0.13770757391656999</v>
      </c>
      <c r="N351">
        <v>-9.0399534112288507</v>
      </c>
      <c r="O351">
        <v>49.75</v>
      </c>
      <c r="P351">
        <v>1450.002</v>
      </c>
      <c r="Q351">
        <v>106</v>
      </c>
      <c r="R351">
        <v>16.25</v>
      </c>
    </row>
    <row r="352" spans="1:18" x14ac:dyDescent="0.25">
      <c r="A352" s="1" t="s">
        <v>45</v>
      </c>
      <c r="B352" s="2" t="s">
        <v>94</v>
      </c>
      <c r="C352" s="19">
        <v>55</v>
      </c>
      <c r="D352" s="3" t="s">
        <v>496</v>
      </c>
      <c r="E352" s="3" t="s">
        <v>9</v>
      </c>
      <c r="F352" s="23">
        <v>472517</v>
      </c>
      <c r="G352" s="15">
        <v>2015</v>
      </c>
      <c r="H352" s="15">
        <f>Table_7[[#This Row],[Listing Price (USD)]]/10000</f>
        <v>47.2517</v>
      </c>
      <c r="I352" s="28">
        <f>Table_7[[#This Row],[Length 
(ft)]]</f>
        <v>55</v>
      </c>
      <c r="J352" s="28">
        <f>2020-Table_7[[#This Row],[Year]]</f>
        <v>5</v>
      </c>
      <c r="K352">
        <v>1276962685648.25</v>
      </c>
      <c r="L352">
        <v>26959.675436732599</v>
      </c>
      <c r="M352">
        <v>-0.32275301729970501</v>
      </c>
      <c r="N352">
        <v>-11.3254383222864</v>
      </c>
      <c r="O352">
        <v>49.75</v>
      </c>
      <c r="P352">
        <v>1450.002</v>
      </c>
      <c r="Q352">
        <v>106</v>
      </c>
      <c r="R352">
        <v>16.25</v>
      </c>
    </row>
    <row r="353" spans="1:18" x14ac:dyDescent="0.25">
      <c r="A353" s="1" t="s">
        <v>45</v>
      </c>
      <c r="B353" s="2" t="s">
        <v>94</v>
      </c>
      <c r="C353" s="19">
        <v>55</v>
      </c>
      <c r="D353" s="3" t="s">
        <v>496</v>
      </c>
      <c r="E353" s="3" t="s">
        <v>63</v>
      </c>
      <c r="F353" s="23">
        <v>479805</v>
      </c>
      <c r="G353" s="15">
        <v>2016</v>
      </c>
      <c r="H353" s="15">
        <f>Table_7[[#This Row],[Listing Price (USD)]]/10000</f>
        <v>47.980499999999999</v>
      </c>
      <c r="I353" s="28">
        <f>Table_7[[#This Row],[Length 
(ft)]]</f>
        <v>55</v>
      </c>
      <c r="J353" s="28">
        <f>2020-Table_7[[#This Row],[Year]]</f>
        <v>4</v>
      </c>
      <c r="K353">
        <v>720290000000</v>
      </c>
      <c r="L353">
        <v>13341.6</v>
      </c>
      <c r="M353">
        <v>13</v>
      </c>
      <c r="N353">
        <v>-3</v>
      </c>
      <c r="O353">
        <v>49.75</v>
      </c>
      <c r="P353">
        <v>1450.002</v>
      </c>
      <c r="Q353">
        <v>106</v>
      </c>
      <c r="R353">
        <v>16.25</v>
      </c>
    </row>
    <row r="354" spans="1:18" x14ac:dyDescent="0.25">
      <c r="A354" s="1" t="s">
        <v>45</v>
      </c>
      <c r="B354" s="2" t="s">
        <v>94</v>
      </c>
      <c r="C354" s="19">
        <v>55</v>
      </c>
      <c r="D354" s="3" t="s">
        <v>496</v>
      </c>
      <c r="E354" s="3" t="s">
        <v>24</v>
      </c>
      <c r="F354" s="23">
        <v>484664</v>
      </c>
      <c r="G354" s="15">
        <v>2017</v>
      </c>
      <c r="H354" s="15">
        <f>Table_7[[#This Row],[Listing Price (USD)]]/10000</f>
        <v>48.4664</v>
      </c>
      <c r="I354" s="28">
        <f>Table_7[[#This Row],[Length 
(ft)]]</f>
        <v>55</v>
      </c>
      <c r="J354" s="28">
        <f>2020-Table_7[[#This Row],[Year]]</f>
        <v>3</v>
      </c>
      <c r="K354">
        <v>1896755301518.1399</v>
      </c>
      <c r="L354">
        <v>31911.0357890017</v>
      </c>
      <c r="M354">
        <v>-0.13770757391656999</v>
      </c>
      <c r="N354">
        <v>-9.0399534112288507</v>
      </c>
      <c r="O354">
        <v>49.75</v>
      </c>
      <c r="P354">
        <v>1450.002</v>
      </c>
      <c r="Q354">
        <v>106</v>
      </c>
      <c r="R354">
        <v>16.25</v>
      </c>
    </row>
    <row r="355" spans="1:18" x14ac:dyDescent="0.25">
      <c r="A355" s="1" t="s">
        <v>45</v>
      </c>
      <c r="B355" s="3" t="s">
        <v>94</v>
      </c>
      <c r="C355" s="19">
        <v>55</v>
      </c>
      <c r="D355" s="3" t="s">
        <v>495</v>
      </c>
      <c r="E355" s="3" t="s">
        <v>333</v>
      </c>
      <c r="F355" s="23">
        <v>499000</v>
      </c>
      <c r="G355" s="15">
        <v>2015</v>
      </c>
      <c r="H355" s="15">
        <f>Table_7[[#This Row],[Listing Price (USD)]]/10000</f>
        <v>49.9</v>
      </c>
      <c r="I355" s="28">
        <f>Table_7[[#This Row],[Length 
(ft)]]</f>
        <v>55</v>
      </c>
      <c r="J355" s="28">
        <f>2020-Table_7[[#This Row],[Year]]</f>
        <v>5</v>
      </c>
      <c r="K355">
        <v>1106036000000</v>
      </c>
      <c r="L355">
        <v>51276.72</v>
      </c>
      <c r="M355">
        <v>1.23</v>
      </c>
      <c r="N355">
        <v>2.9</v>
      </c>
      <c r="O355">
        <v>49.75</v>
      </c>
      <c r="P355">
        <v>1450.002</v>
      </c>
      <c r="Q355">
        <v>106</v>
      </c>
      <c r="R355">
        <v>16.25</v>
      </c>
    </row>
    <row r="356" spans="1:18" x14ac:dyDescent="0.25">
      <c r="A356" s="1" t="s">
        <v>45</v>
      </c>
      <c r="B356" s="2" t="s">
        <v>94</v>
      </c>
      <c r="C356" s="19">
        <v>55</v>
      </c>
      <c r="D356" s="3" t="s">
        <v>496</v>
      </c>
      <c r="E356" s="3" t="s">
        <v>18</v>
      </c>
      <c r="F356" s="23">
        <v>504099</v>
      </c>
      <c r="G356" s="15">
        <v>2016</v>
      </c>
      <c r="H356" s="15">
        <f>Table_7[[#This Row],[Listing Price (USD)]]/10000</f>
        <v>50.4099</v>
      </c>
      <c r="I356" s="28">
        <f>Table_7[[#This Row],[Length 
(ft)]]</f>
        <v>55</v>
      </c>
      <c r="J356" s="28">
        <f>2020-Table_7[[#This Row],[Year]]</f>
        <v>4</v>
      </c>
      <c r="K356">
        <v>188925995936.80701</v>
      </c>
      <c r="L356">
        <v>17658.947301119199</v>
      </c>
      <c r="M356">
        <v>-1.2479835558140799</v>
      </c>
      <c r="N356">
        <v>-9.0040436420214593</v>
      </c>
      <c r="O356">
        <v>49.75</v>
      </c>
      <c r="P356">
        <v>1450.002</v>
      </c>
      <c r="Q356">
        <v>106</v>
      </c>
      <c r="R356">
        <v>16.25</v>
      </c>
    </row>
    <row r="357" spans="1:18" x14ac:dyDescent="0.25">
      <c r="A357" s="1" t="s">
        <v>45</v>
      </c>
      <c r="B357" s="3" t="s">
        <v>94</v>
      </c>
      <c r="C357" s="19">
        <v>55</v>
      </c>
      <c r="D357" s="3" t="s">
        <v>495</v>
      </c>
      <c r="E357" s="3" t="s">
        <v>499</v>
      </c>
      <c r="F357" s="23">
        <v>525000</v>
      </c>
      <c r="G357" s="15">
        <v>2015</v>
      </c>
      <c r="H357" s="15">
        <f>Table_7[[#This Row],[Listing Price (USD)]]/10000</f>
        <v>52.5</v>
      </c>
      <c r="I357" s="28">
        <f>Table_7[[#This Row],[Length 
(ft)]]</f>
        <v>55</v>
      </c>
      <c r="J357" s="28">
        <f>2020-Table_7[[#This Row],[Year]]</f>
        <v>5</v>
      </c>
      <c r="K357">
        <v>212540000000</v>
      </c>
      <c r="L357">
        <v>76778.559999999998</v>
      </c>
      <c r="M357">
        <v>1.23</v>
      </c>
      <c r="N357">
        <v>2.2000000000000002</v>
      </c>
      <c r="O357">
        <v>49.75</v>
      </c>
      <c r="P357">
        <v>1450.002</v>
      </c>
      <c r="Q357">
        <v>106</v>
      </c>
      <c r="R357">
        <v>16.25</v>
      </c>
    </row>
    <row r="358" spans="1:18" x14ac:dyDescent="0.25">
      <c r="A358" s="1" t="s">
        <v>45</v>
      </c>
      <c r="B358" s="3" t="s">
        <v>94</v>
      </c>
      <c r="C358" s="19">
        <v>55</v>
      </c>
      <c r="D358" s="3" t="s">
        <v>495</v>
      </c>
      <c r="E358" s="3" t="s">
        <v>500</v>
      </c>
      <c r="F358" s="23">
        <v>535000</v>
      </c>
      <c r="G358" s="15">
        <v>2014</v>
      </c>
      <c r="H358" s="15">
        <f>Table_7[[#This Row],[Listing Price (USD)]]/10000</f>
        <v>53.5</v>
      </c>
      <c r="I358" s="28">
        <f>Table_7[[#This Row],[Length 
(ft)]]</f>
        <v>55</v>
      </c>
      <c r="J358" s="28">
        <f>2020-Table_7[[#This Row],[Year]]</f>
        <v>6</v>
      </c>
      <c r="K358">
        <v>3007188000000</v>
      </c>
      <c r="L358">
        <v>76131.839999999997</v>
      </c>
      <c r="M358">
        <v>1.23</v>
      </c>
      <c r="N358">
        <v>2.7</v>
      </c>
      <c r="O358">
        <v>49.75</v>
      </c>
      <c r="P358">
        <v>1450.002</v>
      </c>
      <c r="Q358">
        <v>106</v>
      </c>
      <c r="R358">
        <v>16.25</v>
      </c>
    </row>
    <row r="359" spans="1:18" x14ac:dyDescent="0.25">
      <c r="A359" s="1" t="s">
        <v>45</v>
      </c>
      <c r="B359" s="2" t="s">
        <v>94</v>
      </c>
      <c r="C359" s="19">
        <v>55</v>
      </c>
      <c r="D359" s="3" t="s">
        <v>496</v>
      </c>
      <c r="E359" s="3" t="s">
        <v>3</v>
      </c>
      <c r="F359" s="23">
        <v>545399</v>
      </c>
      <c r="G359" s="15">
        <v>2015</v>
      </c>
      <c r="H359" s="15">
        <f>Table_7[[#This Row],[Listing Price (USD)]]/10000</f>
        <v>54.539900000000003</v>
      </c>
      <c r="I359" s="28">
        <f>Table_7[[#This Row],[Length 
(ft)]]</f>
        <v>55</v>
      </c>
      <c r="J359" s="28">
        <f>2020-Table_7[[#This Row],[Year]]</f>
        <v>5</v>
      </c>
      <c r="K359">
        <v>2639008701648.2598</v>
      </c>
      <c r="L359">
        <v>39055.282928075401</v>
      </c>
      <c r="M359">
        <v>0.47649885272508302</v>
      </c>
      <c r="N359">
        <v>-7.7845864916787102</v>
      </c>
      <c r="O359">
        <v>49.75</v>
      </c>
      <c r="P359">
        <v>1450.002</v>
      </c>
      <c r="Q359">
        <v>106</v>
      </c>
      <c r="R359">
        <v>16.25</v>
      </c>
    </row>
    <row r="360" spans="1:18" x14ac:dyDescent="0.25">
      <c r="A360" s="1" t="s">
        <v>45</v>
      </c>
      <c r="B360" s="2" t="s">
        <v>94</v>
      </c>
      <c r="C360" s="19">
        <v>55</v>
      </c>
      <c r="D360" s="3" t="s">
        <v>496</v>
      </c>
      <c r="E360" s="3" t="s">
        <v>3</v>
      </c>
      <c r="F360" s="23">
        <v>576981</v>
      </c>
      <c r="G360" s="15">
        <v>2015</v>
      </c>
      <c r="H360" s="15">
        <f>Table_7[[#This Row],[Listing Price (USD)]]/10000</f>
        <v>57.698099999999997</v>
      </c>
      <c r="I360" s="28">
        <f>Table_7[[#This Row],[Length 
(ft)]]</f>
        <v>55</v>
      </c>
      <c r="J360" s="28">
        <f>2020-Table_7[[#This Row],[Year]]</f>
        <v>5</v>
      </c>
      <c r="K360">
        <v>2639008701648.2598</v>
      </c>
      <c r="L360">
        <v>39055.282928075401</v>
      </c>
      <c r="M360">
        <v>0.47649885272508302</v>
      </c>
      <c r="N360">
        <v>-7.7845864916787102</v>
      </c>
      <c r="O360">
        <v>49.75</v>
      </c>
      <c r="P360">
        <v>1450.002</v>
      </c>
      <c r="Q360">
        <v>106</v>
      </c>
      <c r="R360">
        <v>16.25</v>
      </c>
    </row>
    <row r="361" spans="1:18" x14ac:dyDescent="0.25">
      <c r="A361" s="1" t="s">
        <v>45</v>
      </c>
      <c r="B361" s="2" t="s">
        <v>94</v>
      </c>
      <c r="C361" s="19">
        <v>55</v>
      </c>
      <c r="D361" s="3" t="s">
        <v>496</v>
      </c>
      <c r="E361" s="3" t="s">
        <v>3</v>
      </c>
      <c r="F361" s="23">
        <v>576981</v>
      </c>
      <c r="G361" s="15">
        <v>2015</v>
      </c>
      <c r="H361" s="15">
        <f>Table_7[[#This Row],[Listing Price (USD)]]/10000</f>
        <v>57.698099999999997</v>
      </c>
      <c r="I361" s="28">
        <f>Table_7[[#This Row],[Length 
(ft)]]</f>
        <v>55</v>
      </c>
      <c r="J361" s="28">
        <f>2020-Table_7[[#This Row],[Year]]</f>
        <v>5</v>
      </c>
      <c r="K361">
        <v>2639008701648.2598</v>
      </c>
      <c r="L361">
        <v>39055.282928075401</v>
      </c>
      <c r="M361">
        <v>0.47649885272508302</v>
      </c>
      <c r="N361">
        <v>-7.7845864916787102</v>
      </c>
      <c r="O361">
        <v>49.75</v>
      </c>
      <c r="P361">
        <v>1450.002</v>
      </c>
      <c r="Q361">
        <v>106</v>
      </c>
      <c r="R361">
        <v>16.25</v>
      </c>
    </row>
    <row r="362" spans="1:18" x14ac:dyDescent="0.25">
      <c r="A362" s="1" t="s">
        <v>45</v>
      </c>
      <c r="B362" s="2" t="s">
        <v>96</v>
      </c>
      <c r="C362" s="19">
        <v>55</v>
      </c>
      <c r="D362" s="3" t="s">
        <v>496</v>
      </c>
      <c r="E362" s="3" t="s">
        <v>3</v>
      </c>
      <c r="F362" s="23">
        <v>637716</v>
      </c>
      <c r="G362" s="15">
        <v>2018</v>
      </c>
      <c r="H362" s="15">
        <f>Table_7[[#This Row],[Listing Price (USD)]]/10000</f>
        <v>63.771599999999999</v>
      </c>
      <c r="I362" s="28">
        <f>Table_7[[#This Row],[Length 
(ft)]]</f>
        <v>55</v>
      </c>
      <c r="J362" s="28">
        <f>2020-Table_7[[#This Row],[Year]]</f>
        <v>2</v>
      </c>
      <c r="K362">
        <v>2639008701648.2598</v>
      </c>
      <c r="L362">
        <v>39055.282928075401</v>
      </c>
      <c r="M362">
        <v>0.47649885272508302</v>
      </c>
      <c r="N362">
        <v>-7.7845864916787102</v>
      </c>
      <c r="O362">
        <v>49.74</v>
      </c>
      <c r="P362">
        <v>1140.972</v>
      </c>
      <c r="Q362">
        <v>106</v>
      </c>
      <c r="R362">
        <v>16.27</v>
      </c>
    </row>
    <row r="363" spans="1:18" x14ac:dyDescent="0.25">
      <c r="A363" s="1" t="s">
        <v>45</v>
      </c>
      <c r="B363" s="2" t="s">
        <v>96</v>
      </c>
      <c r="C363" s="19">
        <v>55</v>
      </c>
      <c r="D363" s="3" t="s">
        <v>496</v>
      </c>
      <c r="E363" s="3" t="s">
        <v>3</v>
      </c>
      <c r="F363" s="23">
        <v>704524</v>
      </c>
      <c r="G363" s="15">
        <v>2019</v>
      </c>
      <c r="H363" s="15">
        <f>Table_7[[#This Row],[Listing Price (USD)]]/10000</f>
        <v>70.452399999999997</v>
      </c>
      <c r="I363" s="28">
        <f>Table_7[[#This Row],[Length 
(ft)]]</f>
        <v>55</v>
      </c>
      <c r="J363" s="28">
        <f>2020-Table_7[[#This Row],[Year]]</f>
        <v>1</v>
      </c>
      <c r="K363">
        <v>2639008701648.2598</v>
      </c>
      <c r="L363">
        <v>39055.282928075401</v>
      </c>
      <c r="M363">
        <v>0.47649885272508302</v>
      </c>
      <c r="N363">
        <v>-7.7845864916787102</v>
      </c>
      <c r="O363">
        <v>49.74</v>
      </c>
      <c r="P363">
        <v>1140.972</v>
      </c>
      <c r="Q363">
        <v>106</v>
      </c>
      <c r="R363">
        <v>16.27</v>
      </c>
    </row>
    <row r="364" spans="1:18" x14ac:dyDescent="0.25">
      <c r="A364" s="1" t="s">
        <v>45</v>
      </c>
      <c r="B364" s="2" t="s">
        <v>96</v>
      </c>
      <c r="C364" s="19">
        <v>55</v>
      </c>
      <c r="D364" s="3" t="s">
        <v>496</v>
      </c>
      <c r="E364" s="3" t="s">
        <v>3</v>
      </c>
      <c r="F364" s="23">
        <v>759185</v>
      </c>
      <c r="G364" s="15">
        <v>2019</v>
      </c>
      <c r="H364" s="15">
        <f>Table_7[[#This Row],[Listing Price (USD)]]/10000</f>
        <v>75.918499999999995</v>
      </c>
      <c r="I364" s="28">
        <f>Table_7[[#This Row],[Length 
(ft)]]</f>
        <v>55</v>
      </c>
      <c r="J364" s="28">
        <f>2020-Table_7[[#This Row],[Year]]</f>
        <v>1</v>
      </c>
      <c r="K364">
        <v>2639008701648.2598</v>
      </c>
      <c r="L364">
        <v>39055.282928075401</v>
      </c>
      <c r="M364">
        <v>0.47649885272508302</v>
      </c>
      <c r="N364">
        <v>-7.7845864916787102</v>
      </c>
      <c r="O364">
        <v>49.74</v>
      </c>
      <c r="P364">
        <v>1140.972</v>
      </c>
      <c r="Q364">
        <v>106</v>
      </c>
      <c r="R364">
        <v>16.27</v>
      </c>
    </row>
    <row r="365" spans="1:18" x14ac:dyDescent="0.25">
      <c r="A365" s="1" t="s">
        <v>45</v>
      </c>
      <c r="B365" s="2" t="s">
        <v>72</v>
      </c>
      <c r="C365" s="19">
        <v>46</v>
      </c>
      <c r="D365" s="3" t="s">
        <v>496</v>
      </c>
      <c r="E365" s="3" t="s">
        <v>3</v>
      </c>
      <c r="F365" s="23">
        <v>321895</v>
      </c>
      <c r="G365" s="15">
        <v>2012</v>
      </c>
      <c r="H365" s="15">
        <f>Table_7[[#This Row],[Listing Price (USD)]]/10000</f>
        <v>32.189500000000002</v>
      </c>
      <c r="I365" s="28">
        <f>Table_7[[#This Row],[Length 
(ft)]]</f>
        <v>46</v>
      </c>
      <c r="J365" s="28">
        <f>2020-Table_7[[#This Row],[Year]]</f>
        <v>8</v>
      </c>
      <c r="K365">
        <v>2639008701648.2598</v>
      </c>
      <c r="L365">
        <v>39055.282928075401</v>
      </c>
      <c r="M365">
        <v>0.47649885272508302</v>
      </c>
      <c r="N365">
        <v>-7.7845864916787102</v>
      </c>
      <c r="O365">
        <v>42.42</v>
      </c>
      <c r="P365">
        <v>1068.002</v>
      </c>
      <c r="Q365">
        <v>106</v>
      </c>
      <c r="R365">
        <v>14.53</v>
      </c>
    </row>
    <row r="366" spans="1:18" x14ac:dyDescent="0.25">
      <c r="A366" s="1" t="s">
        <v>286</v>
      </c>
      <c r="B366" s="2" t="s">
        <v>289</v>
      </c>
      <c r="C366" s="19">
        <v>53</v>
      </c>
      <c r="D366" s="3" t="s">
        <v>496</v>
      </c>
      <c r="E366" s="3" t="s">
        <v>56</v>
      </c>
      <c r="F366" s="23">
        <v>473732</v>
      </c>
      <c r="G366" s="15">
        <v>2014</v>
      </c>
      <c r="H366" s="15">
        <f>Table_7[[#This Row],[Listing Price (USD)]]/10000</f>
        <v>47.373199999999997</v>
      </c>
      <c r="I366" s="28">
        <f>Table_7[[#This Row],[Length 
(ft)]]</f>
        <v>53</v>
      </c>
      <c r="J366" s="28">
        <f>2020-Table_7[[#This Row],[Year]]</f>
        <v>6</v>
      </c>
      <c r="K366">
        <v>14933066818.9606</v>
      </c>
      <c r="L366">
        <v>28977.565567363599</v>
      </c>
      <c r="M366">
        <v>0.63854495677665302</v>
      </c>
      <c r="N366">
        <v>-8.3242832319722009</v>
      </c>
      <c r="O366">
        <v>47.75</v>
      </c>
      <c r="P366">
        <v>1435</v>
      </c>
      <c r="Q366">
        <v>106</v>
      </c>
      <c r="R366">
        <v>16.16</v>
      </c>
    </row>
    <row r="367" spans="1:18" x14ac:dyDescent="0.25">
      <c r="A367" s="1" t="s">
        <v>175</v>
      </c>
      <c r="B367" s="2">
        <v>43</v>
      </c>
      <c r="C367" s="19">
        <v>44</v>
      </c>
      <c r="D367" s="3" t="s">
        <v>496</v>
      </c>
      <c r="E367" s="3" t="s">
        <v>18</v>
      </c>
      <c r="F367" s="23">
        <v>339508</v>
      </c>
      <c r="G367" s="15">
        <v>2005</v>
      </c>
      <c r="H367" s="15">
        <f>Table_7[[#This Row],[Listing Price (USD)]]/10000</f>
        <v>33.950800000000001</v>
      </c>
      <c r="I367" s="28">
        <f>Table_7[[#This Row],[Length 
(ft)]]</f>
        <v>44</v>
      </c>
      <c r="J367" s="28">
        <f>2020-Table_7[[#This Row],[Year]]</f>
        <v>15</v>
      </c>
      <c r="K367">
        <v>188925995936.80701</v>
      </c>
      <c r="L367">
        <v>17658.947301119199</v>
      </c>
      <c r="M367">
        <v>-1.2479835558140799</v>
      </c>
      <c r="N367">
        <v>-9.0040436420214593</v>
      </c>
      <c r="O367">
        <v>38.549999999999997</v>
      </c>
      <c r="P367">
        <v>999</v>
      </c>
      <c r="Q367">
        <v>104</v>
      </c>
      <c r="R367">
        <v>13.39</v>
      </c>
    </row>
    <row r="368" spans="1:18" x14ac:dyDescent="0.25">
      <c r="A368" s="1" t="s">
        <v>175</v>
      </c>
      <c r="B368" s="3">
        <v>43</v>
      </c>
      <c r="C368" s="19">
        <v>44</v>
      </c>
      <c r="D368" s="3" t="s">
        <v>495</v>
      </c>
      <c r="E368" s="3" t="s">
        <v>515</v>
      </c>
      <c r="F368" s="23">
        <v>389000</v>
      </c>
      <c r="G368" s="15">
        <v>2008</v>
      </c>
      <c r="H368" s="15">
        <f>Table_7[[#This Row],[Listing Price (USD)]]/10000</f>
        <v>38.9</v>
      </c>
      <c r="I368" s="28">
        <f>Table_7[[#This Row],[Length 
(ft)]]</f>
        <v>44</v>
      </c>
      <c r="J368" s="28">
        <f>2020-Table_7[[#This Row],[Year]]</f>
        <v>12</v>
      </c>
      <c r="K368">
        <v>410675000000</v>
      </c>
      <c r="L368">
        <v>66531.03</v>
      </c>
      <c r="M368">
        <v>1.23</v>
      </c>
      <c r="N368">
        <v>1.8</v>
      </c>
      <c r="O368">
        <v>38.549999999999997</v>
      </c>
      <c r="P368">
        <v>999</v>
      </c>
      <c r="Q368">
        <v>104</v>
      </c>
      <c r="R368">
        <v>13.39</v>
      </c>
    </row>
    <row r="369" spans="1:18" x14ac:dyDescent="0.25">
      <c r="A369" s="1" t="s">
        <v>282</v>
      </c>
      <c r="B369" s="2">
        <v>4300</v>
      </c>
      <c r="C369" s="19">
        <v>43</v>
      </c>
      <c r="D369" s="3" t="s">
        <v>496</v>
      </c>
      <c r="E369" s="3" t="s">
        <v>24</v>
      </c>
      <c r="F369" s="23">
        <v>303674</v>
      </c>
      <c r="G369" s="15">
        <v>2010</v>
      </c>
      <c r="H369" s="15">
        <f>Table_7[[#This Row],[Listing Price (USD)]]/10000</f>
        <v>30.3674</v>
      </c>
      <c r="I369" s="28">
        <f>Table_7[[#This Row],[Length 
(ft)]]</f>
        <v>43</v>
      </c>
      <c r="J369" s="28">
        <f>2020-Table_7[[#This Row],[Year]]</f>
        <v>10</v>
      </c>
      <c r="K369">
        <v>1896755301518.1399</v>
      </c>
      <c r="L369">
        <v>31911.0357890017</v>
      </c>
      <c r="M369">
        <v>-0.13770757391656999</v>
      </c>
      <c r="N369">
        <v>-9.0399534112288507</v>
      </c>
      <c r="O369">
        <v>38.549999999999997</v>
      </c>
      <c r="P369">
        <v>999</v>
      </c>
      <c r="Q369">
        <v>104</v>
      </c>
      <c r="R369">
        <v>13.39</v>
      </c>
    </row>
    <row r="370" spans="1:18" x14ac:dyDescent="0.25">
      <c r="A370" s="1" t="s">
        <v>282</v>
      </c>
      <c r="B370" s="3">
        <v>4300</v>
      </c>
      <c r="C370" s="19">
        <v>43</v>
      </c>
      <c r="D370" s="3" t="s">
        <v>495</v>
      </c>
      <c r="E370" s="3" t="s">
        <v>518</v>
      </c>
      <c r="F370" s="23">
        <v>399000</v>
      </c>
      <c r="G370" s="15">
        <v>2008</v>
      </c>
      <c r="H370" s="15">
        <f>Table_7[[#This Row],[Listing Price (USD)]]/10000</f>
        <v>39.9</v>
      </c>
      <c r="I370" s="28">
        <f>Table_7[[#This Row],[Length 
(ft)]]</f>
        <v>43</v>
      </c>
      <c r="J370" s="28">
        <f>2020-Table_7[[#This Row],[Year]]</f>
        <v>12</v>
      </c>
      <c r="K370">
        <v>1724759000000</v>
      </c>
      <c r="L370">
        <v>85575.039999999994</v>
      </c>
      <c r="M370">
        <v>1.23</v>
      </c>
      <c r="N370">
        <v>3.8</v>
      </c>
      <c r="O370">
        <v>38.549999999999997</v>
      </c>
      <c r="P370">
        <v>999</v>
      </c>
      <c r="Q370">
        <v>104</v>
      </c>
      <c r="R370">
        <v>13.39</v>
      </c>
    </row>
    <row r="371" spans="1:18" x14ac:dyDescent="0.25">
      <c r="A371" s="1" t="s">
        <v>282</v>
      </c>
      <c r="B371" s="3">
        <v>4300</v>
      </c>
      <c r="C371" s="19">
        <v>43</v>
      </c>
      <c r="D371" s="3" t="s">
        <v>495</v>
      </c>
      <c r="E371" s="3" t="s">
        <v>521</v>
      </c>
      <c r="F371" s="23">
        <v>497000</v>
      </c>
      <c r="G371" s="15">
        <v>2018</v>
      </c>
      <c r="H371" s="15">
        <f>Table_7[[#This Row],[Listing Price (USD)]]/10000</f>
        <v>49.7</v>
      </c>
      <c r="I371" s="28">
        <f>Table_7[[#This Row],[Length 
(ft)]]</f>
        <v>43</v>
      </c>
      <c r="J371" s="28">
        <f>2020-Table_7[[#This Row],[Year]]</f>
        <v>2</v>
      </c>
      <c r="K371">
        <v>60556000000</v>
      </c>
      <c r="L371">
        <v>55240.56</v>
      </c>
      <c r="M371">
        <v>3</v>
      </c>
      <c r="N371">
        <v>2.2000000000000002</v>
      </c>
      <c r="O371">
        <v>38.549999999999997</v>
      </c>
      <c r="P371">
        <v>999</v>
      </c>
      <c r="Q371">
        <v>104</v>
      </c>
      <c r="R371">
        <v>13.39</v>
      </c>
    </row>
    <row r="372" spans="1:18" x14ac:dyDescent="0.25">
      <c r="A372" s="1" t="s">
        <v>164</v>
      </c>
      <c r="B372" s="2">
        <v>46</v>
      </c>
      <c r="C372" s="19">
        <v>47</v>
      </c>
      <c r="D372" s="3" t="s">
        <v>496</v>
      </c>
      <c r="E372" s="3" t="s">
        <v>3</v>
      </c>
      <c r="F372" s="23">
        <v>309748</v>
      </c>
      <c r="G372" s="15">
        <v>2010</v>
      </c>
      <c r="H372" s="15">
        <f>Table_7[[#This Row],[Listing Price (USD)]]/10000</f>
        <v>30.974799999999998</v>
      </c>
      <c r="I372" s="28">
        <f>Table_7[[#This Row],[Length 
(ft)]]</f>
        <v>47</v>
      </c>
      <c r="J372" s="28">
        <f>2020-Table_7[[#This Row],[Year]]</f>
        <v>10</v>
      </c>
      <c r="K372">
        <v>2639008701648.2598</v>
      </c>
      <c r="L372">
        <v>39055.282928075401</v>
      </c>
      <c r="M372">
        <v>0.47649885272508302</v>
      </c>
      <c r="N372">
        <v>-7.7845864916787102</v>
      </c>
      <c r="O372">
        <v>42.32</v>
      </c>
      <c r="P372">
        <v>1235.7</v>
      </c>
      <c r="Q372">
        <v>100</v>
      </c>
      <c r="R372">
        <v>14.27</v>
      </c>
    </row>
    <row r="373" spans="1:18" x14ac:dyDescent="0.25">
      <c r="A373" s="1" t="s">
        <v>164</v>
      </c>
      <c r="B373" s="2">
        <v>46</v>
      </c>
      <c r="C373" s="19">
        <v>47</v>
      </c>
      <c r="D373" s="3" t="s">
        <v>496</v>
      </c>
      <c r="E373" s="3" t="s">
        <v>63</v>
      </c>
      <c r="F373" s="23">
        <v>334042</v>
      </c>
      <c r="G373" s="15">
        <v>2011</v>
      </c>
      <c r="H373" s="15">
        <f>Table_7[[#This Row],[Listing Price (USD)]]/10000</f>
        <v>33.404200000000003</v>
      </c>
      <c r="I373" s="28">
        <f>Table_7[[#This Row],[Length 
(ft)]]</f>
        <v>47</v>
      </c>
      <c r="J373" s="28">
        <f>2020-Table_7[[#This Row],[Year]]</f>
        <v>9</v>
      </c>
      <c r="K373">
        <v>720290000021</v>
      </c>
      <c r="L373">
        <v>13341.6</v>
      </c>
      <c r="M373">
        <v>13</v>
      </c>
      <c r="N373">
        <v>-3</v>
      </c>
      <c r="O373">
        <v>42.32</v>
      </c>
      <c r="P373">
        <v>1235.7</v>
      </c>
      <c r="Q373">
        <v>100</v>
      </c>
      <c r="R373">
        <v>14.27</v>
      </c>
    </row>
    <row r="374" spans="1:18" x14ac:dyDescent="0.25">
      <c r="A374" s="1" t="s">
        <v>190</v>
      </c>
      <c r="B374" s="3">
        <v>46</v>
      </c>
      <c r="C374" s="19">
        <v>46</v>
      </c>
      <c r="D374" s="3" t="s">
        <v>495</v>
      </c>
      <c r="E374" s="3" t="s">
        <v>333</v>
      </c>
      <c r="F374" s="23">
        <v>360000</v>
      </c>
      <c r="G374" s="15">
        <v>2007</v>
      </c>
      <c r="H374" s="15">
        <f>Table_7[[#This Row],[Listing Price (USD)]]/10000</f>
        <v>36</v>
      </c>
      <c r="I374" s="28">
        <f>Table_7[[#This Row],[Length 
(ft)]]</f>
        <v>46</v>
      </c>
      <c r="J374" s="28">
        <f>2020-Table_7[[#This Row],[Year]]</f>
        <v>13</v>
      </c>
      <c r="K374">
        <v>1106036000000</v>
      </c>
      <c r="L374">
        <v>51276.72</v>
      </c>
      <c r="M374">
        <v>1.23</v>
      </c>
      <c r="N374">
        <v>2.9</v>
      </c>
      <c r="O374">
        <v>42.32</v>
      </c>
      <c r="P374">
        <v>1235.7</v>
      </c>
      <c r="Q374">
        <v>100</v>
      </c>
      <c r="R374">
        <v>14.27</v>
      </c>
    </row>
    <row r="375" spans="1:18" x14ac:dyDescent="0.25">
      <c r="A375" s="1" t="s">
        <v>239</v>
      </c>
      <c r="B375" s="2">
        <v>46</v>
      </c>
      <c r="C375" s="19">
        <v>46</v>
      </c>
      <c r="D375" s="3" t="s">
        <v>496</v>
      </c>
      <c r="E375" s="3" t="s">
        <v>19</v>
      </c>
      <c r="F375" s="23">
        <v>393128</v>
      </c>
      <c r="G375" s="15">
        <v>2005</v>
      </c>
      <c r="H375" s="15">
        <f>Table_7[[#This Row],[Listing Price (USD)]]/10000</f>
        <v>39.312800000000003</v>
      </c>
      <c r="I375" s="28">
        <f>Table_7[[#This Row],[Length 
(ft)]]</f>
        <v>46</v>
      </c>
      <c r="J375" s="28">
        <f>2020-Table_7[[#This Row],[Year]]</f>
        <v>15</v>
      </c>
      <c r="K375">
        <v>4200000000</v>
      </c>
      <c r="L375">
        <v>39553.199999999997</v>
      </c>
      <c r="M375">
        <v>4.0999999999999996</v>
      </c>
      <c r="N375">
        <v>-2.1</v>
      </c>
      <c r="O375">
        <v>42.32</v>
      </c>
      <c r="P375">
        <v>1235.7</v>
      </c>
      <c r="Q375">
        <v>100</v>
      </c>
      <c r="R375">
        <v>14.27</v>
      </c>
    </row>
    <row r="376" spans="1:18" x14ac:dyDescent="0.25">
      <c r="A376" s="1" t="s">
        <v>117</v>
      </c>
      <c r="B376" s="3">
        <v>46</v>
      </c>
      <c r="C376" s="19">
        <v>47</v>
      </c>
      <c r="D376" s="3" t="s">
        <v>495</v>
      </c>
      <c r="E376" s="3" t="s">
        <v>526</v>
      </c>
      <c r="F376" s="23">
        <v>419000</v>
      </c>
      <c r="G376" s="15">
        <v>2017</v>
      </c>
      <c r="H376" s="15">
        <f>Table_7[[#This Row],[Listing Price (USD)]]/10000</f>
        <v>41.9</v>
      </c>
      <c r="I376" s="28">
        <f>Table_7[[#This Row],[Length 
(ft)]]</f>
        <v>47</v>
      </c>
      <c r="J376" s="28">
        <f>2020-Table_7[[#This Row],[Year]]</f>
        <v>3</v>
      </c>
      <c r="K376">
        <v>4200000000</v>
      </c>
      <c r="L376">
        <v>39553.199999999997</v>
      </c>
      <c r="M376">
        <v>4.0999999999999996</v>
      </c>
      <c r="N376">
        <v>-2.1</v>
      </c>
      <c r="O376">
        <v>42.32</v>
      </c>
      <c r="P376">
        <v>1235.7</v>
      </c>
      <c r="Q376">
        <v>100</v>
      </c>
      <c r="R376">
        <v>14.27</v>
      </c>
    </row>
    <row r="377" spans="1:18" x14ac:dyDescent="0.25">
      <c r="A377" s="1" t="s">
        <v>190</v>
      </c>
      <c r="B377" s="2">
        <v>46</v>
      </c>
      <c r="C377" s="19">
        <v>46</v>
      </c>
      <c r="D377" s="3" t="s">
        <v>496</v>
      </c>
      <c r="E377" s="3" t="s">
        <v>19</v>
      </c>
      <c r="F377" s="23">
        <v>425675</v>
      </c>
      <c r="G377" s="15">
        <v>2008</v>
      </c>
      <c r="H377" s="15">
        <f>Table_7[[#This Row],[Listing Price (USD)]]/10000</f>
        <v>42.567500000000003</v>
      </c>
      <c r="I377" s="28">
        <f>Table_7[[#This Row],[Length 
(ft)]]</f>
        <v>46</v>
      </c>
      <c r="J377" s="28">
        <f>2020-Table_7[[#This Row],[Year]]</f>
        <v>12</v>
      </c>
      <c r="K377">
        <v>4200000000</v>
      </c>
      <c r="L377">
        <v>39553.199999999997</v>
      </c>
      <c r="M377">
        <v>4.0999999999999996</v>
      </c>
      <c r="N377">
        <v>-2.1</v>
      </c>
      <c r="O377">
        <v>42.32</v>
      </c>
      <c r="P377">
        <v>1235.7</v>
      </c>
      <c r="Q377">
        <v>100</v>
      </c>
      <c r="R377">
        <v>14.27</v>
      </c>
    </row>
    <row r="378" spans="1:18" x14ac:dyDescent="0.25">
      <c r="A378" s="1" t="s">
        <v>190</v>
      </c>
      <c r="B378" s="3">
        <v>46</v>
      </c>
      <c r="C378" s="19">
        <v>46</v>
      </c>
      <c r="D378" s="3" t="s">
        <v>495</v>
      </c>
      <c r="E378" s="3" t="s">
        <v>499</v>
      </c>
      <c r="F378" s="23">
        <v>439000</v>
      </c>
      <c r="G378" s="15">
        <v>2010</v>
      </c>
      <c r="H378" s="15">
        <f>Table_7[[#This Row],[Listing Price (USD)]]/10000</f>
        <v>43.9</v>
      </c>
      <c r="I378" s="28">
        <f>Table_7[[#This Row],[Length 
(ft)]]</f>
        <v>46</v>
      </c>
      <c r="J378" s="28">
        <f>2020-Table_7[[#This Row],[Year]]</f>
        <v>10</v>
      </c>
      <c r="K378">
        <v>212540000000</v>
      </c>
      <c r="L378">
        <v>76778.559999999998</v>
      </c>
      <c r="M378">
        <v>1.23</v>
      </c>
      <c r="N378">
        <v>2.2000000000000002</v>
      </c>
      <c r="O378">
        <v>42.32</v>
      </c>
      <c r="P378">
        <v>1235.7</v>
      </c>
      <c r="Q378">
        <v>100</v>
      </c>
      <c r="R378">
        <v>14.27</v>
      </c>
    </row>
    <row r="379" spans="1:18" x14ac:dyDescent="0.25">
      <c r="A379" s="1" t="s">
        <v>117</v>
      </c>
      <c r="B379" s="2">
        <v>46</v>
      </c>
      <c r="C379" s="19">
        <v>46</v>
      </c>
      <c r="D379" s="3" t="s">
        <v>496</v>
      </c>
      <c r="E379" s="3" t="s">
        <v>516</v>
      </c>
      <c r="F379" s="23">
        <v>460370</v>
      </c>
      <c r="G379" s="15">
        <v>2018</v>
      </c>
      <c r="H379" s="15">
        <f>Table_7[[#This Row],[Listing Price (USD)]]/10000</f>
        <v>46.036999999999999</v>
      </c>
      <c r="I379" s="28">
        <f>Table_7[[#This Row],[Length 
(ft)]]</f>
        <v>46</v>
      </c>
      <c r="J379" s="28">
        <f>2020-Table_7[[#This Row],[Year]]</f>
        <v>2</v>
      </c>
      <c r="K379">
        <v>909793466661.48096</v>
      </c>
      <c r="L379">
        <v>52162.570115040602</v>
      </c>
      <c r="M379">
        <v>1.2724603778917001</v>
      </c>
      <c r="N379">
        <v>-3.88608391819609</v>
      </c>
      <c r="O379">
        <v>42.32</v>
      </c>
      <c r="P379">
        <v>1235.7</v>
      </c>
      <c r="Q379">
        <v>100</v>
      </c>
      <c r="R379">
        <v>14.27</v>
      </c>
    </row>
    <row r="380" spans="1:18" x14ac:dyDescent="0.25">
      <c r="A380" s="1" t="s">
        <v>117</v>
      </c>
      <c r="B380" s="2">
        <v>46</v>
      </c>
      <c r="C380" s="19">
        <v>46</v>
      </c>
      <c r="D380" s="3" t="s">
        <v>496</v>
      </c>
      <c r="E380" s="3" t="s">
        <v>516</v>
      </c>
      <c r="F380" s="23">
        <v>460370</v>
      </c>
      <c r="G380" s="15">
        <v>2018</v>
      </c>
      <c r="H380" s="15">
        <f>Table_7[[#This Row],[Listing Price (USD)]]/10000</f>
        <v>46.036999999999999</v>
      </c>
      <c r="I380" s="28">
        <f>Table_7[[#This Row],[Length 
(ft)]]</f>
        <v>46</v>
      </c>
      <c r="J380" s="28">
        <f>2020-Table_7[[#This Row],[Year]]</f>
        <v>2</v>
      </c>
      <c r="K380">
        <v>909793466661.48096</v>
      </c>
      <c r="L380">
        <v>52162.570115040602</v>
      </c>
      <c r="M380">
        <v>1.2724603778917001</v>
      </c>
      <c r="N380">
        <v>-3.88608391819609</v>
      </c>
      <c r="O380">
        <v>42.32</v>
      </c>
      <c r="P380">
        <v>1235.7</v>
      </c>
      <c r="Q380">
        <v>100</v>
      </c>
      <c r="R380">
        <v>14.27</v>
      </c>
    </row>
    <row r="381" spans="1:18" x14ac:dyDescent="0.25">
      <c r="A381" s="1" t="s">
        <v>13</v>
      </c>
      <c r="B381" s="2">
        <v>46</v>
      </c>
      <c r="C381" s="19">
        <v>46</v>
      </c>
      <c r="D381" s="3" t="s">
        <v>496</v>
      </c>
      <c r="E381" s="3" t="s">
        <v>9</v>
      </c>
      <c r="F381" s="23">
        <v>479927</v>
      </c>
      <c r="G381" s="15">
        <v>2017</v>
      </c>
      <c r="H381" s="15">
        <f>Table_7[[#This Row],[Listing Price (USD)]]/10000</f>
        <v>47.992699999999999</v>
      </c>
      <c r="I381" s="28">
        <f>Table_7[[#This Row],[Length 
(ft)]]</f>
        <v>46</v>
      </c>
      <c r="J381" s="28">
        <f>2020-Table_7[[#This Row],[Year]]</f>
        <v>3</v>
      </c>
      <c r="K381">
        <v>1276962685648.25</v>
      </c>
      <c r="L381">
        <v>26959.675436732599</v>
      </c>
      <c r="M381">
        <v>-0.32275301729970501</v>
      </c>
      <c r="N381">
        <v>-11.3254383222864</v>
      </c>
      <c r="O381">
        <v>42.32</v>
      </c>
      <c r="P381">
        <v>1235.7</v>
      </c>
      <c r="Q381">
        <v>100</v>
      </c>
      <c r="R381">
        <v>14.27</v>
      </c>
    </row>
    <row r="382" spans="1:18" x14ac:dyDescent="0.25">
      <c r="A382" s="1" t="s">
        <v>260</v>
      </c>
      <c r="B382" s="3">
        <v>46</v>
      </c>
      <c r="C382" s="19">
        <v>46</v>
      </c>
      <c r="D382" s="3" t="s">
        <v>495</v>
      </c>
      <c r="E382" s="3" t="s">
        <v>521</v>
      </c>
      <c r="F382" s="23">
        <v>499000</v>
      </c>
      <c r="G382" s="15">
        <v>2006</v>
      </c>
      <c r="H382" s="15">
        <f>Table_7[[#This Row],[Listing Price (USD)]]/10000</f>
        <v>49.9</v>
      </c>
      <c r="I382" s="28">
        <f>Table_7[[#This Row],[Length 
(ft)]]</f>
        <v>46</v>
      </c>
      <c r="J382" s="28">
        <f>2020-Table_7[[#This Row],[Year]]</f>
        <v>14</v>
      </c>
      <c r="K382">
        <v>60556000000</v>
      </c>
      <c r="L382">
        <v>55240.56</v>
      </c>
      <c r="M382">
        <v>3</v>
      </c>
      <c r="N382">
        <v>2.2000000000000002</v>
      </c>
      <c r="O382">
        <v>42.32</v>
      </c>
      <c r="P382">
        <v>1235.7</v>
      </c>
      <c r="Q382">
        <v>100</v>
      </c>
      <c r="R382">
        <v>14.27</v>
      </c>
    </row>
    <row r="383" spans="1:18" x14ac:dyDescent="0.25">
      <c r="A383" s="1" t="s">
        <v>117</v>
      </c>
      <c r="B383" s="2">
        <v>47</v>
      </c>
      <c r="C383" s="19">
        <v>47</v>
      </c>
      <c r="D383" s="3" t="s">
        <v>496</v>
      </c>
      <c r="E383" s="3" t="s">
        <v>9</v>
      </c>
      <c r="F383" s="23">
        <v>193186</v>
      </c>
      <c r="G383" s="15">
        <v>2007</v>
      </c>
      <c r="H383" s="15">
        <f>Table_7[[#This Row],[Listing Price (USD)]]/10000</f>
        <v>19.3186</v>
      </c>
      <c r="I383" s="28">
        <f>Table_7[[#This Row],[Length 
(ft)]]</f>
        <v>47</v>
      </c>
      <c r="J383" s="28">
        <f>2020-Table_7[[#This Row],[Year]]</f>
        <v>13</v>
      </c>
      <c r="K383">
        <v>1276962685648.25</v>
      </c>
      <c r="L383">
        <v>26959.675436732599</v>
      </c>
      <c r="M383">
        <v>-0.32275301729970501</v>
      </c>
      <c r="N383">
        <v>-11.3254383222864</v>
      </c>
      <c r="O383">
        <v>42.32</v>
      </c>
      <c r="P383">
        <v>1235.7</v>
      </c>
      <c r="Q383">
        <v>100</v>
      </c>
      <c r="R383">
        <v>14.27</v>
      </c>
    </row>
    <row r="384" spans="1:18" x14ac:dyDescent="0.25">
      <c r="A384" s="1" t="s">
        <v>117</v>
      </c>
      <c r="B384" s="2">
        <v>47</v>
      </c>
      <c r="C384" s="19">
        <v>47</v>
      </c>
      <c r="D384" s="3" t="s">
        <v>496</v>
      </c>
      <c r="E384" s="3" t="s">
        <v>24</v>
      </c>
      <c r="F384" s="23">
        <v>205284</v>
      </c>
      <c r="G384" s="15">
        <v>2008</v>
      </c>
      <c r="H384" s="15">
        <f>Table_7[[#This Row],[Listing Price (USD)]]/10000</f>
        <v>20.528400000000001</v>
      </c>
      <c r="I384" s="28">
        <f>Table_7[[#This Row],[Length 
(ft)]]</f>
        <v>47</v>
      </c>
      <c r="J384" s="28">
        <f>2020-Table_7[[#This Row],[Year]]</f>
        <v>12</v>
      </c>
      <c r="K384">
        <v>1896755301518.1399</v>
      </c>
      <c r="L384">
        <v>31911.0357890017</v>
      </c>
      <c r="M384">
        <v>-0.13770757391656999</v>
      </c>
      <c r="N384">
        <v>-9.0399534112288507</v>
      </c>
      <c r="O384">
        <v>42.32</v>
      </c>
      <c r="P384">
        <v>1235.7</v>
      </c>
      <c r="Q384">
        <v>100</v>
      </c>
      <c r="R384">
        <v>14.27</v>
      </c>
    </row>
    <row r="385" spans="1:18" x14ac:dyDescent="0.25">
      <c r="A385" s="1" t="s">
        <v>273</v>
      </c>
      <c r="B385" s="2">
        <v>47</v>
      </c>
      <c r="C385" s="19">
        <v>47</v>
      </c>
      <c r="D385" s="3" t="s">
        <v>496</v>
      </c>
      <c r="E385" s="3" t="s">
        <v>24</v>
      </c>
      <c r="F385" s="23">
        <v>227148</v>
      </c>
      <c r="G385" s="15">
        <v>2012</v>
      </c>
      <c r="H385" s="15">
        <f>Table_7[[#This Row],[Listing Price (USD)]]/10000</f>
        <v>22.7148</v>
      </c>
      <c r="I385" s="28">
        <f>Table_7[[#This Row],[Length 
(ft)]]</f>
        <v>47</v>
      </c>
      <c r="J385" s="28">
        <f>2020-Table_7[[#This Row],[Year]]</f>
        <v>8</v>
      </c>
      <c r="K385">
        <v>1896755301518.1399</v>
      </c>
      <c r="L385">
        <v>31911.0357890017</v>
      </c>
      <c r="M385">
        <v>-0.13770757391656999</v>
      </c>
      <c r="N385">
        <v>-9.0399534112288507</v>
      </c>
      <c r="O385">
        <v>42.32</v>
      </c>
      <c r="P385">
        <v>1235.7</v>
      </c>
      <c r="Q385">
        <v>100</v>
      </c>
      <c r="R385">
        <v>14.27</v>
      </c>
    </row>
    <row r="386" spans="1:18" x14ac:dyDescent="0.25">
      <c r="A386" s="1" t="s">
        <v>164</v>
      </c>
      <c r="B386" s="2" t="s">
        <v>166</v>
      </c>
      <c r="C386" s="19">
        <v>41</v>
      </c>
      <c r="D386" s="3" t="s">
        <v>496</v>
      </c>
      <c r="E386" s="3" t="s">
        <v>24</v>
      </c>
      <c r="F386" s="23">
        <v>151876</v>
      </c>
      <c r="G386" s="15">
        <v>2009</v>
      </c>
      <c r="H386" s="15">
        <f>Table_7[[#This Row],[Listing Price (USD)]]/10000</f>
        <v>15.1876</v>
      </c>
      <c r="I386" s="28">
        <f>Table_7[[#This Row],[Length 
(ft)]]</f>
        <v>41</v>
      </c>
      <c r="J386" s="28">
        <f>2020-Table_7[[#This Row],[Year]]</f>
        <v>11</v>
      </c>
      <c r="K386">
        <v>1896755301518.1399</v>
      </c>
      <c r="L386">
        <v>31911.0357890017</v>
      </c>
      <c r="M386">
        <v>-0.13770757391656999</v>
      </c>
      <c r="N386">
        <v>-9.0399534112288507</v>
      </c>
      <c r="O386">
        <v>34.5</v>
      </c>
      <c r="P386">
        <v>864.00199999999995</v>
      </c>
      <c r="Q386">
        <v>100</v>
      </c>
      <c r="R386">
        <v>12.83</v>
      </c>
    </row>
    <row r="387" spans="1:18" x14ac:dyDescent="0.25">
      <c r="A387" s="1" t="s">
        <v>248</v>
      </c>
      <c r="B387" s="2" t="s">
        <v>249</v>
      </c>
      <c r="C387" s="19">
        <v>44</v>
      </c>
      <c r="D387" s="3" t="s">
        <v>496</v>
      </c>
      <c r="E387" s="3" t="s">
        <v>19</v>
      </c>
      <c r="F387" s="23">
        <v>413104</v>
      </c>
      <c r="G387" s="15">
        <v>2006</v>
      </c>
      <c r="H387" s="15">
        <f>Table_7[[#This Row],[Listing Price (USD)]]/10000</f>
        <v>41.310400000000001</v>
      </c>
      <c r="I387" s="28">
        <f>Table_7[[#This Row],[Length 
(ft)]]</f>
        <v>44</v>
      </c>
      <c r="J387" s="28">
        <f>2020-Table_7[[#This Row],[Year]]</f>
        <v>14</v>
      </c>
      <c r="K387">
        <v>4200000000</v>
      </c>
      <c r="L387">
        <v>39553.199999999997</v>
      </c>
      <c r="M387">
        <v>4.0999999999999996</v>
      </c>
      <c r="N387">
        <v>-2.1</v>
      </c>
      <c r="O387">
        <v>40.58</v>
      </c>
      <c r="P387">
        <v>932.00199999999995</v>
      </c>
      <c r="Q387">
        <v>100</v>
      </c>
      <c r="R387">
        <v>14</v>
      </c>
    </row>
    <row r="388" spans="1:18" x14ac:dyDescent="0.25">
      <c r="A388" s="1" t="s">
        <v>14</v>
      </c>
      <c r="B388" s="2" t="s">
        <v>37</v>
      </c>
      <c r="C388" s="19">
        <v>47</v>
      </c>
      <c r="D388" s="3" t="s">
        <v>496</v>
      </c>
      <c r="E388" s="3" t="s">
        <v>24</v>
      </c>
      <c r="F388" s="23">
        <v>91106</v>
      </c>
      <c r="G388" s="15">
        <v>2009</v>
      </c>
      <c r="H388" s="15">
        <f>Table_7[[#This Row],[Listing Price (USD)]]/10000</f>
        <v>9.1105999999999998</v>
      </c>
      <c r="I388" s="28">
        <f>Table_7[[#This Row],[Length 
(ft)]]</f>
        <v>47</v>
      </c>
      <c r="J388" s="28">
        <f>2020-Table_7[[#This Row],[Year]]</f>
        <v>11</v>
      </c>
      <c r="K388">
        <v>1896755301518.1399</v>
      </c>
      <c r="L388">
        <v>31911.0357890017</v>
      </c>
      <c r="M388">
        <v>-0.13770757391656999</v>
      </c>
      <c r="N388">
        <v>-9.0399534112288507</v>
      </c>
      <c r="O388">
        <v>42.08</v>
      </c>
      <c r="P388">
        <v>938.00199999999995</v>
      </c>
      <c r="Q388">
        <v>100</v>
      </c>
      <c r="R388">
        <v>14.33</v>
      </c>
    </row>
    <row r="389" spans="1:18" x14ac:dyDescent="0.25">
      <c r="A389" s="1" t="s">
        <v>14</v>
      </c>
      <c r="B389" s="2" t="s">
        <v>37</v>
      </c>
      <c r="C389" s="19">
        <v>47</v>
      </c>
      <c r="D389" s="3" t="s">
        <v>496</v>
      </c>
      <c r="E389" s="3" t="s">
        <v>24</v>
      </c>
      <c r="F389" s="23">
        <v>120239</v>
      </c>
      <c r="G389" s="15">
        <v>2009</v>
      </c>
      <c r="H389" s="15">
        <f>Table_7[[#This Row],[Listing Price (USD)]]/10000</f>
        <v>12.023899999999999</v>
      </c>
      <c r="I389" s="28">
        <f>Table_7[[#This Row],[Length 
(ft)]]</f>
        <v>47</v>
      </c>
      <c r="J389" s="28">
        <f>2020-Table_7[[#This Row],[Year]]</f>
        <v>11</v>
      </c>
      <c r="K389">
        <v>1896755301518.1399</v>
      </c>
      <c r="L389">
        <v>31911.0357890017</v>
      </c>
      <c r="M389">
        <v>-0.13770757391656999</v>
      </c>
      <c r="N389">
        <v>-9.0399534112288507</v>
      </c>
      <c r="O389">
        <v>42.08</v>
      </c>
      <c r="P389">
        <v>938.00199999999995</v>
      </c>
      <c r="Q389">
        <v>100</v>
      </c>
      <c r="R389">
        <v>14.33</v>
      </c>
    </row>
    <row r="390" spans="1:18" x14ac:dyDescent="0.25">
      <c r="A390" s="1" t="s">
        <v>14</v>
      </c>
      <c r="B390" s="2" t="s">
        <v>37</v>
      </c>
      <c r="C390" s="19">
        <v>47</v>
      </c>
      <c r="D390" s="3" t="s">
        <v>496</v>
      </c>
      <c r="E390" s="3" t="s">
        <v>18</v>
      </c>
      <c r="F390" s="23">
        <v>127543</v>
      </c>
      <c r="G390" s="15">
        <v>2009</v>
      </c>
      <c r="H390" s="15">
        <f>Table_7[[#This Row],[Listing Price (USD)]]/10000</f>
        <v>12.754300000000001</v>
      </c>
      <c r="I390" s="28">
        <f>Table_7[[#This Row],[Length 
(ft)]]</f>
        <v>47</v>
      </c>
      <c r="J390" s="28">
        <f>2020-Table_7[[#This Row],[Year]]</f>
        <v>11</v>
      </c>
      <c r="K390">
        <v>188925995936.80701</v>
      </c>
      <c r="L390">
        <v>17658.947301119199</v>
      </c>
      <c r="M390">
        <v>-1.2479835558140799</v>
      </c>
      <c r="N390">
        <v>-9.0040436420214593</v>
      </c>
      <c r="O390">
        <v>42.08</v>
      </c>
      <c r="P390">
        <v>938.00199999999995</v>
      </c>
      <c r="Q390">
        <v>100</v>
      </c>
      <c r="R390">
        <v>14.33</v>
      </c>
    </row>
    <row r="391" spans="1:18" x14ac:dyDescent="0.25">
      <c r="A391" s="1" t="s">
        <v>14</v>
      </c>
      <c r="B391" s="2" t="s">
        <v>37</v>
      </c>
      <c r="C391" s="19">
        <v>47</v>
      </c>
      <c r="D391" s="3" t="s">
        <v>496</v>
      </c>
      <c r="E391" s="3" t="s">
        <v>19</v>
      </c>
      <c r="F391" s="23">
        <v>265131</v>
      </c>
      <c r="G391" s="15">
        <v>2009</v>
      </c>
      <c r="H391" s="15">
        <f>Table_7[[#This Row],[Listing Price (USD)]]/10000</f>
        <v>26.513100000000001</v>
      </c>
      <c r="I391" s="28">
        <f>Table_7[[#This Row],[Length 
(ft)]]</f>
        <v>47</v>
      </c>
      <c r="J391" s="28">
        <f>2020-Table_7[[#This Row],[Year]]</f>
        <v>11</v>
      </c>
      <c r="K391">
        <v>4200000000</v>
      </c>
      <c r="L391">
        <v>39553.199999999997</v>
      </c>
      <c r="M391">
        <v>4.0999999999999996</v>
      </c>
      <c r="N391">
        <v>-2.1</v>
      </c>
      <c r="O391">
        <v>42.08</v>
      </c>
      <c r="P391">
        <v>938.00199999999995</v>
      </c>
      <c r="Q391">
        <v>100</v>
      </c>
      <c r="R391">
        <v>14.33</v>
      </c>
    </row>
    <row r="392" spans="1:18" x14ac:dyDescent="0.25">
      <c r="A392" s="1" t="s">
        <v>117</v>
      </c>
      <c r="B392" s="2" t="s">
        <v>122</v>
      </c>
      <c r="C392" s="19">
        <v>47</v>
      </c>
      <c r="D392" s="3" t="s">
        <v>496</v>
      </c>
      <c r="E392" s="3" t="s">
        <v>3</v>
      </c>
      <c r="F392" s="23">
        <v>238688</v>
      </c>
      <c r="G392" s="15">
        <v>2008</v>
      </c>
      <c r="H392" s="15">
        <f>Table_7[[#This Row],[Listing Price (USD)]]/10000</f>
        <v>23.8688</v>
      </c>
      <c r="I392" s="28">
        <f>Table_7[[#This Row],[Length 
(ft)]]</f>
        <v>47</v>
      </c>
      <c r="J392" s="28">
        <f>2020-Table_7[[#This Row],[Year]]</f>
        <v>12</v>
      </c>
      <c r="K392">
        <v>2639008701648.2598</v>
      </c>
      <c r="L392">
        <v>39055.282928075401</v>
      </c>
      <c r="M392">
        <v>0.47649885272508302</v>
      </c>
      <c r="N392">
        <v>-7.7845864916787102</v>
      </c>
      <c r="O392">
        <v>42.08</v>
      </c>
      <c r="P392">
        <v>938.00199999999995</v>
      </c>
      <c r="Q392">
        <v>100</v>
      </c>
      <c r="R392">
        <v>14.33</v>
      </c>
    </row>
    <row r="393" spans="1:18" x14ac:dyDescent="0.25">
      <c r="A393" s="1" t="s">
        <v>117</v>
      </c>
      <c r="B393" s="2" t="s">
        <v>122</v>
      </c>
      <c r="C393" s="19">
        <v>47</v>
      </c>
      <c r="D393" s="3" t="s">
        <v>496</v>
      </c>
      <c r="E393" s="3" t="s">
        <v>24</v>
      </c>
      <c r="F393" s="23">
        <v>261160</v>
      </c>
      <c r="G393" s="15">
        <v>2007</v>
      </c>
      <c r="H393" s="15">
        <f>Table_7[[#This Row],[Listing Price (USD)]]/10000</f>
        <v>26.116</v>
      </c>
      <c r="I393" s="28">
        <f>Table_7[[#This Row],[Length 
(ft)]]</f>
        <v>47</v>
      </c>
      <c r="J393" s="28">
        <f>2020-Table_7[[#This Row],[Year]]</f>
        <v>13</v>
      </c>
      <c r="K393">
        <v>1896755301518.1399</v>
      </c>
      <c r="L393">
        <v>31911.0357890017</v>
      </c>
      <c r="M393">
        <v>-0.13770757391656999</v>
      </c>
      <c r="N393">
        <v>-9.0399534112288507</v>
      </c>
      <c r="O393">
        <v>42.08</v>
      </c>
      <c r="P393">
        <v>938.00199999999995</v>
      </c>
      <c r="Q393">
        <v>100</v>
      </c>
      <c r="R393">
        <v>14.33</v>
      </c>
    </row>
    <row r="394" spans="1:18" x14ac:dyDescent="0.25">
      <c r="A394" s="1" t="s">
        <v>103</v>
      </c>
      <c r="B394" s="3" t="s">
        <v>337</v>
      </c>
      <c r="C394" s="19">
        <v>46</v>
      </c>
      <c r="D394" s="3" t="s">
        <v>497</v>
      </c>
      <c r="E394" s="3" t="s">
        <v>392</v>
      </c>
      <c r="F394" s="23">
        <v>179950</v>
      </c>
      <c r="G394" s="15">
        <v>2005</v>
      </c>
      <c r="H394" s="15">
        <f>Table_7[[#This Row],[Listing Price (USD)]]/10000</f>
        <v>17.995000000000001</v>
      </c>
      <c r="I394" s="28">
        <f>Table_7[[#This Row],[Length 
(ft)]]</f>
        <v>46</v>
      </c>
      <c r="J394" s="28">
        <f>2020-Table_7[[#This Row],[Year]]</f>
        <v>15</v>
      </c>
      <c r="K394">
        <v>1043414814.81481</v>
      </c>
      <c r="L394">
        <v>8437.5667322870595</v>
      </c>
      <c r="M394">
        <v>-0.74073259704550098</v>
      </c>
      <c r="N394">
        <v>-13.7559294530644</v>
      </c>
      <c r="O394">
        <v>40.58</v>
      </c>
      <c r="P394">
        <v>932.00199999999995</v>
      </c>
      <c r="Q394">
        <v>100</v>
      </c>
      <c r="R394">
        <v>14</v>
      </c>
    </row>
    <row r="395" spans="1:18" x14ac:dyDescent="0.25">
      <c r="A395" s="1" t="s">
        <v>103</v>
      </c>
      <c r="B395" s="3" t="s">
        <v>337</v>
      </c>
      <c r="C395" s="19">
        <v>46</v>
      </c>
      <c r="D395" s="3" t="s">
        <v>495</v>
      </c>
      <c r="E395" s="3" t="s">
        <v>526</v>
      </c>
      <c r="F395" s="23">
        <v>194950</v>
      </c>
      <c r="G395" s="15">
        <v>2005</v>
      </c>
      <c r="H395" s="15">
        <f>Table_7[[#This Row],[Listing Price (USD)]]/10000</f>
        <v>19.495000000000001</v>
      </c>
      <c r="I395" s="28">
        <f>Table_7[[#This Row],[Length 
(ft)]]</f>
        <v>46</v>
      </c>
      <c r="J395" s="28">
        <f>2020-Table_7[[#This Row],[Year]]</f>
        <v>15</v>
      </c>
      <c r="K395">
        <v>4200000000</v>
      </c>
      <c r="L395">
        <v>39553.199999999997</v>
      </c>
      <c r="M395">
        <v>4.0999999999999996</v>
      </c>
      <c r="N395">
        <v>-2.1</v>
      </c>
      <c r="O395">
        <v>40.58</v>
      </c>
      <c r="P395">
        <v>932.00199999999995</v>
      </c>
      <c r="Q395">
        <v>100</v>
      </c>
      <c r="R395">
        <v>14</v>
      </c>
    </row>
    <row r="396" spans="1:18" x14ac:dyDescent="0.25">
      <c r="A396" s="1" t="s">
        <v>103</v>
      </c>
      <c r="B396" s="3" t="s">
        <v>337</v>
      </c>
      <c r="C396" s="19">
        <v>46</v>
      </c>
      <c r="D396" s="3" t="s">
        <v>495</v>
      </c>
      <c r="E396" s="3" t="s">
        <v>500</v>
      </c>
      <c r="F396" s="23">
        <v>199900</v>
      </c>
      <c r="G396" s="15">
        <v>2005</v>
      </c>
      <c r="H396" s="15">
        <f>Table_7[[#This Row],[Listing Price (USD)]]/10000</f>
        <v>19.989999999999998</v>
      </c>
      <c r="I396" s="28">
        <f>Table_7[[#This Row],[Length 
(ft)]]</f>
        <v>46</v>
      </c>
      <c r="J396" s="28">
        <f>2020-Table_7[[#This Row],[Year]]</f>
        <v>15</v>
      </c>
      <c r="K396">
        <v>3007188000000</v>
      </c>
      <c r="L396">
        <v>76131.839999999997</v>
      </c>
      <c r="M396">
        <v>1.23</v>
      </c>
      <c r="N396">
        <v>2.7</v>
      </c>
      <c r="O396">
        <v>40.58</v>
      </c>
      <c r="P396">
        <v>932.00199999999995</v>
      </c>
      <c r="Q396">
        <v>100</v>
      </c>
      <c r="R396">
        <v>14</v>
      </c>
    </row>
    <row r="397" spans="1:18" x14ac:dyDescent="0.25">
      <c r="A397" s="1" t="s">
        <v>103</v>
      </c>
      <c r="B397" s="3" t="s">
        <v>337</v>
      </c>
      <c r="C397" s="19">
        <v>46</v>
      </c>
      <c r="D397" s="3" t="s">
        <v>497</v>
      </c>
      <c r="E397" s="3" t="s">
        <v>498</v>
      </c>
      <c r="F397" s="23">
        <v>209999</v>
      </c>
      <c r="G397" s="15">
        <v>2007</v>
      </c>
      <c r="H397" s="15">
        <f>Table_7[[#This Row],[Listing Price (USD)]]/10000</f>
        <v>20.9999</v>
      </c>
      <c r="I397" s="28">
        <f>Table_7[[#This Row],[Length 
(ft)]]</f>
        <v>46</v>
      </c>
      <c r="J397" s="28">
        <f>2020-Table_7[[#This Row],[Year]]</f>
        <v>13</v>
      </c>
      <c r="K397">
        <v>1090515389749.41</v>
      </c>
      <c r="L397">
        <v>8655.0006820680301</v>
      </c>
      <c r="M397">
        <v>3.3968341556999899</v>
      </c>
      <c r="N397">
        <v>-7.9879123401474903</v>
      </c>
      <c r="O397">
        <v>40.58</v>
      </c>
      <c r="P397">
        <v>932.00199999999995</v>
      </c>
      <c r="Q397">
        <v>100</v>
      </c>
      <c r="R397">
        <v>14</v>
      </c>
    </row>
    <row r="398" spans="1:18" x14ac:dyDescent="0.25">
      <c r="A398" s="1" t="s">
        <v>103</v>
      </c>
      <c r="B398" s="3" t="s">
        <v>337</v>
      </c>
      <c r="C398" s="19">
        <v>46</v>
      </c>
      <c r="D398" s="3" t="s">
        <v>495</v>
      </c>
      <c r="E398" s="3" t="s">
        <v>554</v>
      </c>
      <c r="F398" s="23">
        <v>214900</v>
      </c>
      <c r="G398" s="15">
        <v>2007</v>
      </c>
      <c r="H398" s="15">
        <f>Table_7[[#This Row],[Listing Price (USD)]]/10000</f>
        <v>21.49</v>
      </c>
      <c r="I398" s="28">
        <f>Table_7[[#This Row],[Length 
(ft)]]</f>
        <v>46</v>
      </c>
      <c r="J398" s="28">
        <f>2020-Table_7[[#This Row],[Year]]</f>
        <v>13</v>
      </c>
      <c r="K398">
        <v>4200000000</v>
      </c>
      <c r="L398">
        <v>39553.199999999997</v>
      </c>
      <c r="M398">
        <v>4.0999999999999996</v>
      </c>
      <c r="N398">
        <v>-2.1</v>
      </c>
      <c r="O398">
        <v>40.58</v>
      </c>
      <c r="P398">
        <v>932.00199999999995</v>
      </c>
      <c r="Q398">
        <v>100</v>
      </c>
      <c r="R398">
        <v>14</v>
      </c>
    </row>
    <row r="399" spans="1:18" x14ac:dyDescent="0.25">
      <c r="A399" s="1" t="s">
        <v>103</v>
      </c>
      <c r="B399" s="3" t="s">
        <v>337</v>
      </c>
      <c r="C399" s="19">
        <v>46</v>
      </c>
      <c r="D399" s="3" t="s">
        <v>495</v>
      </c>
      <c r="E399" s="3" t="s">
        <v>333</v>
      </c>
      <c r="F399" s="23">
        <v>219000</v>
      </c>
      <c r="G399" s="15">
        <v>2006</v>
      </c>
      <c r="H399" s="15">
        <f>Table_7[[#This Row],[Listing Price (USD)]]/10000</f>
        <v>21.9</v>
      </c>
      <c r="I399" s="28">
        <f>Table_7[[#This Row],[Length 
(ft)]]</f>
        <v>46</v>
      </c>
      <c r="J399" s="28">
        <f>2020-Table_7[[#This Row],[Year]]</f>
        <v>14</v>
      </c>
      <c r="K399">
        <v>1106036000000</v>
      </c>
      <c r="L399">
        <v>51276.72</v>
      </c>
      <c r="M399">
        <v>1.23</v>
      </c>
      <c r="N399">
        <v>2.9</v>
      </c>
      <c r="O399">
        <v>40.58</v>
      </c>
      <c r="P399">
        <v>932.00199999999995</v>
      </c>
      <c r="Q399">
        <v>100</v>
      </c>
      <c r="R399">
        <v>14</v>
      </c>
    </row>
    <row r="400" spans="1:18" x14ac:dyDescent="0.25">
      <c r="A400" s="1" t="s">
        <v>252</v>
      </c>
      <c r="B400" s="2" t="s">
        <v>253</v>
      </c>
      <c r="C400" s="19">
        <v>46</v>
      </c>
      <c r="D400" s="3" t="s">
        <v>496</v>
      </c>
      <c r="E400" s="3" t="s">
        <v>3</v>
      </c>
      <c r="F400" s="23">
        <v>546613</v>
      </c>
      <c r="G400" s="15">
        <v>2007</v>
      </c>
      <c r="H400" s="15">
        <f>Table_7[[#This Row],[Listing Price (USD)]]/10000</f>
        <v>54.661299999999997</v>
      </c>
      <c r="I400" s="28">
        <f>Table_7[[#This Row],[Length 
(ft)]]</f>
        <v>46</v>
      </c>
      <c r="J400" s="28">
        <f>2020-Table_7[[#This Row],[Year]]</f>
        <v>13</v>
      </c>
      <c r="K400">
        <v>2639008701648.2598</v>
      </c>
      <c r="L400">
        <v>39055.282928075401</v>
      </c>
      <c r="M400">
        <v>0.47649885272508302</v>
      </c>
      <c r="N400">
        <v>-7.7845864916787102</v>
      </c>
      <c r="O400">
        <v>37.83</v>
      </c>
      <c r="P400">
        <v>978.00199999999995</v>
      </c>
      <c r="Q400">
        <v>99</v>
      </c>
      <c r="R400">
        <v>14.42</v>
      </c>
    </row>
    <row r="401" spans="1:18" x14ac:dyDescent="0.25">
      <c r="A401" s="1" t="s">
        <v>195</v>
      </c>
      <c r="B401" s="2" t="s">
        <v>199</v>
      </c>
      <c r="C401" s="19">
        <v>39</v>
      </c>
      <c r="D401" s="3" t="s">
        <v>496</v>
      </c>
      <c r="E401" s="3" t="s">
        <v>18</v>
      </c>
      <c r="F401" s="23">
        <v>102034</v>
      </c>
      <c r="G401" s="15">
        <v>2007</v>
      </c>
      <c r="H401" s="15">
        <f>Table_7[[#This Row],[Listing Price (USD)]]/10000</f>
        <v>10.2034</v>
      </c>
      <c r="I401" s="28">
        <f>Table_7[[#This Row],[Length 
(ft)]]</f>
        <v>39</v>
      </c>
      <c r="J401" s="28">
        <f>2020-Table_7[[#This Row],[Year]]</f>
        <v>13</v>
      </c>
      <c r="K401">
        <v>188925995936.80701</v>
      </c>
      <c r="L401">
        <v>17658.947301119199</v>
      </c>
      <c r="M401">
        <v>-1.2479835558140799</v>
      </c>
      <c r="N401">
        <v>-9.0040436420214593</v>
      </c>
      <c r="O401">
        <v>35.159999999999997</v>
      </c>
      <c r="P401">
        <v>709.00199999999995</v>
      </c>
      <c r="Q401">
        <v>94</v>
      </c>
      <c r="R401">
        <v>12.75</v>
      </c>
    </row>
    <row r="402" spans="1:18" x14ac:dyDescent="0.25">
      <c r="A402" s="1" t="s">
        <v>195</v>
      </c>
      <c r="B402" s="2" t="s">
        <v>199</v>
      </c>
      <c r="C402" s="19">
        <v>39</v>
      </c>
      <c r="D402" s="3" t="s">
        <v>496</v>
      </c>
      <c r="E402" s="3" t="s">
        <v>3</v>
      </c>
      <c r="F402" s="23">
        <v>112967</v>
      </c>
      <c r="G402" s="15">
        <v>2007</v>
      </c>
      <c r="H402" s="15">
        <f>Table_7[[#This Row],[Listing Price (USD)]]/10000</f>
        <v>11.2967</v>
      </c>
      <c r="I402" s="28">
        <f>Table_7[[#This Row],[Length 
(ft)]]</f>
        <v>39</v>
      </c>
      <c r="J402" s="28">
        <f>2020-Table_7[[#This Row],[Year]]</f>
        <v>13</v>
      </c>
      <c r="K402">
        <v>2639008701648.2598</v>
      </c>
      <c r="L402">
        <v>39055.282928075401</v>
      </c>
      <c r="M402">
        <v>0.47649885272508302</v>
      </c>
      <c r="N402">
        <v>-7.7845864916787102</v>
      </c>
      <c r="O402">
        <v>35.159999999999997</v>
      </c>
      <c r="P402">
        <v>709.00199999999995</v>
      </c>
      <c r="Q402">
        <v>94</v>
      </c>
      <c r="R402">
        <v>12.75</v>
      </c>
    </row>
    <row r="403" spans="1:18" x14ac:dyDescent="0.25">
      <c r="A403" s="1" t="s">
        <v>195</v>
      </c>
      <c r="B403" s="2" t="s">
        <v>199</v>
      </c>
      <c r="C403" s="19">
        <v>39</v>
      </c>
      <c r="D403" s="3" t="s">
        <v>496</v>
      </c>
      <c r="E403" s="3" t="s">
        <v>541</v>
      </c>
      <c r="F403" s="23">
        <v>115396</v>
      </c>
      <c r="G403" s="15">
        <v>2007</v>
      </c>
      <c r="H403" s="15">
        <f>Table_7[[#This Row],[Listing Price (USD)]]/10000</f>
        <v>11.5396</v>
      </c>
      <c r="I403" s="28">
        <f>Table_7[[#This Row],[Length 
(ft)]]</f>
        <v>39</v>
      </c>
      <c r="J403" s="28">
        <f>2020-Table_7[[#This Row],[Year]]</f>
        <v>13</v>
      </c>
      <c r="K403">
        <v>425852281928.12097</v>
      </c>
      <c r="L403">
        <v>85420.190855609704</v>
      </c>
      <c r="M403">
        <v>-0.33458462542844403</v>
      </c>
      <c r="N403">
        <v>6.1845380388162301</v>
      </c>
      <c r="O403">
        <v>35.159999999999997</v>
      </c>
      <c r="P403">
        <v>709.00199999999995</v>
      </c>
      <c r="Q403">
        <v>94</v>
      </c>
      <c r="R403">
        <v>12.75</v>
      </c>
    </row>
    <row r="404" spans="1:18" x14ac:dyDescent="0.25">
      <c r="A404" s="1" t="s">
        <v>195</v>
      </c>
      <c r="B404" s="2" t="s">
        <v>199</v>
      </c>
      <c r="C404" s="19">
        <v>39</v>
      </c>
      <c r="D404" s="3" t="s">
        <v>496</v>
      </c>
      <c r="E404" s="3" t="s">
        <v>541</v>
      </c>
      <c r="F404" s="23">
        <v>115912</v>
      </c>
      <c r="G404" s="15">
        <v>2007</v>
      </c>
      <c r="H404" s="15">
        <f>Table_7[[#This Row],[Listing Price (USD)]]/10000</f>
        <v>11.591200000000001</v>
      </c>
      <c r="I404" s="28">
        <f>Table_7[[#This Row],[Length 
(ft)]]</f>
        <v>39</v>
      </c>
      <c r="J404" s="28">
        <f>2020-Table_7[[#This Row],[Year]]</f>
        <v>13</v>
      </c>
      <c r="K404">
        <v>425852281928.12097</v>
      </c>
      <c r="L404">
        <v>85420.190855609704</v>
      </c>
      <c r="M404">
        <v>-0.33458462542844403</v>
      </c>
      <c r="N404">
        <v>6.1845380388162301</v>
      </c>
      <c r="O404">
        <v>35.159999999999997</v>
      </c>
      <c r="P404">
        <v>709.00199999999995</v>
      </c>
      <c r="Q404">
        <v>94</v>
      </c>
      <c r="R404">
        <v>12.75</v>
      </c>
    </row>
    <row r="405" spans="1:18" x14ac:dyDescent="0.25">
      <c r="A405" s="1" t="s">
        <v>195</v>
      </c>
      <c r="B405" s="2" t="s">
        <v>199</v>
      </c>
      <c r="C405" s="19">
        <v>39</v>
      </c>
      <c r="D405" s="3" t="s">
        <v>496</v>
      </c>
      <c r="E405" s="3" t="s">
        <v>63</v>
      </c>
      <c r="F405" s="23">
        <v>127543</v>
      </c>
      <c r="G405" s="15">
        <v>2009</v>
      </c>
      <c r="H405" s="15">
        <f>Table_7[[#This Row],[Listing Price (USD)]]/10000</f>
        <v>12.754300000000001</v>
      </c>
      <c r="I405" s="28">
        <f>Table_7[[#This Row],[Length 
(ft)]]</f>
        <v>39</v>
      </c>
      <c r="J405" s="28">
        <f>2020-Table_7[[#This Row],[Year]]</f>
        <v>11</v>
      </c>
      <c r="K405">
        <v>720290000000</v>
      </c>
      <c r="L405">
        <v>13341.6</v>
      </c>
      <c r="M405">
        <v>13</v>
      </c>
      <c r="N405">
        <v>-3</v>
      </c>
      <c r="O405">
        <v>35.159999999999997</v>
      </c>
      <c r="P405">
        <v>709.00199999999995</v>
      </c>
      <c r="Q405">
        <v>94</v>
      </c>
      <c r="R405">
        <v>12.75</v>
      </c>
    </row>
    <row r="406" spans="1:18" x14ac:dyDescent="0.25">
      <c r="A406" s="1" t="s">
        <v>195</v>
      </c>
      <c r="B406" s="2" t="s">
        <v>199</v>
      </c>
      <c r="C406" s="19">
        <v>39</v>
      </c>
      <c r="D406" s="3" t="s">
        <v>496</v>
      </c>
      <c r="E406" s="3" t="s">
        <v>31</v>
      </c>
      <c r="F406" s="23">
        <v>127576</v>
      </c>
      <c r="G406" s="15">
        <v>2009</v>
      </c>
      <c r="H406" s="15">
        <f>Table_7[[#This Row],[Listing Price (USD)]]/10000</f>
        <v>12.7576</v>
      </c>
      <c r="I406" s="28">
        <f>Table_7[[#This Row],[Length 
(ft)]]</f>
        <v>39</v>
      </c>
      <c r="J406" s="28">
        <f>2020-Table_7[[#This Row],[Year]]</f>
        <v>11</v>
      </c>
      <c r="K406">
        <v>57472012426.685303</v>
      </c>
      <c r="L406">
        <v>14198.753959474399</v>
      </c>
      <c r="M406">
        <v>0.15481137456202801</v>
      </c>
      <c r="N406">
        <v>-8.5803430210621805</v>
      </c>
      <c r="O406">
        <v>35.159999999999997</v>
      </c>
      <c r="P406">
        <v>709.00199999999995</v>
      </c>
      <c r="Q406">
        <v>94</v>
      </c>
      <c r="R406">
        <v>12.75</v>
      </c>
    </row>
    <row r="407" spans="1:18" x14ac:dyDescent="0.25">
      <c r="A407" s="1" t="s">
        <v>195</v>
      </c>
      <c r="B407" s="2" t="s">
        <v>199</v>
      </c>
      <c r="C407" s="19">
        <v>39</v>
      </c>
      <c r="D407" s="3" t="s">
        <v>496</v>
      </c>
      <c r="E407" s="3" t="s">
        <v>24</v>
      </c>
      <c r="F407" s="23">
        <v>139726</v>
      </c>
      <c r="G407" s="15">
        <v>2010</v>
      </c>
      <c r="H407" s="15">
        <f>Table_7[[#This Row],[Listing Price (USD)]]/10000</f>
        <v>13.9726</v>
      </c>
      <c r="I407" s="28">
        <f>Table_7[[#This Row],[Length 
(ft)]]</f>
        <v>39</v>
      </c>
      <c r="J407" s="28">
        <f>2020-Table_7[[#This Row],[Year]]</f>
        <v>10</v>
      </c>
      <c r="K407">
        <v>1896755301518.1399</v>
      </c>
      <c r="L407">
        <v>31911.0357890017</v>
      </c>
      <c r="M407">
        <v>-0.13770757391656999</v>
      </c>
      <c r="N407">
        <v>-9.0399534112288507</v>
      </c>
      <c r="O407">
        <v>35.159999999999997</v>
      </c>
      <c r="P407">
        <v>709.00199999999995</v>
      </c>
      <c r="Q407">
        <v>94</v>
      </c>
      <c r="R407">
        <v>12.75</v>
      </c>
    </row>
    <row r="408" spans="1:18" x14ac:dyDescent="0.25">
      <c r="A408" s="1" t="s">
        <v>195</v>
      </c>
      <c r="B408" s="2" t="s">
        <v>199</v>
      </c>
      <c r="C408" s="19">
        <v>39</v>
      </c>
      <c r="D408" s="3" t="s">
        <v>496</v>
      </c>
      <c r="E408" s="3" t="s">
        <v>3</v>
      </c>
      <c r="F408" s="23">
        <v>145764</v>
      </c>
      <c r="G408" s="15">
        <v>2007</v>
      </c>
      <c r="H408" s="15">
        <f>Table_7[[#This Row],[Listing Price (USD)]]/10000</f>
        <v>14.5764</v>
      </c>
      <c r="I408" s="28">
        <f>Table_7[[#This Row],[Length 
(ft)]]</f>
        <v>39</v>
      </c>
      <c r="J408" s="28">
        <f>2020-Table_7[[#This Row],[Year]]</f>
        <v>13</v>
      </c>
      <c r="K408">
        <v>2639008701648.2598</v>
      </c>
      <c r="L408">
        <v>39055.282928075401</v>
      </c>
      <c r="M408">
        <v>0.47649885272508302</v>
      </c>
      <c r="N408">
        <v>-7.7845864916787102</v>
      </c>
      <c r="O408">
        <v>35.159999999999997</v>
      </c>
      <c r="P408">
        <v>709.00199999999995</v>
      </c>
      <c r="Q408">
        <v>94</v>
      </c>
      <c r="R408">
        <v>12.75</v>
      </c>
    </row>
    <row r="409" spans="1:18" x14ac:dyDescent="0.25">
      <c r="A409" s="1" t="s">
        <v>275</v>
      </c>
      <c r="B409" s="2">
        <v>50</v>
      </c>
      <c r="C409" s="19">
        <v>50</v>
      </c>
      <c r="D409" s="3" t="s">
        <v>496</v>
      </c>
      <c r="E409" s="3" t="s">
        <v>24</v>
      </c>
      <c r="F409" s="23">
        <v>886728</v>
      </c>
      <c r="G409" s="15">
        <v>2017</v>
      </c>
      <c r="H409" s="15">
        <f>Table_7[[#This Row],[Listing Price (USD)]]/10000</f>
        <v>88.672799999999995</v>
      </c>
      <c r="I409" s="28">
        <f>Table_7[[#This Row],[Length 
(ft)]]</f>
        <v>50</v>
      </c>
      <c r="J409" s="28">
        <f>2020-Table_7[[#This Row],[Year]]</f>
        <v>3</v>
      </c>
      <c r="K409">
        <v>1896755301518.1399</v>
      </c>
      <c r="L409">
        <v>31911.0357890017</v>
      </c>
      <c r="M409">
        <v>-0.13770757391656999</v>
      </c>
      <c r="N409">
        <v>-9.0399534112288507</v>
      </c>
      <c r="O409">
        <v>46.75</v>
      </c>
      <c r="P409">
        <v>1721</v>
      </c>
      <c r="Q409">
        <v>92</v>
      </c>
      <c r="R409">
        <v>14.93</v>
      </c>
    </row>
    <row r="410" spans="1:18" x14ac:dyDescent="0.25">
      <c r="A410" s="1" t="s">
        <v>112</v>
      </c>
      <c r="B410" s="2" t="s">
        <v>115</v>
      </c>
      <c r="C410" s="19">
        <v>49</v>
      </c>
      <c r="D410" s="3" t="s">
        <v>496</v>
      </c>
      <c r="E410" s="3" t="s">
        <v>516</v>
      </c>
      <c r="F410" s="23">
        <v>582470</v>
      </c>
      <c r="G410" s="15">
        <v>2007</v>
      </c>
      <c r="H410" s="15">
        <f>Table_7[[#This Row],[Listing Price (USD)]]/10000</f>
        <v>58.247</v>
      </c>
      <c r="I410" s="28">
        <f>Table_7[[#This Row],[Length 
(ft)]]</f>
        <v>49</v>
      </c>
      <c r="J410" s="28">
        <f>2020-Table_7[[#This Row],[Year]]</f>
        <v>13</v>
      </c>
      <c r="K410">
        <v>909793466661.48096</v>
      </c>
      <c r="L410">
        <v>52162.570115040602</v>
      </c>
      <c r="M410">
        <v>1.2724603778917001</v>
      </c>
      <c r="N410">
        <v>-3.88608391819609</v>
      </c>
      <c r="O410">
        <v>41.67</v>
      </c>
      <c r="P410">
        <v>1240.002</v>
      </c>
      <c r="Q410">
        <v>92</v>
      </c>
      <c r="R410">
        <v>15.42</v>
      </c>
    </row>
    <row r="411" spans="1:18" x14ac:dyDescent="0.25">
      <c r="A411" s="1" t="s">
        <v>175</v>
      </c>
      <c r="B411" s="2">
        <v>412</v>
      </c>
      <c r="C411" s="19">
        <v>41</v>
      </c>
      <c r="D411" s="3" t="s">
        <v>496</v>
      </c>
      <c r="E411" s="3" t="s">
        <v>9</v>
      </c>
      <c r="F411" s="23">
        <v>449377</v>
      </c>
      <c r="G411" s="15">
        <v>2013</v>
      </c>
      <c r="H411" s="15">
        <f>Table_7[[#This Row],[Listing Price (USD)]]/10000</f>
        <v>44.9377</v>
      </c>
      <c r="I411" s="28">
        <f>Table_7[[#This Row],[Length 
(ft)]]</f>
        <v>41</v>
      </c>
      <c r="J411" s="28">
        <f>2020-Table_7[[#This Row],[Year]]</f>
        <v>7</v>
      </c>
      <c r="K411">
        <v>1276962685648.25</v>
      </c>
      <c r="L411">
        <v>26959.675436732599</v>
      </c>
      <c r="M411">
        <v>-0.32275301729970501</v>
      </c>
      <c r="N411">
        <v>-11.3254383222864</v>
      </c>
      <c r="O411">
        <v>37.729999999999997</v>
      </c>
      <c r="P411">
        <v>968.75</v>
      </c>
      <c r="Q411">
        <v>91</v>
      </c>
      <c r="R411">
        <v>13.48</v>
      </c>
    </row>
    <row r="412" spans="1:18" x14ac:dyDescent="0.25">
      <c r="A412" s="1" t="s">
        <v>175</v>
      </c>
      <c r="B412" s="2">
        <v>412</v>
      </c>
      <c r="C412" s="19">
        <v>41</v>
      </c>
      <c r="D412" s="3" t="s">
        <v>496</v>
      </c>
      <c r="E412" s="3" t="s">
        <v>124</v>
      </c>
      <c r="F412" s="23">
        <v>593119</v>
      </c>
      <c r="G412" s="15">
        <v>2015</v>
      </c>
      <c r="H412" s="15">
        <f>Table_7[[#This Row],[Listing Price (USD)]]/10000</f>
        <v>59.311900000000001</v>
      </c>
      <c r="I412" s="28">
        <f>Table_7[[#This Row],[Length 
(ft)]]</f>
        <v>41</v>
      </c>
      <c r="J412" s="28">
        <f>2020-Table_7[[#This Row],[Year]]</f>
        <v>5</v>
      </c>
      <c r="K412">
        <v>547054174235.87598</v>
      </c>
      <c r="L412">
        <v>52837.903977814902</v>
      </c>
      <c r="M412">
        <v>0.497367318853562</v>
      </c>
      <c r="N412">
        <v>-2.1702131788587198</v>
      </c>
      <c r="O412">
        <v>37.729999999999997</v>
      </c>
      <c r="P412">
        <v>968.75</v>
      </c>
      <c r="Q412">
        <v>91</v>
      </c>
      <c r="R412">
        <v>13.48</v>
      </c>
    </row>
    <row r="413" spans="1:18" x14ac:dyDescent="0.25">
      <c r="A413" s="1" t="s">
        <v>248</v>
      </c>
      <c r="B413" s="2">
        <v>380</v>
      </c>
      <c r="C413" s="19">
        <v>38</v>
      </c>
      <c r="D413" s="3" t="s">
        <v>496</v>
      </c>
      <c r="E413" s="3" t="s">
        <v>19</v>
      </c>
      <c r="F413" s="23">
        <v>233156</v>
      </c>
      <c r="G413" s="15">
        <v>2005</v>
      </c>
      <c r="H413" s="15">
        <f>Table_7[[#This Row],[Listing Price (USD)]]/10000</f>
        <v>23.3156</v>
      </c>
      <c r="I413" s="28">
        <f>Table_7[[#This Row],[Length 
(ft)]]</f>
        <v>38</v>
      </c>
      <c r="J413" s="28">
        <f>2020-Table_7[[#This Row],[Year]]</f>
        <v>15</v>
      </c>
      <c r="K413">
        <v>4200000000</v>
      </c>
      <c r="L413">
        <v>39553.199999999997</v>
      </c>
      <c r="M413">
        <v>4.0999999999999996</v>
      </c>
      <c r="N413">
        <v>-2.1</v>
      </c>
      <c r="O413">
        <v>32.479999999999997</v>
      </c>
      <c r="P413">
        <v>691</v>
      </c>
      <c r="Q413">
        <v>86</v>
      </c>
      <c r="R413">
        <v>11.97</v>
      </c>
    </row>
    <row r="414" spans="1:18" x14ac:dyDescent="0.25">
      <c r="A414" s="1" t="s">
        <v>164</v>
      </c>
      <c r="B414" s="2" t="s">
        <v>171</v>
      </c>
      <c r="C414" s="19">
        <v>47</v>
      </c>
      <c r="D414" s="3" t="s">
        <v>496</v>
      </c>
      <c r="E414" s="3" t="s">
        <v>24</v>
      </c>
      <c r="F414" s="23">
        <v>194351</v>
      </c>
      <c r="G414" s="15">
        <v>2009</v>
      </c>
      <c r="H414" s="15">
        <f>Table_7[[#This Row],[Listing Price (USD)]]/10000</f>
        <v>19.435099999999998</v>
      </c>
      <c r="I414" s="28">
        <f>Table_7[[#This Row],[Length 
(ft)]]</f>
        <v>47</v>
      </c>
      <c r="J414" s="28">
        <f>2020-Table_7[[#This Row],[Year]]</f>
        <v>11</v>
      </c>
      <c r="K414">
        <v>1896755301518.1399</v>
      </c>
      <c r="L414">
        <v>31911.0357890017</v>
      </c>
      <c r="M414">
        <v>-0.13770757391656999</v>
      </c>
      <c r="N414">
        <v>-9.0399534112288507</v>
      </c>
      <c r="O414">
        <v>38.22</v>
      </c>
      <c r="P414">
        <v>1302.002</v>
      </c>
      <c r="Q414">
        <v>85</v>
      </c>
      <c r="R414">
        <v>13.78</v>
      </c>
    </row>
    <row r="415" spans="1:18" x14ac:dyDescent="0.25">
      <c r="A415" s="1" t="s">
        <v>14</v>
      </c>
      <c r="B415" s="2" t="s">
        <v>42</v>
      </c>
      <c r="C415" s="19">
        <v>49</v>
      </c>
      <c r="D415" s="3" t="s">
        <v>496</v>
      </c>
      <c r="E415" s="3" t="s">
        <v>9</v>
      </c>
      <c r="F415" s="23">
        <v>106893</v>
      </c>
      <c r="G415" s="15">
        <v>2010</v>
      </c>
      <c r="H415" s="15">
        <f>Table_7[[#This Row],[Listing Price (USD)]]/10000</f>
        <v>10.689299999999999</v>
      </c>
      <c r="I415" s="28">
        <f>Table_7[[#This Row],[Length 
(ft)]]</f>
        <v>49</v>
      </c>
      <c r="J415" s="28">
        <f>2020-Table_7[[#This Row],[Year]]</f>
        <v>10</v>
      </c>
      <c r="K415">
        <v>1276962685648.25</v>
      </c>
      <c r="L415">
        <v>26959.675436732599</v>
      </c>
      <c r="M415">
        <v>-0.32275301729970501</v>
      </c>
      <c r="N415">
        <v>-11.3254383222864</v>
      </c>
      <c r="O415">
        <v>44.13</v>
      </c>
      <c r="P415">
        <v>1371.002</v>
      </c>
      <c r="Q415">
        <v>84</v>
      </c>
      <c r="R415">
        <v>14.73</v>
      </c>
    </row>
    <row r="416" spans="1:18" x14ac:dyDescent="0.25">
      <c r="A416" s="1" t="s">
        <v>14</v>
      </c>
      <c r="B416" s="2" t="s">
        <v>42</v>
      </c>
      <c r="C416" s="19">
        <v>49</v>
      </c>
      <c r="D416" s="3" t="s">
        <v>496</v>
      </c>
      <c r="E416" s="3" t="s">
        <v>9</v>
      </c>
      <c r="F416" s="23">
        <v>120255</v>
      </c>
      <c r="G416" s="15">
        <v>2010</v>
      </c>
      <c r="H416" s="15">
        <f>Table_7[[#This Row],[Listing Price (USD)]]/10000</f>
        <v>12.025499999999999</v>
      </c>
      <c r="I416" s="28">
        <f>Table_7[[#This Row],[Length 
(ft)]]</f>
        <v>49</v>
      </c>
      <c r="J416" s="28">
        <f>2020-Table_7[[#This Row],[Year]]</f>
        <v>10</v>
      </c>
      <c r="K416">
        <v>1276962685648.25</v>
      </c>
      <c r="L416">
        <v>26959.675436732599</v>
      </c>
      <c r="M416">
        <v>-0.32275301729970501</v>
      </c>
      <c r="N416">
        <v>-11.3254383222864</v>
      </c>
      <c r="O416">
        <v>44.13</v>
      </c>
      <c r="P416">
        <v>1371.002</v>
      </c>
      <c r="Q416">
        <v>84</v>
      </c>
      <c r="R416">
        <v>14.73</v>
      </c>
    </row>
    <row r="417" spans="1:18" x14ac:dyDescent="0.25">
      <c r="A417" s="1" t="s">
        <v>14</v>
      </c>
      <c r="B417" s="2" t="s">
        <v>42</v>
      </c>
      <c r="C417" s="19">
        <v>49</v>
      </c>
      <c r="D417" s="3" t="s">
        <v>496</v>
      </c>
      <c r="E417" s="3" t="s">
        <v>24</v>
      </c>
      <c r="F417" s="23">
        <v>145764</v>
      </c>
      <c r="G417" s="15">
        <v>2010</v>
      </c>
      <c r="H417" s="15">
        <f>Table_7[[#This Row],[Listing Price (USD)]]/10000</f>
        <v>14.5764</v>
      </c>
      <c r="I417" s="28">
        <f>Table_7[[#This Row],[Length 
(ft)]]</f>
        <v>49</v>
      </c>
      <c r="J417" s="28">
        <f>2020-Table_7[[#This Row],[Year]]</f>
        <v>10</v>
      </c>
      <c r="K417">
        <v>1896755301518.1399</v>
      </c>
      <c r="L417">
        <v>31911.0357890017</v>
      </c>
      <c r="M417">
        <v>-0.13770757391656999</v>
      </c>
      <c r="N417">
        <v>-9.0399534112288507</v>
      </c>
      <c r="O417">
        <v>44.13</v>
      </c>
      <c r="P417">
        <v>1371.002</v>
      </c>
      <c r="Q417">
        <v>84</v>
      </c>
      <c r="R417">
        <v>14.73</v>
      </c>
    </row>
    <row r="418" spans="1:18" x14ac:dyDescent="0.25">
      <c r="A418" s="1" t="s">
        <v>14</v>
      </c>
      <c r="B418" s="2" t="s">
        <v>42</v>
      </c>
      <c r="C418" s="19">
        <v>49</v>
      </c>
      <c r="D418" s="3" t="s">
        <v>496</v>
      </c>
      <c r="E418" s="3" t="s">
        <v>24</v>
      </c>
      <c r="F418" s="23">
        <v>157911</v>
      </c>
      <c r="G418" s="15">
        <v>2009</v>
      </c>
      <c r="H418" s="15">
        <f>Table_7[[#This Row],[Listing Price (USD)]]/10000</f>
        <v>15.7911</v>
      </c>
      <c r="I418" s="28">
        <f>Table_7[[#This Row],[Length 
(ft)]]</f>
        <v>49</v>
      </c>
      <c r="J418" s="28">
        <f>2020-Table_7[[#This Row],[Year]]</f>
        <v>11</v>
      </c>
      <c r="K418">
        <v>1896755301518.1399</v>
      </c>
      <c r="L418">
        <v>31911.0357890017</v>
      </c>
      <c r="M418">
        <v>-0.13770757391656999</v>
      </c>
      <c r="N418">
        <v>-9.0399534112288507</v>
      </c>
      <c r="O418">
        <v>44.13</v>
      </c>
      <c r="P418">
        <v>1371.002</v>
      </c>
      <c r="Q418">
        <v>84</v>
      </c>
      <c r="R418">
        <v>14.73</v>
      </c>
    </row>
    <row r="419" spans="1:18" x14ac:dyDescent="0.25">
      <c r="A419" s="1" t="s">
        <v>14</v>
      </c>
      <c r="B419" s="2" t="s">
        <v>42</v>
      </c>
      <c r="C419" s="19">
        <v>49</v>
      </c>
      <c r="D419" s="3" t="s">
        <v>496</v>
      </c>
      <c r="E419" s="3" t="s">
        <v>31</v>
      </c>
      <c r="F419" s="23">
        <v>163984</v>
      </c>
      <c r="G419" s="15">
        <v>2015</v>
      </c>
      <c r="H419" s="15">
        <f>Table_7[[#This Row],[Listing Price (USD)]]/10000</f>
        <v>16.398399999999999</v>
      </c>
      <c r="I419" s="28">
        <f>Table_7[[#This Row],[Length 
(ft)]]</f>
        <v>49</v>
      </c>
      <c r="J419" s="28">
        <f>2020-Table_7[[#This Row],[Year]]</f>
        <v>5</v>
      </c>
      <c r="K419">
        <v>57472012426.685303</v>
      </c>
      <c r="L419">
        <v>14198.753959474399</v>
      </c>
      <c r="M419">
        <v>0.15481137456202801</v>
      </c>
      <c r="N419">
        <v>-8.5803430210621805</v>
      </c>
      <c r="O419">
        <v>44.13</v>
      </c>
      <c r="P419">
        <v>1371.002</v>
      </c>
      <c r="Q419">
        <v>84</v>
      </c>
      <c r="R419">
        <v>14.73</v>
      </c>
    </row>
    <row r="420" spans="1:18" x14ac:dyDescent="0.25">
      <c r="A420" s="1" t="s">
        <v>14</v>
      </c>
      <c r="B420" s="2" t="s">
        <v>42</v>
      </c>
      <c r="C420" s="19">
        <v>49</v>
      </c>
      <c r="D420" s="3" t="s">
        <v>496</v>
      </c>
      <c r="E420" s="3" t="s">
        <v>18</v>
      </c>
      <c r="F420" s="23">
        <v>166413</v>
      </c>
      <c r="G420" s="15">
        <v>2010</v>
      </c>
      <c r="H420" s="15">
        <f>Table_7[[#This Row],[Listing Price (USD)]]/10000</f>
        <v>16.641300000000001</v>
      </c>
      <c r="I420" s="28">
        <f>Table_7[[#This Row],[Length 
(ft)]]</f>
        <v>49</v>
      </c>
      <c r="J420" s="28">
        <f>2020-Table_7[[#This Row],[Year]]</f>
        <v>10</v>
      </c>
      <c r="K420">
        <v>188925995936.80701</v>
      </c>
      <c r="L420">
        <v>17658.947301119199</v>
      </c>
      <c r="M420">
        <v>-1.2479835558140799</v>
      </c>
      <c r="N420">
        <v>-9.0040436420214593</v>
      </c>
      <c r="O420">
        <v>44.13</v>
      </c>
      <c r="P420">
        <v>1371.002</v>
      </c>
      <c r="Q420">
        <v>84</v>
      </c>
      <c r="R420">
        <v>14.73</v>
      </c>
    </row>
    <row r="421" spans="1:18" x14ac:dyDescent="0.25">
      <c r="A421" s="1" t="s">
        <v>14</v>
      </c>
      <c r="B421" s="2" t="s">
        <v>42</v>
      </c>
      <c r="C421" s="19">
        <v>49</v>
      </c>
      <c r="D421" s="3" t="s">
        <v>496</v>
      </c>
      <c r="E421" s="3" t="s">
        <v>31</v>
      </c>
      <c r="F421" s="23">
        <v>170057</v>
      </c>
      <c r="G421" s="15">
        <v>2010</v>
      </c>
      <c r="H421" s="15">
        <f>Table_7[[#This Row],[Listing Price (USD)]]/10000</f>
        <v>17.005700000000001</v>
      </c>
      <c r="I421" s="28">
        <f>Table_7[[#This Row],[Length 
(ft)]]</f>
        <v>49</v>
      </c>
      <c r="J421" s="28">
        <f>2020-Table_7[[#This Row],[Year]]</f>
        <v>10</v>
      </c>
      <c r="K421">
        <v>57472012426.685303</v>
      </c>
      <c r="L421">
        <v>14198.753959474399</v>
      </c>
      <c r="M421">
        <v>0.15481137456202801</v>
      </c>
      <c r="N421">
        <v>-8.5803430210621805</v>
      </c>
      <c r="O421">
        <v>44.13</v>
      </c>
      <c r="P421">
        <v>1371.002</v>
      </c>
      <c r="Q421">
        <v>84</v>
      </c>
      <c r="R421">
        <v>14.73</v>
      </c>
    </row>
    <row r="422" spans="1:18" x14ac:dyDescent="0.25">
      <c r="A422" s="1" t="s">
        <v>14</v>
      </c>
      <c r="B422" s="2" t="s">
        <v>42</v>
      </c>
      <c r="C422" s="19">
        <v>49</v>
      </c>
      <c r="D422" s="3" t="s">
        <v>496</v>
      </c>
      <c r="E422" s="3" t="s">
        <v>18</v>
      </c>
      <c r="F422" s="23">
        <v>170057</v>
      </c>
      <c r="G422" s="15">
        <v>2015</v>
      </c>
      <c r="H422" s="15">
        <f>Table_7[[#This Row],[Listing Price (USD)]]/10000</f>
        <v>17.005700000000001</v>
      </c>
      <c r="I422" s="28">
        <f>Table_7[[#This Row],[Length 
(ft)]]</f>
        <v>49</v>
      </c>
      <c r="J422" s="28">
        <f>2020-Table_7[[#This Row],[Year]]</f>
        <v>5</v>
      </c>
      <c r="K422">
        <v>188925995936.80701</v>
      </c>
      <c r="L422">
        <v>17658.947301119199</v>
      </c>
      <c r="M422">
        <v>-1.2479835558140799</v>
      </c>
      <c r="N422">
        <v>-9.0040436420214593</v>
      </c>
      <c r="O422">
        <v>44.13</v>
      </c>
      <c r="P422">
        <v>1371.002</v>
      </c>
      <c r="Q422">
        <v>84</v>
      </c>
      <c r="R422">
        <v>14.73</v>
      </c>
    </row>
    <row r="423" spans="1:18" x14ac:dyDescent="0.25">
      <c r="A423" s="1" t="s">
        <v>14</v>
      </c>
      <c r="B423" s="2" t="s">
        <v>42</v>
      </c>
      <c r="C423" s="19">
        <v>49</v>
      </c>
      <c r="D423" s="3" t="s">
        <v>496</v>
      </c>
      <c r="E423" s="3" t="s">
        <v>18</v>
      </c>
      <c r="F423" s="23">
        <v>180747</v>
      </c>
      <c r="G423" s="15">
        <v>2015</v>
      </c>
      <c r="H423" s="15">
        <f>Table_7[[#This Row],[Listing Price (USD)]]/10000</f>
        <v>18.0747</v>
      </c>
      <c r="I423" s="28">
        <f>Table_7[[#This Row],[Length 
(ft)]]</f>
        <v>49</v>
      </c>
      <c r="J423" s="28">
        <f>2020-Table_7[[#This Row],[Year]]</f>
        <v>5</v>
      </c>
      <c r="K423">
        <v>188925995936.80701</v>
      </c>
      <c r="L423">
        <v>17658.947301119199</v>
      </c>
      <c r="M423">
        <v>-1.2479835558140799</v>
      </c>
      <c r="N423">
        <v>-9.0040436420214593</v>
      </c>
      <c r="O423">
        <v>44.13</v>
      </c>
      <c r="P423">
        <v>1371.002</v>
      </c>
      <c r="Q423">
        <v>84</v>
      </c>
      <c r="R423">
        <v>14.73</v>
      </c>
    </row>
    <row r="424" spans="1:18" x14ac:dyDescent="0.25">
      <c r="A424" s="1" t="s">
        <v>14</v>
      </c>
      <c r="B424" s="2" t="s">
        <v>42</v>
      </c>
      <c r="C424" s="19">
        <v>49</v>
      </c>
      <c r="D424" s="3" t="s">
        <v>496</v>
      </c>
      <c r="E424" s="3" t="s">
        <v>24</v>
      </c>
      <c r="F424" s="23">
        <v>182204</v>
      </c>
      <c r="G424" s="15">
        <v>2015</v>
      </c>
      <c r="H424" s="15">
        <f>Table_7[[#This Row],[Listing Price (USD)]]/10000</f>
        <v>18.220400000000001</v>
      </c>
      <c r="I424" s="28">
        <f>Table_7[[#This Row],[Length 
(ft)]]</f>
        <v>49</v>
      </c>
      <c r="J424" s="28">
        <f>2020-Table_7[[#This Row],[Year]]</f>
        <v>5</v>
      </c>
      <c r="K424">
        <v>1896755301518.1399</v>
      </c>
      <c r="L424">
        <v>31911.0357890017</v>
      </c>
      <c r="M424">
        <v>-0.13770757391656999</v>
      </c>
      <c r="N424">
        <v>-9.0399534112288507</v>
      </c>
      <c r="O424">
        <v>44.13</v>
      </c>
      <c r="P424">
        <v>1371.002</v>
      </c>
      <c r="Q424">
        <v>84</v>
      </c>
      <c r="R424">
        <v>14.73</v>
      </c>
    </row>
    <row r="425" spans="1:18" x14ac:dyDescent="0.25">
      <c r="A425" s="1" t="s">
        <v>14</v>
      </c>
      <c r="B425" s="2" t="s">
        <v>42</v>
      </c>
      <c r="C425" s="19">
        <v>49</v>
      </c>
      <c r="D425" s="3" t="s">
        <v>496</v>
      </c>
      <c r="E425" s="3" t="s">
        <v>31</v>
      </c>
      <c r="F425" s="23">
        <v>188278</v>
      </c>
      <c r="G425" s="15">
        <v>2015</v>
      </c>
      <c r="H425" s="15">
        <f>Table_7[[#This Row],[Listing Price (USD)]]/10000</f>
        <v>18.8278</v>
      </c>
      <c r="I425" s="28">
        <f>Table_7[[#This Row],[Length 
(ft)]]</f>
        <v>49</v>
      </c>
      <c r="J425" s="28">
        <f>2020-Table_7[[#This Row],[Year]]</f>
        <v>5</v>
      </c>
      <c r="K425">
        <v>57472012426.685303</v>
      </c>
      <c r="L425">
        <v>14198.753959474399</v>
      </c>
      <c r="M425">
        <v>0.15481137456202801</v>
      </c>
      <c r="N425">
        <v>-8.5803430210621805</v>
      </c>
      <c r="O425">
        <v>44.13</v>
      </c>
      <c r="P425">
        <v>1371.002</v>
      </c>
      <c r="Q425">
        <v>84</v>
      </c>
      <c r="R425">
        <v>14.73</v>
      </c>
    </row>
    <row r="426" spans="1:18" x14ac:dyDescent="0.25">
      <c r="A426" s="1" t="s">
        <v>14</v>
      </c>
      <c r="B426" s="2" t="s">
        <v>42</v>
      </c>
      <c r="C426" s="19">
        <v>49</v>
      </c>
      <c r="D426" s="3" t="s">
        <v>496</v>
      </c>
      <c r="E426" s="3" t="s">
        <v>24</v>
      </c>
      <c r="F426" s="23">
        <v>188278</v>
      </c>
      <c r="G426" s="15">
        <v>2009</v>
      </c>
      <c r="H426" s="15">
        <f>Table_7[[#This Row],[Listing Price (USD)]]/10000</f>
        <v>18.8278</v>
      </c>
      <c r="I426" s="28">
        <f>Table_7[[#This Row],[Length 
(ft)]]</f>
        <v>49</v>
      </c>
      <c r="J426" s="28">
        <f>2020-Table_7[[#This Row],[Year]]</f>
        <v>11</v>
      </c>
      <c r="K426">
        <v>1896755301518.1399</v>
      </c>
      <c r="L426">
        <v>31911.0357890017</v>
      </c>
      <c r="M426">
        <v>-0.13770757391656999</v>
      </c>
      <c r="N426">
        <v>-9.0399534112288507</v>
      </c>
      <c r="O426">
        <v>44.13</v>
      </c>
      <c r="P426">
        <v>1371.002</v>
      </c>
      <c r="Q426">
        <v>84</v>
      </c>
      <c r="R426">
        <v>14.73</v>
      </c>
    </row>
    <row r="427" spans="1:18" x14ac:dyDescent="0.25">
      <c r="A427" s="1" t="s">
        <v>14</v>
      </c>
      <c r="B427" s="2" t="s">
        <v>42</v>
      </c>
      <c r="C427" s="19">
        <v>49</v>
      </c>
      <c r="D427" s="3" t="s">
        <v>496</v>
      </c>
      <c r="E427" s="3" t="s">
        <v>18</v>
      </c>
      <c r="F427" s="23">
        <v>188285</v>
      </c>
      <c r="G427" s="15">
        <v>2015</v>
      </c>
      <c r="H427" s="15">
        <f>Table_7[[#This Row],[Listing Price (USD)]]/10000</f>
        <v>18.828499999999998</v>
      </c>
      <c r="I427" s="28">
        <f>Table_7[[#This Row],[Length 
(ft)]]</f>
        <v>49</v>
      </c>
      <c r="J427" s="28">
        <f>2020-Table_7[[#This Row],[Year]]</f>
        <v>5</v>
      </c>
      <c r="K427">
        <v>188925995936.80701</v>
      </c>
      <c r="L427">
        <v>17658.947301119199</v>
      </c>
      <c r="M427">
        <v>-1.2479835558140799</v>
      </c>
      <c r="N427">
        <v>-9.0040436420214593</v>
      </c>
      <c r="O427">
        <v>44.13</v>
      </c>
      <c r="P427">
        <v>1371.002</v>
      </c>
      <c r="Q427">
        <v>84</v>
      </c>
      <c r="R427">
        <v>14.73</v>
      </c>
    </row>
    <row r="428" spans="1:18" x14ac:dyDescent="0.25">
      <c r="A428" s="1" t="s">
        <v>14</v>
      </c>
      <c r="B428" s="2" t="s">
        <v>42</v>
      </c>
      <c r="C428" s="19">
        <v>49</v>
      </c>
      <c r="D428" s="3" t="s">
        <v>496</v>
      </c>
      <c r="E428" s="3" t="s">
        <v>31</v>
      </c>
      <c r="F428" s="23">
        <v>206498</v>
      </c>
      <c r="G428" s="15">
        <v>2014</v>
      </c>
      <c r="H428" s="15">
        <f>Table_7[[#This Row],[Listing Price (USD)]]/10000</f>
        <v>20.649799999999999</v>
      </c>
      <c r="I428" s="28">
        <f>Table_7[[#This Row],[Length 
(ft)]]</f>
        <v>49</v>
      </c>
      <c r="J428" s="28">
        <f>2020-Table_7[[#This Row],[Year]]</f>
        <v>6</v>
      </c>
      <c r="K428">
        <v>57472012426.685303</v>
      </c>
      <c r="L428">
        <v>14198.753959474399</v>
      </c>
      <c r="M428">
        <v>0.15481137456202801</v>
      </c>
      <c r="N428">
        <v>-8.5803430210621805</v>
      </c>
      <c r="O428">
        <v>44.13</v>
      </c>
      <c r="P428">
        <v>1371.002</v>
      </c>
      <c r="Q428">
        <v>84</v>
      </c>
      <c r="R428">
        <v>14.73</v>
      </c>
    </row>
    <row r="429" spans="1:18" x14ac:dyDescent="0.25">
      <c r="A429" s="1" t="s">
        <v>14</v>
      </c>
      <c r="B429" s="2" t="s">
        <v>42</v>
      </c>
      <c r="C429" s="19">
        <v>49</v>
      </c>
      <c r="D429" s="3" t="s">
        <v>496</v>
      </c>
      <c r="E429" s="3" t="s">
        <v>24</v>
      </c>
      <c r="F429" s="23">
        <v>206498</v>
      </c>
      <c r="G429" s="15">
        <v>2015</v>
      </c>
      <c r="H429" s="15">
        <f>Table_7[[#This Row],[Listing Price (USD)]]/10000</f>
        <v>20.649799999999999</v>
      </c>
      <c r="I429" s="28">
        <f>Table_7[[#This Row],[Length 
(ft)]]</f>
        <v>49</v>
      </c>
      <c r="J429" s="28">
        <f>2020-Table_7[[#This Row],[Year]]</f>
        <v>5</v>
      </c>
      <c r="K429">
        <v>1896755301518.1399</v>
      </c>
      <c r="L429">
        <v>31911.0357890017</v>
      </c>
      <c r="M429">
        <v>-0.13770757391656999</v>
      </c>
      <c r="N429">
        <v>-9.0399534112288507</v>
      </c>
      <c r="O429">
        <v>44.13</v>
      </c>
      <c r="P429">
        <v>1371.002</v>
      </c>
      <c r="Q429">
        <v>84</v>
      </c>
      <c r="R429">
        <v>14.73</v>
      </c>
    </row>
    <row r="430" spans="1:18" x14ac:dyDescent="0.25">
      <c r="A430" s="1" t="s">
        <v>14</v>
      </c>
      <c r="B430" s="2" t="s">
        <v>42</v>
      </c>
      <c r="C430" s="19">
        <v>49</v>
      </c>
      <c r="D430" s="3" t="s">
        <v>496</v>
      </c>
      <c r="E430" s="3" t="s">
        <v>24</v>
      </c>
      <c r="F430" s="23">
        <v>224719</v>
      </c>
      <c r="G430" s="15">
        <v>2016</v>
      </c>
      <c r="H430" s="15">
        <f>Table_7[[#This Row],[Listing Price (USD)]]/10000</f>
        <v>22.471900000000002</v>
      </c>
      <c r="I430" s="28">
        <f>Table_7[[#This Row],[Length 
(ft)]]</f>
        <v>49</v>
      </c>
      <c r="J430" s="28">
        <f>2020-Table_7[[#This Row],[Year]]</f>
        <v>4</v>
      </c>
      <c r="K430">
        <v>1896755301518.1399</v>
      </c>
      <c r="L430">
        <v>31911.0357890017</v>
      </c>
      <c r="M430">
        <v>-0.13770757391656999</v>
      </c>
      <c r="N430">
        <v>-9.0399534112288507</v>
      </c>
      <c r="O430">
        <v>44.13</v>
      </c>
      <c r="P430">
        <v>1371.002</v>
      </c>
      <c r="Q430">
        <v>84</v>
      </c>
      <c r="R430">
        <v>14.73</v>
      </c>
    </row>
    <row r="431" spans="1:18" x14ac:dyDescent="0.25">
      <c r="A431" s="1" t="s">
        <v>14</v>
      </c>
      <c r="B431" s="2" t="s">
        <v>42</v>
      </c>
      <c r="C431" s="19">
        <v>49</v>
      </c>
      <c r="D431" s="3" t="s">
        <v>496</v>
      </c>
      <c r="E431" s="3" t="s">
        <v>24</v>
      </c>
      <c r="F431" s="23">
        <v>230792</v>
      </c>
      <c r="G431" s="15">
        <v>2018</v>
      </c>
      <c r="H431" s="15">
        <f>Table_7[[#This Row],[Listing Price (USD)]]/10000</f>
        <v>23.0792</v>
      </c>
      <c r="I431" s="28">
        <f>Table_7[[#This Row],[Length 
(ft)]]</f>
        <v>49</v>
      </c>
      <c r="J431" s="28">
        <f>2020-Table_7[[#This Row],[Year]]</f>
        <v>2</v>
      </c>
      <c r="K431">
        <v>1896755301518.1399</v>
      </c>
      <c r="L431">
        <v>31911.0357890017</v>
      </c>
      <c r="M431">
        <v>-0.13770757391656999</v>
      </c>
      <c r="N431">
        <v>-9.0399534112288507</v>
      </c>
      <c r="O431">
        <v>44.13</v>
      </c>
      <c r="P431">
        <v>1371.002</v>
      </c>
      <c r="Q431">
        <v>84</v>
      </c>
      <c r="R431">
        <v>14.73</v>
      </c>
    </row>
    <row r="432" spans="1:18" x14ac:dyDescent="0.25">
      <c r="A432" s="1" t="s">
        <v>14</v>
      </c>
      <c r="B432" s="2" t="s">
        <v>42</v>
      </c>
      <c r="C432" s="19">
        <v>49</v>
      </c>
      <c r="D432" s="3" t="s">
        <v>496</v>
      </c>
      <c r="E432" s="3" t="s">
        <v>24</v>
      </c>
      <c r="F432" s="23">
        <v>236866</v>
      </c>
      <c r="G432" s="15">
        <v>2017</v>
      </c>
      <c r="H432" s="15">
        <f>Table_7[[#This Row],[Listing Price (USD)]]/10000</f>
        <v>23.686599999999999</v>
      </c>
      <c r="I432" s="28">
        <f>Table_7[[#This Row],[Length 
(ft)]]</f>
        <v>49</v>
      </c>
      <c r="J432" s="28">
        <f>2020-Table_7[[#This Row],[Year]]</f>
        <v>3</v>
      </c>
      <c r="K432">
        <v>1896755301518.1399</v>
      </c>
      <c r="L432">
        <v>31911.0357890017</v>
      </c>
      <c r="M432">
        <v>-0.13770757391656999</v>
      </c>
      <c r="N432">
        <v>-9.0399534112288507</v>
      </c>
      <c r="O432">
        <v>44.13</v>
      </c>
      <c r="P432">
        <v>1371.002</v>
      </c>
      <c r="Q432">
        <v>84</v>
      </c>
      <c r="R432">
        <v>14.73</v>
      </c>
    </row>
    <row r="433" spans="1:18" x14ac:dyDescent="0.25">
      <c r="A433" s="1" t="s">
        <v>14</v>
      </c>
      <c r="B433" s="2" t="s">
        <v>42</v>
      </c>
      <c r="C433" s="19">
        <v>49</v>
      </c>
      <c r="D433" s="3" t="s">
        <v>496</v>
      </c>
      <c r="E433" s="3" t="s">
        <v>24</v>
      </c>
      <c r="F433" s="23">
        <v>236866</v>
      </c>
      <c r="G433" s="15">
        <v>2015</v>
      </c>
      <c r="H433" s="15">
        <f>Table_7[[#This Row],[Listing Price (USD)]]/10000</f>
        <v>23.686599999999999</v>
      </c>
      <c r="I433" s="28">
        <f>Table_7[[#This Row],[Length 
(ft)]]</f>
        <v>49</v>
      </c>
      <c r="J433" s="28">
        <f>2020-Table_7[[#This Row],[Year]]</f>
        <v>5</v>
      </c>
      <c r="K433">
        <v>1896755301518.1399</v>
      </c>
      <c r="L433">
        <v>31911.0357890017</v>
      </c>
      <c r="M433">
        <v>-0.13770757391656999</v>
      </c>
      <c r="N433">
        <v>-9.0399534112288507</v>
      </c>
      <c r="O433">
        <v>44.13</v>
      </c>
      <c r="P433">
        <v>1371.002</v>
      </c>
      <c r="Q433">
        <v>84</v>
      </c>
      <c r="R433">
        <v>14.73</v>
      </c>
    </row>
    <row r="434" spans="1:18" x14ac:dyDescent="0.25">
      <c r="A434" s="1" t="s">
        <v>14</v>
      </c>
      <c r="B434" s="2" t="s">
        <v>42</v>
      </c>
      <c r="C434" s="19">
        <v>49</v>
      </c>
      <c r="D434" s="3" t="s">
        <v>496</v>
      </c>
      <c r="E434" s="3" t="s">
        <v>31</v>
      </c>
      <c r="F434" s="23">
        <v>242939</v>
      </c>
      <c r="G434" s="15">
        <v>2016</v>
      </c>
      <c r="H434" s="15">
        <f>Table_7[[#This Row],[Listing Price (USD)]]/10000</f>
        <v>24.293900000000001</v>
      </c>
      <c r="I434" s="28">
        <f>Table_7[[#This Row],[Length 
(ft)]]</f>
        <v>49</v>
      </c>
      <c r="J434" s="28">
        <f>2020-Table_7[[#This Row],[Year]]</f>
        <v>4</v>
      </c>
      <c r="K434">
        <v>57472012426.685303</v>
      </c>
      <c r="L434">
        <v>14198.753959474399</v>
      </c>
      <c r="M434">
        <v>0.15481137456202801</v>
      </c>
      <c r="N434">
        <v>-8.5803430210621805</v>
      </c>
      <c r="O434">
        <v>44.13</v>
      </c>
      <c r="P434">
        <v>1371.002</v>
      </c>
      <c r="Q434">
        <v>84</v>
      </c>
      <c r="R434">
        <v>14.73</v>
      </c>
    </row>
    <row r="435" spans="1:18" x14ac:dyDescent="0.25">
      <c r="A435" s="1" t="s">
        <v>14</v>
      </c>
      <c r="B435" s="2" t="s">
        <v>42</v>
      </c>
      <c r="C435" s="19">
        <v>49</v>
      </c>
      <c r="D435" s="3" t="s">
        <v>496</v>
      </c>
      <c r="E435" s="3" t="s">
        <v>31</v>
      </c>
      <c r="F435" s="23">
        <v>255086</v>
      </c>
      <c r="G435" s="15">
        <v>2017</v>
      </c>
      <c r="H435" s="15">
        <f>Table_7[[#This Row],[Listing Price (USD)]]/10000</f>
        <v>25.508600000000001</v>
      </c>
      <c r="I435" s="28">
        <f>Table_7[[#This Row],[Length 
(ft)]]</f>
        <v>49</v>
      </c>
      <c r="J435" s="28">
        <f>2020-Table_7[[#This Row],[Year]]</f>
        <v>3</v>
      </c>
      <c r="K435">
        <v>57472012426.685303</v>
      </c>
      <c r="L435">
        <v>14198.753959474399</v>
      </c>
      <c r="M435">
        <v>0.15481137456202801</v>
      </c>
      <c r="N435">
        <v>-8.5803430210621805</v>
      </c>
      <c r="O435">
        <v>44.13</v>
      </c>
      <c r="P435">
        <v>1371.002</v>
      </c>
      <c r="Q435">
        <v>84</v>
      </c>
      <c r="R435">
        <v>14.73</v>
      </c>
    </row>
    <row r="436" spans="1:18" x14ac:dyDescent="0.25">
      <c r="A436" s="1" t="s">
        <v>14</v>
      </c>
      <c r="B436" s="2" t="s">
        <v>42</v>
      </c>
      <c r="C436" s="19">
        <v>49</v>
      </c>
      <c r="D436" s="3" t="s">
        <v>496</v>
      </c>
      <c r="E436" s="3" t="s">
        <v>18</v>
      </c>
      <c r="F436" s="23">
        <v>255086</v>
      </c>
      <c r="G436" s="15">
        <v>2015</v>
      </c>
      <c r="H436" s="15">
        <f>Table_7[[#This Row],[Listing Price (USD)]]/10000</f>
        <v>25.508600000000001</v>
      </c>
      <c r="I436" s="28">
        <f>Table_7[[#This Row],[Length 
(ft)]]</f>
        <v>49</v>
      </c>
      <c r="J436" s="28">
        <f>2020-Table_7[[#This Row],[Year]]</f>
        <v>5</v>
      </c>
      <c r="K436">
        <v>188925995936.80701</v>
      </c>
      <c r="L436">
        <v>17658.947301119199</v>
      </c>
      <c r="M436">
        <v>-1.2479835558140799</v>
      </c>
      <c r="N436">
        <v>-9.0040436420214593</v>
      </c>
      <c r="O436">
        <v>44.13</v>
      </c>
      <c r="P436">
        <v>1371.002</v>
      </c>
      <c r="Q436">
        <v>84</v>
      </c>
      <c r="R436">
        <v>14.73</v>
      </c>
    </row>
    <row r="437" spans="1:18" x14ac:dyDescent="0.25">
      <c r="A437" s="1" t="s">
        <v>14</v>
      </c>
      <c r="B437" s="2" t="s">
        <v>42</v>
      </c>
      <c r="C437" s="19">
        <v>49</v>
      </c>
      <c r="D437" s="3" t="s">
        <v>496</v>
      </c>
      <c r="E437" s="3" t="s">
        <v>9</v>
      </c>
      <c r="F437" s="23">
        <v>255086</v>
      </c>
      <c r="G437" s="15">
        <v>2016</v>
      </c>
      <c r="H437" s="15">
        <f>Table_7[[#This Row],[Listing Price (USD)]]/10000</f>
        <v>25.508600000000001</v>
      </c>
      <c r="I437" s="28">
        <f>Table_7[[#This Row],[Length 
(ft)]]</f>
        <v>49</v>
      </c>
      <c r="J437" s="28">
        <f>2020-Table_7[[#This Row],[Year]]</f>
        <v>4</v>
      </c>
      <c r="K437">
        <v>1276962685648.25</v>
      </c>
      <c r="L437">
        <v>26959.675436732599</v>
      </c>
      <c r="M437">
        <v>-0.32275301729970501</v>
      </c>
      <c r="N437">
        <v>-11.3254383222864</v>
      </c>
      <c r="O437">
        <v>44.13</v>
      </c>
      <c r="P437">
        <v>1371.002</v>
      </c>
      <c r="Q437">
        <v>84</v>
      </c>
      <c r="R437">
        <v>14.73</v>
      </c>
    </row>
    <row r="438" spans="1:18" x14ac:dyDescent="0.25">
      <c r="A438" s="1" t="s">
        <v>14</v>
      </c>
      <c r="B438" s="2" t="s">
        <v>42</v>
      </c>
      <c r="C438" s="19">
        <v>49</v>
      </c>
      <c r="D438" s="3" t="s">
        <v>496</v>
      </c>
      <c r="E438" s="3" t="s">
        <v>22</v>
      </c>
      <c r="F438" s="23">
        <v>276951</v>
      </c>
      <c r="G438" s="15">
        <v>2015</v>
      </c>
      <c r="H438" s="15">
        <f>Table_7[[#This Row],[Listing Price (USD)]]/10000</f>
        <v>27.6951</v>
      </c>
      <c r="I438" s="28">
        <f>Table_7[[#This Row],[Length 
(ft)]]</f>
        <v>49</v>
      </c>
      <c r="J438" s="28">
        <f>2020-Table_7[[#This Row],[Year]]</f>
        <v>5</v>
      </c>
      <c r="K438">
        <v>3889668895299.6201</v>
      </c>
      <c r="L438">
        <v>46772.825350754501</v>
      </c>
      <c r="M438">
        <v>0.50668988995327402</v>
      </c>
      <c r="N438">
        <v>-3.6967887053804298</v>
      </c>
      <c r="O438">
        <v>44.13</v>
      </c>
      <c r="P438">
        <v>1371.002</v>
      </c>
      <c r="Q438">
        <v>84</v>
      </c>
      <c r="R438">
        <v>14.73</v>
      </c>
    </row>
    <row r="439" spans="1:18" x14ac:dyDescent="0.25">
      <c r="A439" s="1" t="s">
        <v>14</v>
      </c>
      <c r="B439" s="2" t="s">
        <v>42</v>
      </c>
      <c r="C439" s="19">
        <v>49</v>
      </c>
      <c r="D439" s="3" t="s">
        <v>496</v>
      </c>
      <c r="E439" s="3" t="s">
        <v>18</v>
      </c>
      <c r="F439" s="23">
        <v>297601</v>
      </c>
      <c r="G439" s="15">
        <v>2015</v>
      </c>
      <c r="H439" s="15">
        <f>Table_7[[#This Row],[Listing Price (USD)]]/10000</f>
        <v>29.760100000000001</v>
      </c>
      <c r="I439" s="28">
        <f>Table_7[[#This Row],[Length 
(ft)]]</f>
        <v>49</v>
      </c>
      <c r="J439" s="28">
        <f>2020-Table_7[[#This Row],[Year]]</f>
        <v>5</v>
      </c>
      <c r="K439">
        <v>188925995936.80701</v>
      </c>
      <c r="L439">
        <v>17658.947301119199</v>
      </c>
      <c r="M439">
        <v>-1.2479835558140799</v>
      </c>
      <c r="N439">
        <v>-9.0040436420214593</v>
      </c>
      <c r="O439">
        <v>44.13</v>
      </c>
      <c r="P439">
        <v>1371.002</v>
      </c>
      <c r="Q439">
        <v>84</v>
      </c>
      <c r="R439">
        <v>14.73</v>
      </c>
    </row>
    <row r="440" spans="1:18" x14ac:dyDescent="0.25">
      <c r="A440" s="1" t="s">
        <v>14</v>
      </c>
      <c r="B440" s="2" t="s">
        <v>42</v>
      </c>
      <c r="C440" s="19">
        <v>49</v>
      </c>
      <c r="D440" s="3" t="s">
        <v>496</v>
      </c>
      <c r="E440" s="3" t="s">
        <v>22</v>
      </c>
      <c r="F440" s="23">
        <v>298815</v>
      </c>
      <c r="G440" s="15">
        <v>2016</v>
      </c>
      <c r="H440" s="15">
        <f>Table_7[[#This Row],[Listing Price (USD)]]/10000</f>
        <v>29.881499999999999</v>
      </c>
      <c r="I440" s="28">
        <f>Table_7[[#This Row],[Length 
(ft)]]</f>
        <v>49</v>
      </c>
      <c r="J440" s="28">
        <f>2020-Table_7[[#This Row],[Year]]</f>
        <v>4</v>
      </c>
      <c r="K440">
        <v>3889668895299.6201</v>
      </c>
      <c r="L440">
        <v>46772.825350754501</v>
      </c>
      <c r="M440">
        <v>0.50668988995327402</v>
      </c>
      <c r="N440">
        <v>-3.6967887053804298</v>
      </c>
      <c r="O440">
        <v>44.13</v>
      </c>
      <c r="P440">
        <v>1371.002</v>
      </c>
      <c r="Q440">
        <v>84</v>
      </c>
      <c r="R440">
        <v>14.73</v>
      </c>
    </row>
    <row r="441" spans="1:18" x14ac:dyDescent="0.25">
      <c r="A441" s="1" t="s">
        <v>14</v>
      </c>
      <c r="B441" s="2" t="s">
        <v>42</v>
      </c>
      <c r="C441" s="19">
        <v>49</v>
      </c>
      <c r="D441" s="3" t="s">
        <v>496</v>
      </c>
      <c r="E441" s="3" t="s">
        <v>9</v>
      </c>
      <c r="F441" s="23">
        <v>303686</v>
      </c>
      <c r="G441" s="15">
        <v>2014</v>
      </c>
      <c r="H441" s="15">
        <f>Table_7[[#This Row],[Listing Price (USD)]]/10000</f>
        <v>30.368600000000001</v>
      </c>
      <c r="I441" s="28">
        <f>Table_7[[#This Row],[Length 
(ft)]]</f>
        <v>49</v>
      </c>
      <c r="J441" s="28">
        <f>2020-Table_7[[#This Row],[Year]]</f>
        <v>6</v>
      </c>
      <c r="K441">
        <v>1276962685648.25</v>
      </c>
      <c r="L441">
        <v>26959.675436732599</v>
      </c>
      <c r="M441">
        <v>-0.32275301729970501</v>
      </c>
      <c r="N441">
        <v>-11.3254383222864</v>
      </c>
      <c r="O441">
        <v>44.13</v>
      </c>
      <c r="P441">
        <v>1371.002</v>
      </c>
      <c r="Q441">
        <v>84</v>
      </c>
      <c r="R441">
        <v>14.73</v>
      </c>
    </row>
    <row r="442" spans="1:18" x14ac:dyDescent="0.25">
      <c r="A442" s="1" t="s">
        <v>14</v>
      </c>
      <c r="B442" s="2" t="s">
        <v>578</v>
      </c>
      <c r="C442" s="19">
        <v>49</v>
      </c>
      <c r="D442" s="3" t="s">
        <v>496</v>
      </c>
      <c r="E442" s="3" t="s">
        <v>22</v>
      </c>
      <c r="F442" s="23">
        <v>321895</v>
      </c>
      <c r="G442" s="15">
        <v>2019</v>
      </c>
      <c r="H442" s="15">
        <f>Table_7[[#This Row],[Listing Price (USD)]]/10000</f>
        <v>32.189500000000002</v>
      </c>
      <c r="I442" s="28">
        <f>Table_7[[#This Row],[Length 
(ft)]]</f>
        <v>49</v>
      </c>
      <c r="J442" s="28">
        <f>2020-Table_7[[#This Row],[Year]]</f>
        <v>1</v>
      </c>
      <c r="K442">
        <v>3889668895299.6201</v>
      </c>
      <c r="L442">
        <v>46772.825350754501</v>
      </c>
      <c r="M442">
        <v>0.50668988995327402</v>
      </c>
      <c r="N442">
        <v>-3.6967887053804298</v>
      </c>
      <c r="O442">
        <v>44.13</v>
      </c>
      <c r="P442">
        <v>1371.002</v>
      </c>
      <c r="Q442">
        <v>84</v>
      </c>
      <c r="R442">
        <v>14.73</v>
      </c>
    </row>
    <row r="443" spans="1:18" x14ac:dyDescent="0.25">
      <c r="A443" s="1" t="s">
        <v>14</v>
      </c>
      <c r="B443" s="2" t="s">
        <v>42</v>
      </c>
      <c r="C443" s="19">
        <v>49</v>
      </c>
      <c r="D443" s="3" t="s">
        <v>496</v>
      </c>
      <c r="E443" s="3" t="s">
        <v>31</v>
      </c>
      <c r="F443" s="23">
        <v>342393</v>
      </c>
      <c r="G443" s="15">
        <v>2017</v>
      </c>
      <c r="H443" s="15">
        <f>Table_7[[#This Row],[Listing Price (USD)]]/10000</f>
        <v>34.2393</v>
      </c>
      <c r="I443" s="28">
        <f>Table_7[[#This Row],[Length 
(ft)]]</f>
        <v>49</v>
      </c>
      <c r="J443" s="28">
        <f>2020-Table_7[[#This Row],[Year]]</f>
        <v>3</v>
      </c>
      <c r="K443">
        <v>57472012426.685303</v>
      </c>
      <c r="L443">
        <v>14198.753959474399</v>
      </c>
      <c r="M443">
        <v>0.15481137456202801</v>
      </c>
      <c r="N443">
        <v>-8.5803430210621805</v>
      </c>
      <c r="O443">
        <v>44.13</v>
      </c>
      <c r="P443">
        <v>1371.002</v>
      </c>
      <c r="Q443">
        <v>84</v>
      </c>
      <c r="R443">
        <v>14.73</v>
      </c>
    </row>
    <row r="444" spans="1:18" x14ac:dyDescent="0.25">
      <c r="A444" s="1" t="s">
        <v>14</v>
      </c>
      <c r="B444" s="2" t="s">
        <v>42</v>
      </c>
      <c r="C444" s="19">
        <v>49</v>
      </c>
      <c r="D444" s="3" t="s">
        <v>496</v>
      </c>
      <c r="E444" s="3" t="s">
        <v>31</v>
      </c>
      <c r="F444" s="23">
        <v>350744</v>
      </c>
      <c r="G444" s="15">
        <v>2017</v>
      </c>
      <c r="H444" s="15">
        <f>Table_7[[#This Row],[Listing Price (USD)]]/10000</f>
        <v>35.074399999999997</v>
      </c>
      <c r="I444" s="28">
        <f>Table_7[[#This Row],[Length 
(ft)]]</f>
        <v>49</v>
      </c>
      <c r="J444" s="28">
        <f>2020-Table_7[[#This Row],[Year]]</f>
        <v>3</v>
      </c>
      <c r="K444">
        <v>57472012426.685303</v>
      </c>
      <c r="L444">
        <v>14198.753959474399</v>
      </c>
      <c r="M444">
        <v>0.15481137456202801</v>
      </c>
      <c r="N444">
        <v>-8.5803430210621805</v>
      </c>
      <c r="O444">
        <v>44.13</v>
      </c>
      <c r="P444">
        <v>1371.002</v>
      </c>
      <c r="Q444">
        <v>84</v>
      </c>
      <c r="R444">
        <v>14.73</v>
      </c>
    </row>
    <row r="445" spans="1:18" x14ac:dyDescent="0.25">
      <c r="A445" s="1" t="s">
        <v>14</v>
      </c>
      <c r="B445" s="2" t="s">
        <v>43</v>
      </c>
      <c r="C445" s="19">
        <v>49</v>
      </c>
      <c r="D445" s="3" t="s">
        <v>496</v>
      </c>
      <c r="E445" s="3" t="s">
        <v>9</v>
      </c>
      <c r="F445" s="23">
        <v>326418</v>
      </c>
      <c r="G445" s="15">
        <v>2017</v>
      </c>
      <c r="H445" s="15">
        <f>Table_7[[#This Row],[Listing Price (USD)]]/10000</f>
        <v>32.641800000000003</v>
      </c>
      <c r="I445" s="28">
        <f>Table_7[[#This Row],[Length 
(ft)]]</f>
        <v>49</v>
      </c>
      <c r="J445" s="28">
        <f>2020-Table_7[[#This Row],[Year]]</f>
        <v>3</v>
      </c>
      <c r="K445">
        <v>1276962685648.25</v>
      </c>
      <c r="L445">
        <v>26959.675436732599</v>
      </c>
      <c r="M445">
        <v>-0.32275301729970501</v>
      </c>
      <c r="N445">
        <v>-11.3254383222864</v>
      </c>
      <c r="O445">
        <v>44.13</v>
      </c>
      <c r="P445">
        <v>1371.002</v>
      </c>
      <c r="Q445">
        <v>84</v>
      </c>
      <c r="R445">
        <v>14.73</v>
      </c>
    </row>
    <row r="446" spans="1:18" x14ac:dyDescent="0.25">
      <c r="A446" s="1" t="s">
        <v>282</v>
      </c>
      <c r="B446" s="2">
        <v>4400</v>
      </c>
      <c r="C446" s="19">
        <v>45</v>
      </c>
      <c r="D446" s="3" t="s">
        <v>496</v>
      </c>
      <c r="E446" s="3" t="s">
        <v>516</v>
      </c>
      <c r="F446" s="23">
        <v>302459</v>
      </c>
      <c r="G446" s="15">
        <v>2005</v>
      </c>
      <c r="H446" s="15">
        <f>Table_7[[#This Row],[Listing Price (USD)]]/10000</f>
        <v>30.245899999999999</v>
      </c>
      <c r="I446" s="28">
        <f>Table_7[[#This Row],[Length 
(ft)]]</f>
        <v>45</v>
      </c>
      <c r="J446" s="28">
        <f>2020-Table_7[[#This Row],[Year]]</f>
        <v>15</v>
      </c>
      <c r="K446">
        <v>909793466661.48096</v>
      </c>
      <c r="L446">
        <v>52162.570115040602</v>
      </c>
      <c r="M446">
        <v>1.2724603778917001</v>
      </c>
      <c r="N446">
        <v>-3.88608391819609</v>
      </c>
      <c r="O446">
        <v>37.5</v>
      </c>
      <c r="P446">
        <v>943</v>
      </c>
      <c r="Q446">
        <v>80</v>
      </c>
      <c r="R446">
        <v>14.1</v>
      </c>
    </row>
    <row r="447" spans="1:18" x14ac:dyDescent="0.25">
      <c r="A447" s="1" t="s">
        <v>282</v>
      </c>
      <c r="B447" s="3">
        <v>4400</v>
      </c>
      <c r="C447" s="19">
        <v>45</v>
      </c>
      <c r="D447" s="3" t="s">
        <v>495</v>
      </c>
      <c r="E447" s="3" t="s">
        <v>521</v>
      </c>
      <c r="F447" s="23">
        <v>345000</v>
      </c>
      <c r="G447" s="15">
        <v>2005</v>
      </c>
      <c r="H447" s="15">
        <f>Table_7[[#This Row],[Listing Price (USD)]]/10000</f>
        <v>34.5</v>
      </c>
      <c r="I447" s="28">
        <f>Table_7[[#This Row],[Length 
(ft)]]</f>
        <v>45</v>
      </c>
      <c r="J447" s="28">
        <f>2020-Table_7[[#This Row],[Year]]</f>
        <v>15</v>
      </c>
      <c r="K447">
        <v>60556000000</v>
      </c>
      <c r="L447">
        <v>55240.56</v>
      </c>
      <c r="M447">
        <v>3</v>
      </c>
      <c r="N447">
        <v>2.2000000000000002</v>
      </c>
      <c r="O447">
        <v>37.5</v>
      </c>
      <c r="P447">
        <v>943</v>
      </c>
      <c r="Q447">
        <v>80</v>
      </c>
      <c r="R447">
        <v>14.1</v>
      </c>
    </row>
    <row r="448" spans="1:18" x14ac:dyDescent="0.25">
      <c r="A448" s="1" t="s">
        <v>282</v>
      </c>
      <c r="B448" s="3">
        <v>4400</v>
      </c>
      <c r="C448" s="19">
        <v>45</v>
      </c>
      <c r="D448" s="3" t="s">
        <v>495</v>
      </c>
      <c r="E448" s="3" t="s">
        <v>499</v>
      </c>
      <c r="F448" s="23">
        <v>349000</v>
      </c>
      <c r="G448" s="15">
        <v>2009</v>
      </c>
      <c r="H448" s="15">
        <f>Table_7[[#This Row],[Listing Price (USD)]]/10000</f>
        <v>34.9</v>
      </c>
      <c r="I448" s="28">
        <f>Table_7[[#This Row],[Length 
(ft)]]</f>
        <v>45</v>
      </c>
      <c r="J448" s="28">
        <f>2020-Table_7[[#This Row],[Year]]</f>
        <v>11</v>
      </c>
      <c r="K448">
        <v>212540000000</v>
      </c>
      <c r="L448">
        <v>76778.559999999998</v>
      </c>
      <c r="M448">
        <v>1.23</v>
      </c>
      <c r="N448">
        <v>2.2000000000000002</v>
      </c>
      <c r="O448">
        <v>37.5</v>
      </c>
      <c r="P448">
        <v>943</v>
      </c>
      <c r="Q448">
        <v>80</v>
      </c>
      <c r="R448">
        <v>14.1</v>
      </c>
    </row>
    <row r="449" spans="1:18" x14ac:dyDescent="0.25">
      <c r="A449" s="1" t="s">
        <v>128</v>
      </c>
      <c r="B449" s="2" t="s">
        <v>142</v>
      </c>
      <c r="C449" s="19">
        <v>56</v>
      </c>
      <c r="D449" s="3" t="s">
        <v>496</v>
      </c>
      <c r="E449" s="3" t="s">
        <v>24</v>
      </c>
      <c r="F449" s="23">
        <v>421500</v>
      </c>
      <c r="G449" s="15">
        <v>2016</v>
      </c>
      <c r="H449" s="15">
        <f>Table_7[[#This Row],[Listing Price (USD)]]/10000</f>
        <v>42.15</v>
      </c>
      <c r="I449" s="28">
        <f>Table_7[[#This Row],[Length 
(ft)]]</f>
        <v>56</v>
      </c>
      <c r="J449" s="28">
        <f>2020-Table_7[[#This Row],[Year]]</f>
        <v>4</v>
      </c>
      <c r="K449">
        <v>1896755301518.1399</v>
      </c>
      <c r="L449">
        <v>31911.0357890017</v>
      </c>
      <c r="M449">
        <v>-0.13770757391656999</v>
      </c>
      <c r="N449">
        <v>-9.0399534112288507</v>
      </c>
      <c r="O449">
        <v>48</v>
      </c>
      <c r="P449">
        <v>0</v>
      </c>
      <c r="Q449">
        <v>80</v>
      </c>
      <c r="R449">
        <v>14.25</v>
      </c>
    </row>
    <row r="450" spans="1:18" x14ac:dyDescent="0.25">
      <c r="A450" s="1" t="s">
        <v>275</v>
      </c>
      <c r="B450" s="2">
        <v>48</v>
      </c>
      <c r="C450" s="19">
        <v>48</v>
      </c>
      <c r="D450" s="3" t="s">
        <v>496</v>
      </c>
      <c r="E450" s="3" t="s">
        <v>31</v>
      </c>
      <c r="F450" s="23">
        <v>302418</v>
      </c>
      <c r="G450" s="15">
        <v>2009</v>
      </c>
      <c r="H450" s="15">
        <f>Table_7[[#This Row],[Listing Price (USD)]]/10000</f>
        <v>30.241800000000001</v>
      </c>
      <c r="I450" s="28">
        <f>Table_7[[#This Row],[Length 
(ft)]]</f>
        <v>48</v>
      </c>
      <c r="J450" s="28">
        <f>2020-Table_7[[#This Row],[Year]]</f>
        <v>11</v>
      </c>
      <c r="K450">
        <v>57472012426.685303</v>
      </c>
      <c r="L450">
        <v>14198.753959474399</v>
      </c>
      <c r="M450">
        <v>0.15481137456202801</v>
      </c>
      <c r="N450">
        <v>-8.5803430210621805</v>
      </c>
      <c r="O450">
        <v>43.45</v>
      </c>
      <c r="P450">
        <v>1384</v>
      </c>
      <c r="Q450">
        <v>79</v>
      </c>
      <c r="R450">
        <v>14.44</v>
      </c>
    </row>
    <row r="451" spans="1:18" x14ac:dyDescent="0.25">
      <c r="A451" s="1" t="s">
        <v>275</v>
      </c>
      <c r="B451" s="2">
        <v>48</v>
      </c>
      <c r="C451" s="19">
        <v>48</v>
      </c>
      <c r="D451" s="3" t="s">
        <v>496</v>
      </c>
      <c r="E451" s="3" t="s">
        <v>24</v>
      </c>
      <c r="F451" s="23">
        <v>388703</v>
      </c>
      <c r="G451" s="15">
        <v>2010</v>
      </c>
      <c r="H451" s="15">
        <f>Table_7[[#This Row],[Listing Price (USD)]]/10000</f>
        <v>38.8703</v>
      </c>
      <c r="I451" s="28">
        <f>Table_7[[#This Row],[Length 
(ft)]]</f>
        <v>48</v>
      </c>
      <c r="J451" s="28">
        <f>2020-Table_7[[#This Row],[Year]]</f>
        <v>10</v>
      </c>
      <c r="K451">
        <v>1896755301518.1399</v>
      </c>
      <c r="L451">
        <v>31911.0357890017</v>
      </c>
      <c r="M451">
        <v>-0.13770757391656999</v>
      </c>
      <c r="N451">
        <v>-9.0399534112288507</v>
      </c>
      <c r="O451">
        <v>43.45</v>
      </c>
      <c r="P451">
        <v>1384</v>
      </c>
      <c r="Q451">
        <v>79</v>
      </c>
      <c r="R451">
        <v>14.44</v>
      </c>
    </row>
    <row r="452" spans="1:18" x14ac:dyDescent="0.25">
      <c r="A452" s="1" t="s">
        <v>187</v>
      </c>
      <c r="B452" s="3">
        <v>49</v>
      </c>
      <c r="C452" s="19">
        <v>50</v>
      </c>
      <c r="D452" s="3" t="s">
        <v>495</v>
      </c>
      <c r="E452" s="3" t="s">
        <v>545</v>
      </c>
      <c r="F452" s="23">
        <v>219900</v>
      </c>
      <c r="G452" s="15">
        <v>2008</v>
      </c>
      <c r="H452" s="15">
        <f>Table_7[[#This Row],[Listing Price (USD)]]/10000</f>
        <v>21.99</v>
      </c>
      <c r="I452" s="28">
        <f>Table_7[[#This Row],[Length 
(ft)]]</f>
        <v>50</v>
      </c>
      <c r="J452" s="28">
        <f>2020-Table_7[[#This Row],[Year]]</f>
        <v>12</v>
      </c>
      <c r="K452">
        <v>515120000000</v>
      </c>
      <c r="L452">
        <v>51165.75</v>
      </c>
      <c r="M452">
        <v>1.23</v>
      </c>
      <c r="N452">
        <v>2.6</v>
      </c>
      <c r="O452">
        <v>43.45</v>
      </c>
      <c r="P452">
        <v>1384</v>
      </c>
      <c r="Q452">
        <v>79</v>
      </c>
      <c r="R452">
        <v>14.44</v>
      </c>
    </row>
    <row r="453" spans="1:18" x14ac:dyDescent="0.25">
      <c r="A453" s="1" t="s">
        <v>187</v>
      </c>
      <c r="B453" s="3">
        <v>49</v>
      </c>
      <c r="C453" s="19">
        <v>50</v>
      </c>
      <c r="D453" s="3" t="s">
        <v>495</v>
      </c>
      <c r="E453" s="3" t="s">
        <v>333</v>
      </c>
      <c r="F453" s="23">
        <v>225000</v>
      </c>
      <c r="G453" s="15">
        <v>2007</v>
      </c>
      <c r="H453" s="15">
        <f>Table_7[[#This Row],[Listing Price (USD)]]/10000</f>
        <v>22.5</v>
      </c>
      <c r="I453" s="28">
        <f>Table_7[[#This Row],[Length 
(ft)]]</f>
        <v>50</v>
      </c>
      <c r="J453" s="28">
        <f>2020-Table_7[[#This Row],[Year]]</f>
        <v>13</v>
      </c>
      <c r="K453">
        <v>1106036000000</v>
      </c>
      <c r="L453">
        <v>51276.72</v>
      </c>
      <c r="M453">
        <v>1.23</v>
      </c>
      <c r="N453">
        <v>2.9</v>
      </c>
      <c r="O453">
        <v>43.45</v>
      </c>
      <c r="P453">
        <v>1384</v>
      </c>
      <c r="Q453">
        <v>79</v>
      </c>
      <c r="R453">
        <v>14.44</v>
      </c>
    </row>
    <row r="454" spans="1:18" x14ac:dyDescent="0.25">
      <c r="A454" s="1" t="s">
        <v>187</v>
      </c>
      <c r="B454" s="3">
        <v>49</v>
      </c>
      <c r="C454" s="19">
        <v>50</v>
      </c>
      <c r="D454" s="3" t="s">
        <v>495</v>
      </c>
      <c r="E454" s="3" t="s">
        <v>500</v>
      </c>
      <c r="F454" s="23">
        <v>249000</v>
      </c>
      <c r="G454" s="15">
        <v>2007</v>
      </c>
      <c r="H454" s="15">
        <f>Table_7[[#This Row],[Listing Price (USD)]]/10000</f>
        <v>24.9</v>
      </c>
      <c r="I454" s="28">
        <f>Table_7[[#This Row],[Length 
(ft)]]</f>
        <v>50</v>
      </c>
      <c r="J454" s="28">
        <f>2020-Table_7[[#This Row],[Year]]</f>
        <v>13</v>
      </c>
      <c r="K454">
        <v>3007188000000</v>
      </c>
      <c r="L454">
        <v>76131.839999999997</v>
      </c>
      <c r="M454">
        <v>1.23</v>
      </c>
      <c r="N454">
        <v>2.7</v>
      </c>
      <c r="O454">
        <v>43.45</v>
      </c>
      <c r="P454">
        <v>1384</v>
      </c>
      <c r="Q454">
        <v>79</v>
      </c>
      <c r="R454">
        <v>14.44</v>
      </c>
    </row>
    <row r="455" spans="1:18" x14ac:dyDescent="0.25">
      <c r="A455" s="1" t="s">
        <v>187</v>
      </c>
      <c r="B455" s="3">
        <v>49</v>
      </c>
      <c r="C455" s="19">
        <v>50</v>
      </c>
      <c r="D455" s="3" t="s">
        <v>495</v>
      </c>
      <c r="E455" s="3" t="s">
        <v>515</v>
      </c>
      <c r="F455" s="23">
        <v>249000</v>
      </c>
      <c r="G455" s="15">
        <v>2007</v>
      </c>
      <c r="H455" s="15">
        <f>Table_7[[#This Row],[Listing Price (USD)]]/10000</f>
        <v>24.9</v>
      </c>
      <c r="I455" s="28">
        <f>Table_7[[#This Row],[Length 
(ft)]]</f>
        <v>50</v>
      </c>
      <c r="J455" s="28">
        <f>2020-Table_7[[#This Row],[Year]]</f>
        <v>13</v>
      </c>
      <c r="K455">
        <v>410675000000</v>
      </c>
      <c r="L455">
        <v>66531.03</v>
      </c>
      <c r="M455">
        <v>1.23</v>
      </c>
      <c r="N455">
        <v>1.8</v>
      </c>
      <c r="O455">
        <v>43.45</v>
      </c>
      <c r="P455">
        <v>1384</v>
      </c>
      <c r="Q455">
        <v>79</v>
      </c>
      <c r="R455">
        <v>14.44</v>
      </c>
    </row>
    <row r="456" spans="1:18" x14ac:dyDescent="0.25">
      <c r="A456" s="1" t="s">
        <v>187</v>
      </c>
      <c r="B456" s="2">
        <v>49</v>
      </c>
      <c r="C456" s="19">
        <v>50</v>
      </c>
      <c r="D456" s="3" t="s">
        <v>496</v>
      </c>
      <c r="E456" s="3" t="s">
        <v>9</v>
      </c>
      <c r="F456" s="23">
        <v>278128</v>
      </c>
      <c r="G456" s="15">
        <v>2009</v>
      </c>
      <c r="H456" s="15">
        <f>Table_7[[#This Row],[Listing Price (USD)]]/10000</f>
        <v>27.812799999999999</v>
      </c>
      <c r="I456" s="28">
        <f>Table_7[[#This Row],[Length 
(ft)]]</f>
        <v>50</v>
      </c>
      <c r="J456" s="28">
        <f>2020-Table_7[[#This Row],[Year]]</f>
        <v>11</v>
      </c>
      <c r="K456">
        <v>1276962685648.25</v>
      </c>
      <c r="L456">
        <v>26959.675436732599</v>
      </c>
      <c r="M456">
        <v>-0.32275301729970501</v>
      </c>
      <c r="N456">
        <v>-11.3254383222864</v>
      </c>
      <c r="O456">
        <v>43.45</v>
      </c>
      <c r="P456">
        <v>1384</v>
      </c>
      <c r="Q456">
        <v>79</v>
      </c>
      <c r="R456">
        <v>14.44</v>
      </c>
    </row>
    <row r="457" spans="1:18" x14ac:dyDescent="0.25">
      <c r="A457" s="1" t="s">
        <v>177</v>
      </c>
      <c r="B457" s="2">
        <v>495</v>
      </c>
      <c r="C457" s="19">
        <v>50</v>
      </c>
      <c r="D457" s="3" t="s">
        <v>496</v>
      </c>
      <c r="E457" s="3" t="s">
        <v>31</v>
      </c>
      <c r="F457" s="23">
        <v>180965</v>
      </c>
      <c r="G457" s="15">
        <v>2011</v>
      </c>
      <c r="H457" s="15">
        <f>Table_7[[#This Row],[Listing Price (USD)]]/10000</f>
        <v>18.096499999999999</v>
      </c>
      <c r="I457" s="28">
        <f>Table_7[[#This Row],[Length 
(ft)]]</f>
        <v>50</v>
      </c>
      <c r="J457" s="28">
        <f>2020-Table_7[[#This Row],[Year]]</f>
        <v>9</v>
      </c>
      <c r="K457">
        <v>57472012426.685303</v>
      </c>
      <c r="L457">
        <v>14198.753959474399</v>
      </c>
      <c r="M457">
        <v>0.15481137456202801</v>
      </c>
      <c r="N457">
        <v>-8.5803430210621805</v>
      </c>
      <c r="O457">
        <v>44.42</v>
      </c>
      <c r="P457">
        <v>1223</v>
      </c>
      <c r="Q457">
        <v>79</v>
      </c>
      <c r="R457">
        <v>15.58</v>
      </c>
    </row>
    <row r="458" spans="1:18" x14ac:dyDescent="0.25">
      <c r="A458" s="1" t="s">
        <v>184</v>
      </c>
      <c r="B458" s="2">
        <v>495</v>
      </c>
      <c r="C458" s="19">
        <v>50</v>
      </c>
      <c r="D458" s="3" t="s">
        <v>496</v>
      </c>
      <c r="E458" s="3" t="s">
        <v>31</v>
      </c>
      <c r="F458" s="23">
        <v>180990</v>
      </c>
      <c r="G458" s="15">
        <v>2011</v>
      </c>
      <c r="H458" s="15">
        <f>Table_7[[#This Row],[Listing Price (USD)]]/10000</f>
        <v>18.099</v>
      </c>
      <c r="I458" s="28">
        <f>Table_7[[#This Row],[Length 
(ft)]]</f>
        <v>50</v>
      </c>
      <c r="J458" s="28">
        <f>2020-Table_7[[#This Row],[Year]]</f>
        <v>9</v>
      </c>
      <c r="K458">
        <v>57472012426.685303</v>
      </c>
      <c r="L458">
        <v>14198.753959474399</v>
      </c>
      <c r="M458">
        <v>0.15481137456202801</v>
      </c>
      <c r="N458">
        <v>-8.5803430210621805</v>
      </c>
      <c r="O458">
        <v>44.42</v>
      </c>
      <c r="P458">
        <v>1223</v>
      </c>
      <c r="Q458">
        <v>79</v>
      </c>
      <c r="R458">
        <v>15.58</v>
      </c>
    </row>
    <row r="459" spans="1:18" x14ac:dyDescent="0.25">
      <c r="A459" s="1" t="s">
        <v>177</v>
      </c>
      <c r="B459" s="2">
        <v>495</v>
      </c>
      <c r="C459" s="19">
        <v>50</v>
      </c>
      <c r="D459" s="3" t="s">
        <v>496</v>
      </c>
      <c r="E459" s="3" t="s">
        <v>31</v>
      </c>
      <c r="F459" s="23">
        <v>182204</v>
      </c>
      <c r="G459" s="15">
        <v>2011</v>
      </c>
      <c r="H459" s="15">
        <f>Table_7[[#This Row],[Listing Price (USD)]]/10000</f>
        <v>18.220400000000001</v>
      </c>
      <c r="I459" s="28">
        <f>Table_7[[#This Row],[Length 
(ft)]]</f>
        <v>50</v>
      </c>
      <c r="J459" s="28">
        <f>2020-Table_7[[#This Row],[Year]]</f>
        <v>9</v>
      </c>
      <c r="K459">
        <v>57472012426.685303</v>
      </c>
      <c r="L459">
        <v>14198.753959474399</v>
      </c>
      <c r="M459">
        <v>0.15481137456202801</v>
      </c>
      <c r="N459">
        <v>-8.5803430210621805</v>
      </c>
      <c r="O459">
        <v>44.42</v>
      </c>
      <c r="P459">
        <v>1223</v>
      </c>
      <c r="Q459">
        <v>79</v>
      </c>
      <c r="R459">
        <v>15.58</v>
      </c>
    </row>
    <row r="460" spans="1:18" x14ac:dyDescent="0.25">
      <c r="A460" s="1" t="s">
        <v>184</v>
      </c>
      <c r="B460" s="2">
        <v>495</v>
      </c>
      <c r="C460" s="19">
        <v>50</v>
      </c>
      <c r="D460" s="3" t="s">
        <v>496</v>
      </c>
      <c r="E460" s="3" t="s">
        <v>31</v>
      </c>
      <c r="F460" s="23">
        <v>205284</v>
      </c>
      <c r="G460" s="15">
        <v>2012</v>
      </c>
      <c r="H460" s="15">
        <f>Table_7[[#This Row],[Listing Price (USD)]]/10000</f>
        <v>20.528400000000001</v>
      </c>
      <c r="I460" s="28">
        <f>Table_7[[#This Row],[Length 
(ft)]]</f>
        <v>50</v>
      </c>
      <c r="J460" s="28">
        <f>2020-Table_7[[#This Row],[Year]]</f>
        <v>8</v>
      </c>
      <c r="K460">
        <v>57472012426.685303</v>
      </c>
      <c r="L460">
        <v>14198.753959474399</v>
      </c>
      <c r="M460">
        <v>0.15481137456202801</v>
      </c>
      <c r="N460">
        <v>-8.5803430210621805</v>
      </c>
      <c r="O460">
        <v>44.42</v>
      </c>
      <c r="P460">
        <v>1223</v>
      </c>
      <c r="Q460">
        <v>79</v>
      </c>
      <c r="R460">
        <v>15.58</v>
      </c>
    </row>
    <row r="461" spans="1:18" x14ac:dyDescent="0.25">
      <c r="A461" s="1" t="s">
        <v>177</v>
      </c>
      <c r="B461" s="2">
        <v>495</v>
      </c>
      <c r="C461" s="19">
        <v>50</v>
      </c>
      <c r="D461" s="3" t="s">
        <v>496</v>
      </c>
      <c r="E461" s="3" t="s">
        <v>18</v>
      </c>
      <c r="F461" s="23">
        <v>314606</v>
      </c>
      <c r="G461" s="15">
        <v>2013</v>
      </c>
      <c r="H461" s="15">
        <f>Table_7[[#This Row],[Listing Price (USD)]]/10000</f>
        <v>31.460599999999999</v>
      </c>
      <c r="I461" s="28">
        <f>Table_7[[#This Row],[Length 
(ft)]]</f>
        <v>50</v>
      </c>
      <c r="J461" s="28">
        <f>2020-Table_7[[#This Row],[Year]]</f>
        <v>7</v>
      </c>
      <c r="K461">
        <v>188925995936.80701</v>
      </c>
      <c r="L461">
        <v>17658.947301119199</v>
      </c>
      <c r="M461">
        <v>-1.2479835558140799</v>
      </c>
      <c r="N461">
        <v>-9.0040436420214593</v>
      </c>
      <c r="O461">
        <v>44.42</v>
      </c>
      <c r="P461">
        <v>1223</v>
      </c>
      <c r="Q461">
        <v>79</v>
      </c>
      <c r="R461">
        <v>15.58</v>
      </c>
    </row>
    <row r="462" spans="1:18" x14ac:dyDescent="0.25">
      <c r="A462" s="1" t="s">
        <v>177</v>
      </c>
      <c r="B462" s="2">
        <v>495</v>
      </c>
      <c r="C462" s="19">
        <v>50</v>
      </c>
      <c r="D462" s="3" t="s">
        <v>496</v>
      </c>
      <c r="E462" s="3" t="s">
        <v>9</v>
      </c>
      <c r="F462" s="23">
        <v>358335</v>
      </c>
      <c r="G462" s="15">
        <v>2011</v>
      </c>
      <c r="H462" s="15">
        <f>Table_7[[#This Row],[Listing Price (USD)]]/10000</f>
        <v>35.833500000000001</v>
      </c>
      <c r="I462" s="28">
        <f>Table_7[[#This Row],[Length 
(ft)]]</f>
        <v>50</v>
      </c>
      <c r="J462" s="28">
        <f>2020-Table_7[[#This Row],[Year]]</f>
        <v>9</v>
      </c>
      <c r="K462">
        <v>1276962685648.25</v>
      </c>
      <c r="L462">
        <v>26959.675436732599</v>
      </c>
      <c r="M462">
        <v>-0.32275301729970501</v>
      </c>
      <c r="N462">
        <v>-11.3254383222864</v>
      </c>
      <c r="O462">
        <v>44.42</v>
      </c>
      <c r="P462">
        <v>1223</v>
      </c>
      <c r="Q462">
        <v>79</v>
      </c>
      <c r="R462">
        <v>15.58</v>
      </c>
    </row>
    <row r="463" spans="1:18" x14ac:dyDescent="0.25">
      <c r="A463" s="1" t="s">
        <v>128</v>
      </c>
      <c r="B463" s="2">
        <v>500</v>
      </c>
      <c r="C463" s="19">
        <v>49</v>
      </c>
      <c r="D463" s="3" t="s">
        <v>496</v>
      </c>
      <c r="E463" s="3" t="s">
        <v>9</v>
      </c>
      <c r="F463" s="23">
        <v>206385</v>
      </c>
      <c r="G463" s="15">
        <v>2015</v>
      </c>
      <c r="H463" s="15">
        <f>Table_7[[#This Row],[Listing Price (USD)]]/10000</f>
        <v>20.638500000000001</v>
      </c>
      <c r="I463" s="28">
        <f>Table_7[[#This Row],[Length 
(ft)]]</f>
        <v>49</v>
      </c>
      <c r="J463" s="28">
        <f>2020-Table_7[[#This Row],[Year]]</f>
        <v>5</v>
      </c>
      <c r="K463">
        <v>1276962685648.25</v>
      </c>
      <c r="L463">
        <v>26959.675436732599</v>
      </c>
      <c r="M463">
        <v>-0.32275301729970501</v>
      </c>
      <c r="N463">
        <v>-11.3254383222864</v>
      </c>
      <c r="O463">
        <v>44.42</v>
      </c>
      <c r="P463">
        <v>1223</v>
      </c>
      <c r="Q463">
        <v>79</v>
      </c>
      <c r="R463">
        <v>15.58</v>
      </c>
    </row>
    <row r="464" spans="1:18" x14ac:dyDescent="0.25">
      <c r="A464" s="1" t="s">
        <v>278</v>
      </c>
      <c r="B464" s="2" t="s">
        <v>279</v>
      </c>
      <c r="C464" s="19">
        <v>42</v>
      </c>
      <c r="D464" s="3" t="s">
        <v>496</v>
      </c>
      <c r="E464" s="3" t="s">
        <v>19</v>
      </c>
      <c r="F464" s="23">
        <v>300510</v>
      </c>
      <c r="G464" s="15">
        <v>2009</v>
      </c>
      <c r="H464" s="15">
        <f>Table_7[[#This Row],[Listing Price (USD)]]/10000</f>
        <v>30.050999999999998</v>
      </c>
      <c r="I464" s="28">
        <f>Table_7[[#This Row],[Length 
(ft)]]</f>
        <v>42</v>
      </c>
      <c r="J464" s="28">
        <f>2020-Table_7[[#This Row],[Year]]</f>
        <v>11</v>
      </c>
      <c r="K464">
        <v>4200000000</v>
      </c>
      <c r="L464">
        <v>39553.199999999997</v>
      </c>
      <c r="M464">
        <v>4.0999999999999996</v>
      </c>
      <c r="N464">
        <v>-2.1</v>
      </c>
      <c r="O464">
        <v>36.450000000000003</v>
      </c>
      <c r="P464">
        <v>792.44200000000001</v>
      </c>
      <c r="Q464">
        <v>79</v>
      </c>
      <c r="R464">
        <v>13.22</v>
      </c>
    </row>
    <row r="465" spans="1:18" x14ac:dyDescent="0.25">
      <c r="A465" s="1" t="s">
        <v>164</v>
      </c>
      <c r="B465" s="2" t="s">
        <v>172</v>
      </c>
      <c r="C465" s="19">
        <v>47</v>
      </c>
      <c r="D465" s="3" t="s">
        <v>496</v>
      </c>
      <c r="E465" s="3" t="s">
        <v>24</v>
      </c>
      <c r="F465" s="23">
        <v>508978</v>
      </c>
      <c r="G465" s="15">
        <v>2015</v>
      </c>
      <c r="H465" s="15">
        <f>Table_7[[#This Row],[Listing Price (USD)]]/10000</f>
        <v>50.897799999999997</v>
      </c>
      <c r="I465" s="28">
        <f>Table_7[[#This Row],[Length 
(ft)]]</f>
        <v>47</v>
      </c>
      <c r="J465" s="28">
        <f>2020-Table_7[[#This Row],[Year]]</f>
        <v>5</v>
      </c>
      <c r="K465">
        <v>1896755301518.1399</v>
      </c>
      <c r="L465">
        <v>31911.0357890017</v>
      </c>
      <c r="M465">
        <v>-0.13770757391656999</v>
      </c>
      <c r="N465">
        <v>-9.0399534112288507</v>
      </c>
      <c r="O465">
        <v>41.73</v>
      </c>
      <c r="P465">
        <v>1205.5619999999999</v>
      </c>
      <c r="Q465">
        <v>79</v>
      </c>
      <c r="R465">
        <v>14.47</v>
      </c>
    </row>
    <row r="466" spans="1:18" x14ac:dyDescent="0.25">
      <c r="A466" s="1" t="s">
        <v>164</v>
      </c>
      <c r="B466" s="2" t="s">
        <v>172</v>
      </c>
      <c r="C466" s="19">
        <v>47</v>
      </c>
      <c r="D466" s="3" t="s">
        <v>496</v>
      </c>
      <c r="E466" s="3" t="s">
        <v>9</v>
      </c>
      <c r="F466" s="23">
        <v>522319</v>
      </c>
      <c r="G466" s="15">
        <v>2015</v>
      </c>
      <c r="H466" s="15">
        <f>Table_7[[#This Row],[Listing Price (USD)]]/10000</f>
        <v>52.231900000000003</v>
      </c>
      <c r="I466" s="28">
        <f>Table_7[[#This Row],[Length 
(ft)]]</f>
        <v>47</v>
      </c>
      <c r="J466" s="28">
        <f>2020-Table_7[[#This Row],[Year]]</f>
        <v>5</v>
      </c>
      <c r="K466">
        <v>1276962685648.25</v>
      </c>
      <c r="L466">
        <v>26959.675436732599</v>
      </c>
      <c r="M466">
        <v>-0.32275301729970501</v>
      </c>
      <c r="N466">
        <v>-11.3254383222864</v>
      </c>
      <c r="O466">
        <v>41.73</v>
      </c>
      <c r="P466">
        <v>1205.5619999999999</v>
      </c>
      <c r="Q466">
        <v>79</v>
      </c>
      <c r="R466">
        <v>14.47</v>
      </c>
    </row>
    <row r="467" spans="1:18" x14ac:dyDescent="0.25">
      <c r="A467" s="1" t="s">
        <v>164</v>
      </c>
      <c r="B467" s="2" t="s">
        <v>172</v>
      </c>
      <c r="C467" s="19">
        <v>47</v>
      </c>
      <c r="D467" s="3" t="s">
        <v>496</v>
      </c>
      <c r="E467" s="3" t="s">
        <v>24</v>
      </c>
      <c r="F467" s="23">
        <v>522452</v>
      </c>
      <c r="G467" s="15">
        <v>2016</v>
      </c>
      <c r="H467" s="15">
        <f>Table_7[[#This Row],[Listing Price (USD)]]/10000</f>
        <v>52.245199999999997</v>
      </c>
      <c r="I467" s="28">
        <f>Table_7[[#This Row],[Length 
(ft)]]</f>
        <v>47</v>
      </c>
      <c r="J467" s="28">
        <f>2020-Table_7[[#This Row],[Year]]</f>
        <v>4</v>
      </c>
      <c r="K467">
        <v>1896755301518.1399</v>
      </c>
      <c r="L467">
        <v>31911.0357890017</v>
      </c>
      <c r="M467">
        <v>-0.13770757391656999</v>
      </c>
      <c r="N467">
        <v>-9.0399534112288507</v>
      </c>
      <c r="O467">
        <v>41.73</v>
      </c>
      <c r="P467">
        <v>1205.5619999999999</v>
      </c>
      <c r="Q467">
        <v>79</v>
      </c>
      <c r="R467">
        <v>14.47</v>
      </c>
    </row>
    <row r="468" spans="1:18" x14ac:dyDescent="0.25">
      <c r="A468" s="1" t="s">
        <v>14</v>
      </c>
      <c r="B468" s="2" t="s">
        <v>39</v>
      </c>
      <c r="C468" s="19">
        <v>49</v>
      </c>
      <c r="D468" s="3" t="s">
        <v>496</v>
      </c>
      <c r="E468" s="3" t="s">
        <v>31</v>
      </c>
      <c r="F468" s="23">
        <v>94746</v>
      </c>
      <c r="G468" s="15">
        <v>2007</v>
      </c>
      <c r="H468" s="15">
        <f>Table_7[[#This Row],[Listing Price (USD)]]/10000</f>
        <v>9.4746000000000006</v>
      </c>
      <c r="I468" s="28">
        <f>Table_7[[#This Row],[Length 
(ft)]]</f>
        <v>49</v>
      </c>
      <c r="J468" s="28">
        <f>2020-Table_7[[#This Row],[Year]]</f>
        <v>13</v>
      </c>
      <c r="K468">
        <v>57472012426.685303</v>
      </c>
      <c r="L468">
        <v>14198.753959474399</v>
      </c>
      <c r="M468">
        <v>0.15481137456202801</v>
      </c>
      <c r="N468">
        <v>-8.5803430210621805</v>
      </c>
      <c r="O468">
        <v>45.47</v>
      </c>
      <c r="P468">
        <v>1255.002</v>
      </c>
      <c r="Q468">
        <v>79</v>
      </c>
      <c r="R468">
        <v>15.32</v>
      </c>
    </row>
    <row r="469" spans="1:18" x14ac:dyDescent="0.25">
      <c r="A469" s="1" t="s">
        <v>14</v>
      </c>
      <c r="B469" s="2" t="s">
        <v>39</v>
      </c>
      <c r="C469" s="19">
        <v>49</v>
      </c>
      <c r="D469" s="3" t="s">
        <v>496</v>
      </c>
      <c r="E469" s="3" t="s">
        <v>18</v>
      </c>
      <c r="F469" s="23">
        <v>97176</v>
      </c>
      <c r="G469" s="15">
        <v>2006</v>
      </c>
      <c r="H469" s="15">
        <f>Table_7[[#This Row],[Listing Price (USD)]]/10000</f>
        <v>9.7175999999999991</v>
      </c>
      <c r="I469" s="28">
        <f>Table_7[[#This Row],[Length 
(ft)]]</f>
        <v>49</v>
      </c>
      <c r="J469" s="28">
        <f>2020-Table_7[[#This Row],[Year]]</f>
        <v>14</v>
      </c>
      <c r="K469">
        <v>188925995936.80701</v>
      </c>
      <c r="L469">
        <v>17658.947301119199</v>
      </c>
      <c r="M469">
        <v>-1.2479835558140799</v>
      </c>
      <c r="N469">
        <v>-9.0040436420214593</v>
      </c>
      <c r="O469">
        <v>45.47</v>
      </c>
      <c r="P469">
        <v>1255.002</v>
      </c>
      <c r="Q469">
        <v>79</v>
      </c>
      <c r="R469">
        <v>15.32</v>
      </c>
    </row>
    <row r="470" spans="1:18" x14ac:dyDescent="0.25">
      <c r="A470" s="1" t="s">
        <v>14</v>
      </c>
      <c r="B470" s="2" t="s">
        <v>39</v>
      </c>
      <c r="C470" s="19">
        <v>49</v>
      </c>
      <c r="D470" s="3" t="s">
        <v>496</v>
      </c>
      <c r="E470" s="3" t="s">
        <v>31</v>
      </c>
      <c r="F470" s="23">
        <v>103249</v>
      </c>
      <c r="G470" s="15">
        <v>2008</v>
      </c>
      <c r="H470" s="15">
        <f>Table_7[[#This Row],[Listing Price (USD)]]/10000</f>
        <v>10.3249</v>
      </c>
      <c r="I470" s="28">
        <f>Table_7[[#This Row],[Length 
(ft)]]</f>
        <v>49</v>
      </c>
      <c r="J470" s="28">
        <f>2020-Table_7[[#This Row],[Year]]</f>
        <v>12</v>
      </c>
      <c r="K470">
        <v>57472012426.685303</v>
      </c>
      <c r="L470">
        <v>14198.753959474399</v>
      </c>
      <c r="M470">
        <v>0.15481137456202801</v>
      </c>
      <c r="N470">
        <v>-8.5803430210621805</v>
      </c>
      <c r="O470">
        <v>45.47</v>
      </c>
      <c r="P470">
        <v>1255.002</v>
      </c>
      <c r="Q470">
        <v>79</v>
      </c>
      <c r="R470">
        <v>15.32</v>
      </c>
    </row>
    <row r="471" spans="1:18" x14ac:dyDescent="0.25">
      <c r="A471" s="1" t="s">
        <v>14</v>
      </c>
      <c r="B471" s="2" t="s">
        <v>39</v>
      </c>
      <c r="C471" s="19">
        <v>49</v>
      </c>
      <c r="D471" s="3" t="s">
        <v>496</v>
      </c>
      <c r="E471" s="3" t="s">
        <v>31</v>
      </c>
      <c r="F471" s="23">
        <v>103249</v>
      </c>
      <c r="G471" s="15">
        <v>2005</v>
      </c>
      <c r="H471" s="15">
        <f>Table_7[[#This Row],[Listing Price (USD)]]/10000</f>
        <v>10.3249</v>
      </c>
      <c r="I471" s="28">
        <f>Table_7[[#This Row],[Length 
(ft)]]</f>
        <v>49</v>
      </c>
      <c r="J471" s="28">
        <f>2020-Table_7[[#This Row],[Year]]</f>
        <v>15</v>
      </c>
      <c r="K471">
        <v>57472012426.685303</v>
      </c>
      <c r="L471">
        <v>14198.753959474399</v>
      </c>
      <c r="M471">
        <v>0.15481137456202801</v>
      </c>
      <c r="N471">
        <v>-8.5803430210621805</v>
      </c>
      <c r="O471">
        <v>45.47</v>
      </c>
      <c r="P471">
        <v>1255.002</v>
      </c>
      <c r="Q471">
        <v>79</v>
      </c>
      <c r="R471">
        <v>15.32</v>
      </c>
    </row>
    <row r="472" spans="1:18" x14ac:dyDescent="0.25">
      <c r="A472" s="1" t="s">
        <v>14</v>
      </c>
      <c r="B472" s="2" t="s">
        <v>39</v>
      </c>
      <c r="C472" s="19">
        <v>49</v>
      </c>
      <c r="D472" s="3" t="s">
        <v>496</v>
      </c>
      <c r="E472" s="3" t="s">
        <v>31</v>
      </c>
      <c r="F472" s="23">
        <v>107486</v>
      </c>
      <c r="G472" s="15">
        <v>2007</v>
      </c>
      <c r="H472" s="15">
        <f>Table_7[[#This Row],[Listing Price (USD)]]/10000</f>
        <v>10.7486</v>
      </c>
      <c r="I472" s="28">
        <f>Table_7[[#This Row],[Length 
(ft)]]</f>
        <v>49</v>
      </c>
      <c r="J472" s="28">
        <f>2020-Table_7[[#This Row],[Year]]</f>
        <v>13</v>
      </c>
      <c r="K472">
        <v>57472012426.685303</v>
      </c>
      <c r="L472">
        <v>14198.753959474399</v>
      </c>
      <c r="M472">
        <v>0.15481137456202801</v>
      </c>
      <c r="N472">
        <v>-8.5803430210621805</v>
      </c>
      <c r="O472">
        <v>45.47</v>
      </c>
      <c r="P472">
        <v>1255.002</v>
      </c>
      <c r="Q472">
        <v>79</v>
      </c>
      <c r="R472">
        <v>15.32</v>
      </c>
    </row>
    <row r="473" spans="1:18" x14ac:dyDescent="0.25">
      <c r="A473" s="1" t="s">
        <v>14</v>
      </c>
      <c r="B473" s="2" t="s">
        <v>39</v>
      </c>
      <c r="C473" s="19">
        <v>49</v>
      </c>
      <c r="D473" s="3" t="s">
        <v>496</v>
      </c>
      <c r="E473" s="3" t="s">
        <v>31</v>
      </c>
      <c r="F473" s="23">
        <v>108108</v>
      </c>
      <c r="G473" s="15">
        <v>2007</v>
      </c>
      <c r="H473" s="15">
        <f>Table_7[[#This Row],[Listing Price (USD)]]/10000</f>
        <v>10.8108</v>
      </c>
      <c r="I473" s="28">
        <f>Table_7[[#This Row],[Length 
(ft)]]</f>
        <v>49</v>
      </c>
      <c r="J473" s="28">
        <f>2020-Table_7[[#This Row],[Year]]</f>
        <v>13</v>
      </c>
      <c r="K473">
        <v>57472012426.685303</v>
      </c>
      <c r="L473">
        <v>14198.753959474399</v>
      </c>
      <c r="M473">
        <v>0.15481137456202801</v>
      </c>
      <c r="N473">
        <v>-8.5803430210621805</v>
      </c>
      <c r="O473">
        <v>45.47</v>
      </c>
      <c r="P473">
        <v>1255.002</v>
      </c>
      <c r="Q473">
        <v>79</v>
      </c>
      <c r="R473">
        <v>15.32</v>
      </c>
    </row>
    <row r="474" spans="1:18" x14ac:dyDescent="0.25">
      <c r="A474" s="1" t="s">
        <v>14</v>
      </c>
      <c r="B474" s="2" t="s">
        <v>39</v>
      </c>
      <c r="C474" s="19">
        <v>49</v>
      </c>
      <c r="D474" s="3" t="s">
        <v>496</v>
      </c>
      <c r="E474" s="3" t="s">
        <v>18</v>
      </c>
      <c r="F474" s="23">
        <v>109323</v>
      </c>
      <c r="G474" s="15">
        <v>2005</v>
      </c>
      <c r="H474" s="15">
        <f>Table_7[[#This Row],[Listing Price (USD)]]/10000</f>
        <v>10.9323</v>
      </c>
      <c r="I474" s="28">
        <f>Table_7[[#This Row],[Length 
(ft)]]</f>
        <v>49</v>
      </c>
      <c r="J474" s="28">
        <f>2020-Table_7[[#This Row],[Year]]</f>
        <v>15</v>
      </c>
      <c r="K474">
        <v>188925995936.80701</v>
      </c>
      <c r="L474">
        <v>17658.947301119199</v>
      </c>
      <c r="M474">
        <v>-1.2479835558140799</v>
      </c>
      <c r="N474">
        <v>-9.0040436420214593</v>
      </c>
      <c r="O474">
        <v>45.47</v>
      </c>
      <c r="P474">
        <v>1255.002</v>
      </c>
      <c r="Q474">
        <v>79</v>
      </c>
      <c r="R474">
        <v>15.32</v>
      </c>
    </row>
    <row r="475" spans="1:18" x14ac:dyDescent="0.25">
      <c r="A475" s="1" t="s">
        <v>14</v>
      </c>
      <c r="B475" s="2" t="s">
        <v>39</v>
      </c>
      <c r="C475" s="19">
        <v>49</v>
      </c>
      <c r="D475" s="3" t="s">
        <v>496</v>
      </c>
      <c r="E475" s="3" t="s">
        <v>24</v>
      </c>
      <c r="F475" s="23">
        <v>115396</v>
      </c>
      <c r="G475" s="15">
        <v>2006</v>
      </c>
      <c r="H475" s="15">
        <f>Table_7[[#This Row],[Listing Price (USD)]]/10000</f>
        <v>11.5396</v>
      </c>
      <c r="I475" s="28">
        <f>Table_7[[#This Row],[Length 
(ft)]]</f>
        <v>49</v>
      </c>
      <c r="J475" s="28">
        <f>2020-Table_7[[#This Row],[Year]]</f>
        <v>14</v>
      </c>
      <c r="K475">
        <v>1896755301518.1399</v>
      </c>
      <c r="L475">
        <v>31911.0357890017</v>
      </c>
      <c r="M475">
        <v>-0.13770757391656999</v>
      </c>
      <c r="N475">
        <v>-9.0399534112288507</v>
      </c>
      <c r="O475">
        <v>45.47</v>
      </c>
      <c r="P475">
        <v>1255.002</v>
      </c>
      <c r="Q475">
        <v>79</v>
      </c>
      <c r="R475">
        <v>15.32</v>
      </c>
    </row>
    <row r="476" spans="1:18" x14ac:dyDescent="0.25">
      <c r="A476" s="1" t="s">
        <v>14</v>
      </c>
      <c r="B476" s="2" t="s">
        <v>39</v>
      </c>
      <c r="C476" s="19">
        <v>49</v>
      </c>
      <c r="D476" s="3" t="s">
        <v>496</v>
      </c>
      <c r="E476" s="3" t="s">
        <v>18</v>
      </c>
      <c r="F476" s="23">
        <v>117826</v>
      </c>
      <c r="G476" s="15">
        <v>2006</v>
      </c>
      <c r="H476" s="15">
        <f>Table_7[[#This Row],[Listing Price (USD)]]/10000</f>
        <v>11.7826</v>
      </c>
      <c r="I476" s="28">
        <f>Table_7[[#This Row],[Length 
(ft)]]</f>
        <v>49</v>
      </c>
      <c r="J476" s="28">
        <f>2020-Table_7[[#This Row],[Year]]</f>
        <v>14</v>
      </c>
      <c r="K476">
        <v>188925995936.80701</v>
      </c>
      <c r="L476">
        <v>17658.947301119199</v>
      </c>
      <c r="M476">
        <v>-1.2479835558140799</v>
      </c>
      <c r="N476">
        <v>-9.0040436420214593</v>
      </c>
      <c r="O476">
        <v>45.47</v>
      </c>
      <c r="P476">
        <v>1255.002</v>
      </c>
      <c r="Q476">
        <v>79</v>
      </c>
      <c r="R476">
        <v>15.32</v>
      </c>
    </row>
    <row r="477" spans="1:18" x14ac:dyDescent="0.25">
      <c r="A477" s="1" t="s">
        <v>14</v>
      </c>
      <c r="B477" s="2" t="s">
        <v>39</v>
      </c>
      <c r="C477" s="19">
        <v>49</v>
      </c>
      <c r="D477" s="3" t="s">
        <v>496</v>
      </c>
      <c r="E477" s="3" t="s">
        <v>18</v>
      </c>
      <c r="F477" s="23">
        <v>121470</v>
      </c>
      <c r="G477" s="15">
        <v>2006</v>
      </c>
      <c r="H477" s="15">
        <f>Table_7[[#This Row],[Listing Price (USD)]]/10000</f>
        <v>12.147</v>
      </c>
      <c r="I477" s="28">
        <f>Table_7[[#This Row],[Length 
(ft)]]</f>
        <v>49</v>
      </c>
      <c r="J477" s="28">
        <f>2020-Table_7[[#This Row],[Year]]</f>
        <v>14</v>
      </c>
      <c r="K477">
        <v>188925995936.80701</v>
      </c>
      <c r="L477">
        <v>17658.947301119199</v>
      </c>
      <c r="M477">
        <v>-1.2479835558140799</v>
      </c>
      <c r="N477">
        <v>-9.0040436420214593</v>
      </c>
      <c r="O477">
        <v>45.47</v>
      </c>
      <c r="P477">
        <v>1255.002</v>
      </c>
      <c r="Q477">
        <v>79</v>
      </c>
      <c r="R477">
        <v>15.32</v>
      </c>
    </row>
    <row r="478" spans="1:18" x14ac:dyDescent="0.25">
      <c r="A478" s="1" t="s">
        <v>14</v>
      </c>
      <c r="B478" s="2" t="s">
        <v>39</v>
      </c>
      <c r="C478" s="19">
        <v>49</v>
      </c>
      <c r="D478" s="3" t="s">
        <v>496</v>
      </c>
      <c r="E478" s="3" t="s">
        <v>24</v>
      </c>
      <c r="F478" s="23">
        <v>121470</v>
      </c>
      <c r="G478" s="15">
        <v>2007</v>
      </c>
      <c r="H478" s="15">
        <f>Table_7[[#This Row],[Listing Price (USD)]]/10000</f>
        <v>12.147</v>
      </c>
      <c r="I478" s="28">
        <f>Table_7[[#This Row],[Length 
(ft)]]</f>
        <v>49</v>
      </c>
      <c r="J478" s="28">
        <f>2020-Table_7[[#This Row],[Year]]</f>
        <v>13</v>
      </c>
      <c r="K478">
        <v>1896755301518.1399</v>
      </c>
      <c r="L478">
        <v>31911.0357890017</v>
      </c>
      <c r="M478">
        <v>-0.13770757391656999</v>
      </c>
      <c r="N478">
        <v>-9.0399534112288507</v>
      </c>
      <c r="O478">
        <v>45.47</v>
      </c>
      <c r="P478">
        <v>1255.002</v>
      </c>
      <c r="Q478">
        <v>79</v>
      </c>
      <c r="R478">
        <v>15.32</v>
      </c>
    </row>
    <row r="479" spans="1:18" x14ac:dyDescent="0.25">
      <c r="A479" s="1" t="s">
        <v>14</v>
      </c>
      <c r="B479" s="2" t="s">
        <v>39</v>
      </c>
      <c r="C479" s="19">
        <v>49</v>
      </c>
      <c r="D479" s="3" t="s">
        <v>496</v>
      </c>
      <c r="E479" s="3" t="s">
        <v>24</v>
      </c>
      <c r="F479" s="23">
        <v>121470</v>
      </c>
      <c r="G479" s="15">
        <v>2006</v>
      </c>
      <c r="H479" s="15">
        <f>Table_7[[#This Row],[Listing Price (USD)]]/10000</f>
        <v>12.147</v>
      </c>
      <c r="I479" s="28">
        <f>Table_7[[#This Row],[Length 
(ft)]]</f>
        <v>49</v>
      </c>
      <c r="J479" s="28">
        <f>2020-Table_7[[#This Row],[Year]]</f>
        <v>14</v>
      </c>
      <c r="K479">
        <v>1896755301518.1399</v>
      </c>
      <c r="L479">
        <v>31911.0357890017</v>
      </c>
      <c r="M479">
        <v>-0.13770757391656999</v>
      </c>
      <c r="N479">
        <v>-9.0399534112288507</v>
      </c>
      <c r="O479">
        <v>45.47</v>
      </c>
      <c r="P479">
        <v>1255.002</v>
      </c>
      <c r="Q479">
        <v>79</v>
      </c>
      <c r="R479">
        <v>15.32</v>
      </c>
    </row>
    <row r="480" spans="1:18" x14ac:dyDescent="0.25">
      <c r="A480" s="1" t="s">
        <v>14</v>
      </c>
      <c r="B480" s="2" t="s">
        <v>39</v>
      </c>
      <c r="C480" s="19">
        <v>49</v>
      </c>
      <c r="D480" s="3" t="s">
        <v>496</v>
      </c>
      <c r="E480" s="3" t="s">
        <v>18</v>
      </c>
      <c r="F480" s="23">
        <v>127526</v>
      </c>
      <c r="G480" s="15">
        <v>2008</v>
      </c>
      <c r="H480" s="15">
        <f>Table_7[[#This Row],[Listing Price (USD)]]/10000</f>
        <v>12.752599999999999</v>
      </c>
      <c r="I480" s="28">
        <f>Table_7[[#This Row],[Length 
(ft)]]</f>
        <v>49</v>
      </c>
      <c r="J480" s="28">
        <f>2020-Table_7[[#This Row],[Year]]</f>
        <v>12</v>
      </c>
      <c r="K480">
        <v>188925995936.80701</v>
      </c>
      <c r="L480">
        <v>17658.947301119199</v>
      </c>
      <c r="M480">
        <v>-1.2479835558140799</v>
      </c>
      <c r="N480">
        <v>-9.0040436420214593</v>
      </c>
      <c r="O480">
        <v>45.47</v>
      </c>
      <c r="P480">
        <v>1255.002</v>
      </c>
      <c r="Q480">
        <v>79</v>
      </c>
      <c r="R480">
        <v>15.32</v>
      </c>
    </row>
    <row r="481" spans="1:18" x14ac:dyDescent="0.25">
      <c r="A481" s="1" t="s">
        <v>14</v>
      </c>
      <c r="B481" s="2" t="s">
        <v>39</v>
      </c>
      <c r="C481" s="19">
        <v>49</v>
      </c>
      <c r="D481" s="3" t="s">
        <v>496</v>
      </c>
      <c r="E481" s="3" t="s">
        <v>31</v>
      </c>
      <c r="F481" s="23">
        <v>127543</v>
      </c>
      <c r="G481" s="15">
        <v>2006</v>
      </c>
      <c r="H481" s="15">
        <f>Table_7[[#This Row],[Listing Price (USD)]]/10000</f>
        <v>12.754300000000001</v>
      </c>
      <c r="I481" s="28">
        <f>Table_7[[#This Row],[Length 
(ft)]]</f>
        <v>49</v>
      </c>
      <c r="J481" s="28">
        <f>2020-Table_7[[#This Row],[Year]]</f>
        <v>14</v>
      </c>
      <c r="K481">
        <v>57472012426.685303</v>
      </c>
      <c r="L481">
        <v>14198.753959474399</v>
      </c>
      <c r="M481">
        <v>0.15481137456202801</v>
      </c>
      <c r="N481">
        <v>-8.5803430210621805</v>
      </c>
      <c r="O481">
        <v>45.47</v>
      </c>
      <c r="P481">
        <v>1255.002</v>
      </c>
      <c r="Q481">
        <v>79</v>
      </c>
      <c r="R481">
        <v>15.32</v>
      </c>
    </row>
    <row r="482" spans="1:18" x14ac:dyDescent="0.25">
      <c r="A482" s="1" t="s">
        <v>14</v>
      </c>
      <c r="B482" s="2" t="s">
        <v>39</v>
      </c>
      <c r="C482" s="19">
        <v>49</v>
      </c>
      <c r="D482" s="3" t="s">
        <v>496</v>
      </c>
      <c r="E482" s="3" t="s">
        <v>18</v>
      </c>
      <c r="F482" s="23">
        <v>132402</v>
      </c>
      <c r="G482" s="15">
        <v>2008</v>
      </c>
      <c r="H482" s="15">
        <f>Table_7[[#This Row],[Listing Price (USD)]]/10000</f>
        <v>13.2402</v>
      </c>
      <c r="I482" s="28">
        <f>Table_7[[#This Row],[Length 
(ft)]]</f>
        <v>49</v>
      </c>
      <c r="J482" s="28">
        <f>2020-Table_7[[#This Row],[Year]]</f>
        <v>12</v>
      </c>
      <c r="K482">
        <v>188925995936.80701</v>
      </c>
      <c r="L482">
        <v>17658.947301119199</v>
      </c>
      <c r="M482">
        <v>-1.2479835558140799</v>
      </c>
      <c r="N482">
        <v>-9.0040436420214593</v>
      </c>
      <c r="O482">
        <v>45.47</v>
      </c>
      <c r="P482">
        <v>1255.002</v>
      </c>
      <c r="Q482">
        <v>79</v>
      </c>
      <c r="R482">
        <v>15.32</v>
      </c>
    </row>
    <row r="483" spans="1:18" x14ac:dyDescent="0.25">
      <c r="A483" s="1" t="s">
        <v>14</v>
      </c>
      <c r="B483" s="2" t="s">
        <v>39</v>
      </c>
      <c r="C483" s="19">
        <v>49</v>
      </c>
      <c r="D483" s="3" t="s">
        <v>496</v>
      </c>
      <c r="E483" s="3" t="s">
        <v>18</v>
      </c>
      <c r="F483" s="23">
        <v>133617</v>
      </c>
      <c r="G483" s="15">
        <v>2008</v>
      </c>
      <c r="H483" s="15">
        <f>Table_7[[#This Row],[Listing Price (USD)]]/10000</f>
        <v>13.361700000000001</v>
      </c>
      <c r="I483" s="28">
        <f>Table_7[[#This Row],[Length 
(ft)]]</f>
        <v>49</v>
      </c>
      <c r="J483" s="28">
        <f>2020-Table_7[[#This Row],[Year]]</f>
        <v>12</v>
      </c>
      <c r="K483">
        <v>188925995936.80701</v>
      </c>
      <c r="L483">
        <v>17658.947301119199</v>
      </c>
      <c r="M483">
        <v>-1.2479835558140799</v>
      </c>
      <c r="N483">
        <v>-9.0040436420214593</v>
      </c>
      <c r="O483">
        <v>45.47</v>
      </c>
      <c r="P483">
        <v>1255.002</v>
      </c>
      <c r="Q483">
        <v>79</v>
      </c>
      <c r="R483">
        <v>15.32</v>
      </c>
    </row>
    <row r="484" spans="1:18" x14ac:dyDescent="0.25">
      <c r="A484" s="1" t="s">
        <v>14</v>
      </c>
      <c r="B484" s="2" t="s">
        <v>39</v>
      </c>
      <c r="C484" s="19">
        <v>49</v>
      </c>
      <c r="D484" s="3" t="s">
        <v>496</v>
      </c>
      <c r="E484" s="3" t="s">
        <v>24</v>
      </c>
      <c r="F484" s="23">
        <v>133617</v>
      </c>
      <c r="G484" s="15">
        <v>2007</v>
      </c>
      <c r="H484" s="15">
        <f>Table_7[[#This Row],[Listing Price (USD)]]/10000</f>
        <v>13.361700000000001</v>
      </c>
      <c r="I484" s="28">
        <f>Table_7[[#This Row],[Length 
(ft)]]</f>
        <v>49</v>
      </c>
      <c r="J484" s="28">
        <f>2020-Table_7[[#This Row],[Year]]</f>
        <v>13</v>
      </c>
      <c r="K484">
        <v>1896755301518.1399</v>
      </c>
      <c r="L484">
        <v>31911.0357890017</v>
      </c>
      <c r="M484">
        <v>-0.13770757391656999</v>
      </c>
      <c r="N484">
        <v>-9.0399534112288507</v>
      </c>
      <c r="O484">
        <v>45.47</v>
      </c>
      <c r="P484">
        <v>1255.002</v>
      </c>
      <c r="Q484">
        <v>79</v>
      </c>
      <c r="R484">
        <v>15.32</v>
      </c>
    </row>
    <row r="485" spans="1:18" x14ac:dyDescent="0.25">
      <c r="A485" s="1" t="s">
        <v>14</v>
      </c>
      <c r="B485" s="2" t="s">
        <v>39</v>
      </c>
      <c r="C485" s="19">
        <v>49</v>
      </c>
      <c r="D485" s="3" t="s">
        <v>496</v>
      </c>
      <c r="E485" s="3" t="s">
        <v>24</v>
      </c>
      <c r="F485" s="23">
        <v>133622</v>
      </c>
      <c r="G485" s="15">
        <v>2008</v>
      </c>
      <c r="H485" s="15">
        <f>Table_7[[#This Row],[Listing Price (USD)]]/10000</f>
        <v>13.3622</v>
      </c>
      <c r="I485" s="28">
        <f>Table_7[[#This Row],[Length 
(ft)]]</f>
        <v>49</v>
      </c>
      <c r="J485" s="28">
        <f>2020-Table_7[[#This Row],[Year]]</f>
        <v>12</v>
      </c>
      <c r="K485">
        <v>1896755301518.1399</v>
      </c>
      <c r="L485">
        <v>31911.0357890017</v>
      </c>
      <c r="M485">
        <v>-0.13770757391656999</v>
      </c>
      <c r="N485">
        <v>-9.0399534112288507</v>
      </c>
      <c r="O485">
        <v>45.47</v>
      </c>
      <c r="P485">
        <v>1255.002</v>
      </c>
      <c r="Q485">
        <v>79</v>
      </c>
      <c r="R485">
        <v>15.32</v>
      </c>
    </row>
    <row r="486" spans="1:18" x14ac:dyDescent="0.25">
      <c r="A486" s="1" t="s">
        <v>14</v>
      </c>
      <c r="B486" s="2" t="s">
        <v>39</v>
      </c>
      <c r="C486" s="19">
        <v>49</v>
      </c>
      <c r="D486" s="3" t="s">
        <v>496</v>
      </c>
      <c r="E486" s="3" t="s">
        <v>24</v>
      </c>
      <c r="F486" s="23">
        <v>136896</v>
      </c>
      <c r="G486" s="15">
        <v>2005</v>
      </c>
      <c r="H486" s="15">
        <f>Table_7[[#This Row],[Listing Price (USD)]]/10000</f>
        <v>13.6896</v>
      </c>
      <c r="I486" s="28">
        <f>Table_7[[#This Row],[Length 
(ft)]]</f>
        <v>49</v>
      </c>
      <c r="J486" s="28">
        <f>2020-Table_7[[#This Row],[Year]]</f>
        <v>15</v>
      </c>
      <c r="K486">
        <v>1896755301518.1399</v>
      </c>
      <c r="L486">
        <v>31911.0357890017</v>
      </c>
      <c r="M486">
        <v>-0.13770757391656999</v>
      </c>
      <c r="N486">
        <v>-9.0399534112288507</v>
      </c>
      <c r="O486">
        <v>45.47</v>
      </c>
      <c r="P486">
        <v>1255.002</v>
      </c>
      <c r="Q486">
        <v>79</v>
      </c>
      <c r="R486">
        <v>15.32</v>
      </c>
    </row>
    <row r="487" spans="1:18" x14ac:dyDescent="0.25">
      <c r="A487" s="1" t="s">
        <v>14</v>
      </c>
      <c r="B487" s="2" t="s">
        <v>39</v>
      </c>
      <c r="C487" s="19">
        <v>49</v>
      </c>
      <c r="D487" s="3" t="s">
        <v>496</v>
      </c>
      <c r="E487" s="3" t="s">
        <v>9</v>
      </c>
      <c r="F487" s="23">
        <v>139690</v>
      </c>
      <c r="G487" s="15">
        <v>2006</v>
      </c>
      <c r="H487" s="15">
        <f>Table_7[[#This Row],[Listing Price (USD)]]/10000</f>
        <v>13.968999999999999</v>
      </c>
      <c r="I487" s="28">
        <f>Table_7[[#This Row],[Length 
(ft)]]</f>
        <v>49</v>
      </c>
      <c r="J487" s="28">
        <f>2020-Table_7[[#This Row],[Year]]</f>
        <v>14</v>
      </c>
      <c r="K487">
        <v>1276962685648.25</v>
      </c>
      <c r="L487">
        <v>26959.675436732599</v>
      </c>
      <c r="M487">
        <v>-0.32275301729970501</v>
      </c>
      <c r="N487">
        <v>-11.3254383222864</v>
      </c>
      <c r="O487">
        <v>45.47</v>
      </c>
      <c r="P487">
        <v>1255.002</v>
      </c>
      <c r="Q487">
        <v>79</v>
      </c>
      <c r="R487">
        <v>15.32</v>
      </c>
    </row>
    <row r="488" spans="1:18" x14ac:dyDescent="0.25">
      <c r="A488" s="1" t="s">
        <v>14</v>
      </c>
      <c r="B488" s="2" t="s">
        <v>39</v>
      </c>
      <c r="C488" s="19">
        <v>49</v>
      </c>
      <c r="D488" s="3" t="s">
        <v>496</v>
      </c>
      <c r="E488" s="3" t="s">
        <v>31</v>
      </c>
      <c r="F488" s="23">
        <v>144549</v>
      </c>
      <c r="G488" s="15">
        <v>2012</v>
      </c>
      <c r="H488" s="15">
        <f>Table_7[[#This Row],[Listing Price (USD)]]/10000</f>
        <v>14.4549</v>
      </c>
      <c r="I488" s="28">
        <f>Table_7[[#This Row],[Length 
(ft)]]</f>
        <v>49</v>
      </c>
      <c r="J488" s="28">
        <f>2020-Table_7[[#This Row],[Year]]</f>
        <v>8</v>
      </c>
      <c r="K488">
        <v>57472012426.685303</v>
      </c>
      <c r="L488">
        <v>14198.753959474399</v>
      </c>
      <c r="M488">
        <v>0.15481137456202801</v>
      </c>
      <c r="N488">
        <v>-8.5803430210621805</v>
      </c>
      <c r="O488">
        <v>45.47</v>
      </c>
      <c r="P488">
        <v>1255.002</v>
      </c>
      <c r="Q488">
        <v>79</v>
      </c>
      <c r="R488">
        <v>15.32</v>
      </c>
    </row>
    <row r="489" spans="1:18" x14ac:dyDescent="0.25">
      <c r="A489" s="1" t="s">
        <v>14</v>
      </c>
      <c r="B489" s="2" t="s">
        <v>39</v>
      </c>
      <c r="C489" s="19">
        <v>49</v>
      </c>
      <c r="D489" s="3" t="s">
        <v>496</v>
      </c>
      <c r="E489" s="3" t="s">
        <v>24</v>
      </c>
      <c r="F489" s="23">
        <v>145769</v>
      </c>
      <c r="G489" s="15">
        <v>2007</v>
      </c>
      <c r="H489" s="15">
        <f>Table_7[[#This Row],[Listing Price (USD)]]/10000</f>
        <v>14.5769</v>
      </c>
      <c r="I489" s="28">
        <f>Table_7[[#This Row],[Length 
(ft)]]</f>
        <v>49</v>
      </c>
      <c r="J489" s="28">
        <f>2020-Table_7[[#This Row],[Year]]</f>
        <v>13</v>
      </c>
      <c r="K489">
        <v>1896755301518.1399</v>
      </c>
      <c r="L489">
        <v>31911.0357890017</v>
      </c>
      <c r="M489">
        <v>-0.13770757391656999</v>
      </c>
      <c r="N489">
        <v>-9.0399534112288507</v>
      </c>
      <c r="O489">
        <v>45.47</v>
      </c>
      <c r="P489">
        <v>1255.002</v>
      </c>
      <c r="Q489">
        <v>79</v>
      </c>
      <c r="R489">
        <v>15.32</v>
      </c>
    </row>
    <row r="490" spans="1:18" x14ac:dyDescent="0.25">
      <c r="A490" s="1" t="s">
        <v>14</v>
      </c>
      <c r="B490" s="2" t="s">
        <v>39</v>
      </c>
      <c r="C490" s="19">
        <v>49</v>
      </c>
      <c r="D490" s="3" t="s">
        <v>496</v>
      </c>
      <c r="E490" s="3" t="s">
        <v>24</v>
      </c>
      <c r="F490" s="23">
        <v>151843</v>
      </c>
      <c r="G490" s="15">
        <v>2005</v>
      </c>
      <c r="H490" s="15">
        <f>Table_7[[#This Row],[Listing Price (USD)]]/10000</f>
        <v>15.1843</v>
      </c>
      <c r="I490" s="28">
        <f>Table_7[[#This Row],[Length 
(ft)]]</f>
        <v>49</v>
      </c>
      <c r="J490" s="28">
        <f>2020-Table_7[[#This Row],[Year]]</f>
        <v>15</v>
      </c>
      <c r="K490">
        <v>1896755301518.1399</v>
      </c>
      <c r="L490">
        <v>31911.0357890017</v>
      </c>
      <c r="M490">
        <v>-0.13770757391656999</v>
      </c>
      <c r="N490">
        <v>-9.0399534112288507</v>
      </c>
      <c r="O490">
        <v>45.47</v>
      </c>
      <c r="P490">
        <v>1255.002</v>
      </c>
      <c r="Q490">
        <v>79</v>
      </c>
      <c r="R490">
        <v>15.32</v>
      </c>
    </row>
    <row r="491" spans="1:18" x14ac:dyDescent="0.25">
      <c r="A491" s="1" t="s">
        <v>14</v>
      </c>
      <c r="B491" s="2" t="s">
        <v>39</v>
      </c>
      <c r="C491" s="19">
        <v>49</v>
      </c>
      <c r="D491" s="3" t="s">
        <v>496</v>
      </c>
      <c r="E491" s="3" t="s">
        <v>18</v>
      </c>
      <c r="F491" s="23">
        <v>157911</v>
      </c>
      <c r="G491" s="15">
        <v>2008</v>
      </c>
      <c r="H491" s="15">
        <f>Table_7[[#This Row],[Listing Price (USD)]]/10000</f>
        <v>15.7911</v>
      </c>
      <c r="I491" s="28">
        <f>Table_7[[#This Row],[Length 
(ft)]]</f>
        <v>49</v>
      </c>
      <c r="J491" s="28">
        <f>2020-Table_7[[#This Row],[Year]]</f>
        <v>12</v>
      </c>
      <c r="K491">
        <v>188925995936.80701</v>
      </c>
      <c r="L491">
        <v>17658.947301119199</v>
      </c>
      <c r="M491">
        <v>-1.2479835558140799</v>
      </c>
      <c r="N491">
        <v>-9.0040436420214593</v>
      </c>
      <c r="O491">
        <v>45.47</v>
      </c>
      <c r="P491">
        <v>1255.002</v>
      </c>
      <c r="Q491">
        <v>79</v>
      </c>
      <c r="R491">
        <v>15.32</v>
      </c>
    </row>
    <row r="492" spans="1:18" x14ac:dyDescent="0.25">
      <c r="A492" s="1" t="s">
        <v>14</v>
      </c>
      <c r="B492" s="2" t="s">
        <v>39</v>
      </c>
      <c r="C492" s="19">
        <v>49</v>
      </c>
      <c r="D492" s="3" t="s">
        <v>496</v>
      </c>
      <c r="E492" s="3" t="s">
        <v>41</v>
      </c>
      <c r="F492" s="23">
        <v>159878</v>
      </c>
      <c r="G492" s="15">
        <v>2008</v>
      </c>
      <c r="H492" s="15">
        <f>Table_7[[#This Row],[Listing Price (USD)]]/10000</f>
        <v>15.9878</v>
      </c>
      <c r="I492" s="28">
        <f>Table_7[[#This Row],[Length 
(ft)]]</f>
        <v>49</v>
      </c>
      <c r="J492" s="28">
        <f>2020-Table_7[[#This Row],[Year]]</f>
        <v>12</v>
      </c>
      <c r="K492">
        <v>251362040527.80399</v>
      </c>
      <c r="L492">
        <v>13047.4320617591</v>
      </c>
      <c r="M492">
        <v>3</v>
      </c>
      <c r="N492">
        <v>-3.6775107912179701</v>
      </c>
      <c r="O492">
        <v>45.47</v>
      </c>
      <c r="P492">
        <v>1255.002</v>
      </c>
      <c r="Q492">
        <v>79</v>
      </c>
      <c r="R492">
        <v>15.32</v>
      </c>
    </row>
    <row r="493" spans="1:18" x14ac:dyDescent="0.25">
      <c r="A493" s="1" t="s">
        <v>14</v>
      </c>
      <c r="B493" s="2" t="s">
        <v>39</v>
      </c>
      <c r="C493" s="19">
        <v>49</v>
      </c>
      <c r="D493" s="3" t="s">
        <v>496</v>
      </c>
      <c r="E493" s="3" t="s">
        <v>63</v>
      </c>
      <c r="F493" s="23">
        <v>163984</v>
      </c>
      <c r="G493" s="15">
        <v>2008</v>
      </c>
      <c r="H493" s="15">
        <f>Table_7[[#This Row],[Listing Price (USD)]]/10000</f>
        <v>16.398399999999999</v>
      </c>
      <c r="I493" s="28">
        <f>Table_7[[#This Row],[Length 
(ft)]]</f>
        <v>49</v>
      </c>
      <c r="J493" s="28">
        <f>2020-Table_7[[#This Row],[Year]]</f>
        <v>12</v>
      </c>
      <c r="K493">
        <v>720290000003</v>
      </c>
      <c r="L493">
        <v>13341.6</v>
      </c>
      <c r="M493">
        <v>13</v>
      </c>
      <c r="N493">
        <v>-3</v>
      </c>
      <c r="O493">
        <v>45.47</v>
      </c>
      <c r="P493">
        <v>1255.002</v>
      </c>
      <c r="Q493">
        <v>79</v>
      </c>
      <c r="R493">
        <v>15.32</v>
      </c>
    </row>
    <row r="494" spans="1:18" x14ac:dyDescent="0.25">
      <c r="A494" s="1" t="s">
        <v>14</v>
      </c>
      <c r="B494" s="2" t="s">
        <v>39</v>
      </c>
      <c r="C494" s="19">
        <v>49</v>
      </c>
      <c r="D494" s="3" t="s">
        <v>496</v>
      </c>
      <c r="E494" s="3" t="s">
        <v>31</v>
      </c>
      <c r="F494" s="23">
        <v>165351</v>
      </c>
      <c r="G494" s="15">
        <v>2009</v>
      </c>
      <c r="H494" s="15">
        <f>Table_7[[#This Row],[Listing Price (USD)]]/10000</f>
        <v>16.5351</v>
      </c>
      <c r="I494" s="28">
        <f>Table_7[[#This Row],[Length 
(ft)]]</f>
        <v>49</v>
      </c>
      <c r="J494" s="28">
        <f>2020-Table_7[[#This Row],[Year]]</f>
        <v>11</v>
      </c>
      <c r="K494">
        <v>57472012426.685303</v>
      </c>
      <c r="L494">
        <v>14198.753959474399</v>
      </c>
      <c r="M494">
        <v>0.15481137456202801</v>
      </c>
      <c r="N494">
        <v>-8.5803430210621805</v>
      </c>
      <c r="O494">
        <v>45.47</v>
      </c>
      <c r="P494">
        <v>1255.002</v>
      </c>
      <c r="Q494">
        <v>79</v>
      </c>
      <c r="R494">
        <v>15.32</v>
      </c>
    </row>
    <row r="495" spans="1:18" x14ac:dyDescent="0.25">
      <c r="A495" s="1" t="s">
        <v>14</v>
      </c>
      <c r="B495" s="2" t="s">
        <v>39</v>
      </c>
      <c r="C495" s="19">
        <v>49</v>
      </c>
      <c r="D495" s="3" t="s">
        <v>496</v>
      </c>
      <c r="E495" s="3" t="s">
        <v>31</v>
      </c>
      <c r="F495" s="23">
        <v>173094</v>
      </c>
      <c r="G495" s="15">
        <v>2007</v>
      </c>
      <c r="H495" s="15">
        <f>Table_7[[#This Row],[Listing Price (USD)]]/10000</f>
        <v>17.3094</v>
      </c>
      <c r="I495" s="28">
        <f>Table_7[[#This Row],[Length 
(ft)]]</f>
        <v>49</v>
      </c>
      <c r="J495" s="28">
        <f>2020-Table_7[[#This Row],[Year]]</f>
        <v>13</v>
      </c>
      <c r="K495">
        <v>57472012426.685303</v>
      </c>
      <c r="L495">
        <v>14198.753959474399</v>
      </c>
      <c r="M495">
        <v>0.15481137456202801</v>
      </c>
      <c r="N495">
        <v>-8.5803430210621805</v>
      </c>
      <c r="O495">
        <v>45.47</v>
      </c>
      <c r="P495">
        <v>1255.002</v>
      </c>
      <c r="Q495">
        <v>79</v>
      </c>
      <c r="R495">
        <v>15.32</v>
      </c>
    </row>
    <row r="496" spans="1:18" x14ac:dyDescent="0.25">
      <c r="A496" s="1" t="s">
        <v>14</v>
      </c>
      <c r="B496" s="2" t="s">
        <v>39</v>
      </c>
      <c r="C496" s="19">
        <v>49</v>
      </c>
      <c r="D496" s="3" t="s">
        <v>496</v>
      </c>
      <c r="E496" s="3" t="s">
        <v>31</v>
      </c>
      <c r="F496" s="23">
        <v>173094</v>
      </c>
      <c r="G496" s="15">
        <v>2006</v>
      </c>
      <c r="H496" s="15">
        <f>Table_7[[#This Row],[Listing Price (USD)]]/10000</f>
        <v>17.3094</v>
      </c>
      <c r="I496" s="28">
        <f>Table_7[[#This Row],[Length 
(ft)]]</f>
        <v>49</v>
      </c>
      <c r="J496" s="28">
        <f>2020-Table_7[[#This Row],[Year]]</f>
        <v>14</v>
      </c>
      <c r="K496">
        <v>57472012426.685303</v>
      </c>
      <c r="L496">
        <v>14198.753959474399</v>
      </c>
      <c r="M496">
        <v>0.15481137456202801</v>
      </c>
      <c r="N496">
        <v>-8.5803430210621805</v>
      </c>
      <c r="O496">
        <v>45.47</v>
      </c>
      <c r="P496">
        <v>1255.002</v>
      </c>
      <c r="Q496">
        <v>79</v>
      </c>
      <c r="R496">
        <v>15.32</v>
      </c>
    </row>
    <row r="497" spans="1:18" x14ac:dyDescent="0.25">
      <c r="A497" s="1" t="s">
        <v>14</v>
      </c>
      <c r="B497" s="2" t="s">
        <v>39</v>
      </c>
      <c r="C497" s="19">
        <v>49</v>
      </c>
      <c r="D497" s="3" t="s">
        <v>496</v>
      </c>
      <c r="E497" s="3" t="s">
        <v>18</v>
      </c>
      <c r="F497" s="23">
        <v>176131</v>
      </c>
      <c r="G497" s="15">
        <v>2008</v>
      </c>
      <c r="H497" s="15">
        <f>Table_7[[#This Row],[Listing Price (USD)]]/10000</f>
        <v>17.613099999999999</v>
      </c>
      <c r="I497" s="28">
        <f>Table_7[[#This Row],[Length 
(ft)]]</f>
        <v>49</v>
      </c>
      <c r="J497" s="28">
        <f>2020-Table_7[[#This Row],[Year]]</f>
        <v>12</v>
      </c>
      <c r="K497">
        <v>188925995936.80701</v>
      </c>
      <c r="L497">
        <v>17658.947301119199</v>
      </c>
      <c r="M497">
        <v>-1.2479835558140799</v>
      </c>
      <c r="N497">
        <v>-9.0040436420214593</v>
      </c>
      <c r="O497">
        <v>45.47</v>
      </c>
      <c r="P497">
        <v>1255.002</v>
      </c>
      <c r="Q497">
        <v>79</v>
      </c>
      <c r="R497">
        <v>15.32</v>
      </c>
    </row>
    <row r="498" spans="1:18" x14ac:dyDescent="0.25">
      <c r="A498" s="1" t="s">
        <v>14</v>
      </c>
      <c r="B498" s="2" t="s">
        <v>39</v>
      </c>
      <c r="C498" s="19">
        <v>49</v>
      </c>
      <c r="D498" s="3" t="s">
        <v>496</v>
      </c>
      <c r="E498" s="3" t="s">
        <v>18</v>
      </c>
      <c r="F498" s="23">
        <v>179775</v>
      </c>
      <c r="G498" s="15">
        <v>2013</v>
      </c>
      <c r="H498" s="15">
        <f>Table_7[[#This Row],[Listing Price (USD)]]/10000</f>
        <v>17.977499999999999</v>
      </c>
      <c r="I498" s="28">
        <f>Table_7[[#This Row],[Length 
(ft)]]</f>
        <v>49</v>
      </c>
      <c r="J498" s="28">
        <f>2020-Table_7[[#This Row],[Year]]</f>
        <v>7</v>
      </c>
      <c r="K498">
        <v>188925995936.80701</v>
      </c>
      <c r="L498">
        <v>17658.947301119199</v>
      </c>
      <c r="M498">
        <v>-1.2479835558140799</v>
      </c>
      <c r="N498">
        <v>-9.0040436420214593</v>
      </c>
      <c r="O498">
        <v>45.47</v>
      </c>
      <c r="P498">
        <v>1255.002</v>
      </c>
      <c r="Q498">
        <v>79</v>
      </c>
      <c r="R498">
        <v>15.32</v>
      </c>
    </row>
    <row r="499" spans="1:18" x14ac:dyDescent="0.25">
      <c r="A499" s="1" t="s">
        <v>14</v>
      </c>
      <c r="B499" s="2" t="s">
        <v>39</v>
      </c>
      <c r="C499" s="19">
        <v>49</v>
      </c>
      <c r="D499" s="3" t="s">
        <v>496</v>
      </c>
      <c r="E499" s="3" t="s">
        <v>31</v>
      </c>
      <c r="F499" s="23">
        <v>180382</v>
      </c>
      <c r="G499" s="15">
        <v>2007</v>
      </c>
      <c r="H499" s="15">
        <f>Table_7[[#This Row],[Listing Price (USD)]]/10000</f>
        <v>18.0382</v>
      </c>
      <c r="I499" s="28">
        <f>Table_7[[#This Row],[Length 
(ft)]]</f>
        <v>49</v>
      </c>
      <c r="J499" s="28">
        <f>2020-Table_7[[#This Row],[Year]]</f>
        <v>13</v>
      </c>
      <c r="K499">
        <v>57472012426.685303</v>
      </c>
      <c r="L499">
        <v>14198.753959474399</v>
      </c>
      <c r="M499">
        <v>0.15481137456202801</v>
      </c>
      <c r="N499">
        <v>-8.5803430210621805</v>
      </c>
      <c r="O499">
        <v>45.47</v>
      </c>
      <c r="P499">
        <v>1255.002</v>
      </c>
      <c r="Q499">
        <v>79</v>
      </c>
      <c r="R499">
        <v>15.32</v>
      </c>
    </row>
    <row r="500" spans="1:18" x14ac:dyDescent="0.25">
      <c r="A500" s="1" t="s">
        <v>14</v>
      </c>
      <c r="B500" s="2" t="s">
        <v>39</v>
      </c>
      <c r="C500" s="19">
        <v>49</v>
      </c>
      <c r="D500" s="3" t="s">
        <v>496</v>
      </c>
      <c r="E500" s="3" t="s">
        <v>9</v>
      </c>
      <c r="F500" s="23">
        <v>182212</v>
      </c>
      <c r="G500" s="15">
        <v>2008</v>
      </c>
      <c r="H500" s="15">
        <f>Table_7[[#This Row],[Listing Price (USD)]]/10000</f>
        <v>18.2212</v>
      </c>
      <c r="I500" s="28">
        <f>Table_7[[#This Row],[Length 
(ft)]]</f>
        <v>49</v>
      </c>
      <c r="J500" s="28">
        <f>2020-Table_7[[#This Row],[Year]]</f>
        <v>12</v>
      </c>
      <c r="K500">
        <v>1276962685648.25</v>
      </c>
      <c r="L500">
        <v>26959.675436732599</v>
      </c>
      <c r="M500">
        <v>-0.32275301729970501</v>
      </c>
      <c r="N500">
        <v>-11.3254383222864</v>
      </c>
      <c r="O500">
        <v>45.47</v>
      </c>
      <c r="P500">
        <v>1255.002</v>
      </c>
      <c r="Q500">
        <v>79</v>
      </c>
      <c r="R500">
        <v>15.32</v>
      </c>
    </row>
    <row r="501" spans="1:18" x14ac:dyDescent="0.25">
      <c r="A501" s="1" t="s">
        <v>14</v>
      </c>
      <c r="B501" s="2" t="s">
        <v>39</v>
      </c>
      <c r="C501" s="19">
        <v>49</v>
      </c>
      <c r="D501" s="3" t="s">
        <v>496</v>
      </c>
      <c r="E501" s="3" t="s">
        <v>9</v>
      </c>
      <c r="F501" s="23">
        <v>182212</v>
      </c>
      <c r="G501" s="15">
        <v>2007</v>
      </c>
      <c r="H501" s="15">
        <f>Table_7[[#This Row],[Listing Price (USD)]]/10000</f>
        <v>18.2212</v>
      </c>
      <c r="I501" s="28">
        <f>Table_7[[#This Row],[Length 
(ft)]]</f>
        <v>49</v>
      </c>
      <c r="J501" s="28">
        <f>2020-Table_7[[#This Row],[Year]]</f>
        <v>13</v>
      </c>
      <c r="K501">
        <v>1276962685648.25</v>
      </c>
      <c r="L501">
        <v>26959.675436732599</v>
      </c>
      <c r="M501">
        <v>-0.32275301729970501</v>
      </c>
      <c r="N501">
        <v>-11.3254383222864</v>
      </c>
      <c r="O501">
        <v>45.47</v>
      </c>
      <c r="P501">
        <v>1255.002</v>
      </c>
      <c r="Q501">
        <v>79</v>
      </c>
      <c r="R501">
        <v>15.32</v>
      </c>
    </row>
    <row r="502" spans="1:18" x14ac:dyDescent="0.25">
      <c r="A502" s="1" t="s">
        <v>14</v>
      </c>
      <c r="B502" s="2" t="s">
        <v>39</v>
      </c>
      <c r="C502" s="19">
        <v>49</v>
      </c>
      <c r="D502" s="3" t="s">
        <v>496</v>
      </c>
      <c r="E502" s="3" t="s">
        <v>56</v>
      </c>
      <c r="F502" s="23">
        <v>184634</v>
      </c>
      <c r="G502" s="15">
        <v>2007</v>
      </c>
      <c r="H502" s="15">
        <f>Table_7[[#This Row],[Listing Price (USD)]]/10000</f>
        <v>18.4634</v>
      </c>
      <c r="I502" s="28">
        <f>Table_7[[#This Row],[Length 
(ft)]]</f>
        <v>49</v>
      </c>
      <c r="J502" s="28">
        <f>2020-Table_7[[#This Row],[Year]]</f>
        <v>13</v>
      </c>
      <c r="K502">
        <v>14933066818.9606</v>
      </c>
      <c r="L502">
        <v>28977.565567363599</v>
      </c>
      <c r="M502">
        <v>0.63854495677665302</v>
      </c>
      <c r="N502">
        <v>-8.3242832319722009</v>
      </c>
      <c r="O502">
        <v>45.47</v>
      </c>
      <c r="P502">
        <v>1255.002</v>
      </c>
      <c r="Q502">
        <v>79</v>
      </c>
      <c r="R502">
        <v>15.32</v>
      </c>
    </row>
    <row r="503" spans="1:18" x14ac:dyDescent="0.25">
      <c r="A503" s="1" t="s">
        <v>14</v>
      </c>
      <c r="B503" s="2" t="s">
        <v>39</v>
      </c>
      <c r="C503" s="19">
        <v>49</v>
      </c>
      <c r="D503" s="3" t="s">
        <v>496</v>
      </c>
      <c r="E503" s="3" t="s">
        <v>24</v>
      </c>
      <c r="F503" s="23">
        <v>193137</v>
      </c>
      <c r="G503" s="15">
        <v>2008</v>
      </c>
      <c r="H503" s="15">
        <f>Table_7[[#This Row],[Listing Price (USD)]]/10000</f>
        <v>19.313700000000001</v>
      </c>
      <c r="I503" s="28">
        <f>Table_7[[#This Row],[Length 
(ft)]]</f>
        <v>49</v>
      </c>
      <c r="J503" s="28">
        <f>2020-Table_7[[#This Row],[Year]]</f>
        <v>12</v>
      </c>
      <c r="K503">
        <v>1896755301518.1399</v>
      </c>
      <c r="L503">
        <v>31911.0357890017</v>
      </c>
      <c r="M503">
        <v>-0.13770757391656999</v>
      </c>
      <c r="N503">
        <v>-9.0399534112288507</v>
      </c>
      <c r="O503">
        <v>45.47</v>
      </c>
      <c r="P503">
        <v>1255.002</v>
      </c>
      <c r="Q503">
        <v>79</v>
      </c>
      <c r="R503">
        <v>15.32</v>
      </c>
    </row>
    <row r="504" spans="1:18" x14ac:dyDescent="0.25">
      <c r="A504" s="1" t="s">
        <v>14</v>
      </c>
      <c r="B504" s="2" t="s">
        <v>39</v>
      </c>
      <c r="C504" s="19">
        <v>49</v>
      </c>
      <c r="D504" s="3" t="s">
        <v>496</v>
      </c>
      <c r="E504" s="3" t="s">
        <v>31</v>
      </c>
      <c r="F504" s="23">
        <v>202854</v>
      </c>
      <c r="G504" s="15">
        <v>2011</v>
      </c>
      <c r="H504" s="15">
        <f>Table_7[[#This Row],[Listing Price (USD)]]/10000</f>
        <v>20.285399999999999</v>
      </c>
      <c r="I504" s="28">
        <f>Table_7[[#This Row],[Length 
(ft)]]</f>
        <v>49</v>
      </c>
      <c r="J504" s="28">
        <f>2020-Table_7[[#This Row],[Year]]</f>
        <v>9</v>
      </c>
      <c r="K504">
        <v>57472012426.685303</v>
      </c>
      <c r="L504">
        <v>14198.753959474399</v>
      </c>
      <c r="M504">
        <v>0.15481137456202801</v>
      </c>
      <c r="N504">
        <v>-8.5803430210621805</v>
      </c>
      <c r="O504">
        <v>45.47</v>
      </c>
      <c r="P504">
        <v>1255.002</v>
      </c>
      <c r="Q504">
        <v>79</v>
      </c>
      <c r="R504">
        <v>15.32</v>
      </c>
    </row>
    <row r="505" spans="1:18" x14ac:dyDescent="0.25">
      <c r="A505" s="1" t="s">
        <v>14</v>
      </c>
      <c r="B505" s="2" t="s">
        <v>39</v>
      </c>
      <c r="C505" s="19">
        <v>49</v>
      </c>
      <c r="D505" s="3" t="s">
        <v>496</v>
      </c>
      <c r="E505" s="3" t="s">
        <v>31</v>
      </c>
      <c r="F505" s="23">
        <v>226535</v>
      </c>
      <c r="G505" s="15">
        <v>2008</v>
      </c>
      <c r="H505" s="15">
        <f>Table_7[[#This Row],[Listing Price (USD)]]/10000</f>
        <v>22.653500000000001</v>
      </c>
      <c r="I505" s="28">
        <f>Table_7[[#This Row],[Length 
(ft)]]</f>
        <v>49</v>
      </c>
      <c r="J505" s="28">
        <f>2020-Table_7[[#This Row],[Year]]</f>
        <v>12</v>
      </c>
      <c r="K505">
        <v>57472012426.685303</v>
      </c>
      <c r="L505">
        <v>14198.753959474399</v>
      </c>
      <c r="M505">
        <v>0.15481137456202801</v>
      </c>
      <c r="N505">
        <v>-8.5803430210621805</v>
      </c>
      <c r="O505">
        <v>45.47</v>
      </c>
      <c r="P505">
        <v>1255.002</v>
      </c>
      <c r="Q505">
        <v>79</v>
      </c>
      <c r="R505">
        <v>15.32</v>
      </c>
    </row>
    <row r="506" spans="1:18" x14ac:dyDescent="0.25">
      <c r="A506" s="1" t="s">
        <v>14</v>
      </c>
      <c r="B506" s="2" t="s">
        <v>39</v>
      </c>
      <c r="C506" s="19">
        <v>49</v>
      </c>
      <c r="D506" s="3" t="s">
        <v>496</v>
      </c>
      <c r="E506" s="3" t="s">
        <v>31</v>
      </c>
      <c r="F506" s="23">
        <v>230671</v>
      </c>
      <c r="G506" s="15">
        <v>2011</v>
      </c>
      <c r="H506" s="15">
        <f>Table_7[[#This Row],[Listing Price (USD)]]/10000</f>
        <v>23.0671</v>
      </c>
      <c r="I506" s="28">
        <f>Table_7[[#This Row],[Length 
(ft)]]</f>
        <v>49</v>
      </c>
      <c r="J506" s="28">
        <f>2020-Table_7[[#This Row],[Year]]</f>
        <v>9</v>
      </c>
      <c r="K506">
        <v>57472012426.685303</v>
      </c>
      <c r="L506">
        <v>14198.753959474399</v>
      </c>
      <c r="M506">
        <v>0.15481137456202801</v>
      </c>
      <c r="N506">
        <v>-8.5803430210621805</v>
      </c>
      <c r="O506">
        <v>45.47</v>
      </c>
      <c r="P506">
        <v>1255.002</v>
      </c>
      <c r="Q506">
        <v>79</v>
      </c>
      <c r="R506">
        <v>15.32</v>
      </c>
    </row>
    <row r="507" spans="1:18" x14ac:dyDescent="0.25">
      <c r="A507" s="1" t="s">
        <v>14</v>
      </c>
      <c r="B507" s="3" t="s">
        <v>371</v>
      </c>
      <c r="C507" s="19">
        <v>49</v>
      </c>
      <c r="D507" s="3" t="s">
        <v>497</v>
      </c>
      <c r="E507" s="3" t="s">
        <v>508</v>
      </c>
      <c r="F507" s="23">
        <v>184900</v>
      </c>
      <c r="G507" s="15">
        <v>2006</v>
      </c>
      <c r="H507" s="15">
        <f>Table_7[[#This Row],[Listing Price (USD)]]/10000</f>
        <v>18.489999999999998</v>
      </c>
      <c r="I507" s="28">
        <f>Table_7[[#This Row],[Length 
(ft)]]</f>
        <v>49</v>
      </c>
      <c r="J507" s="28">
        <f>2020-Table_7[[#This Row],[Year]]</f>
        <v>14</v>
      </c>
      <c r="K507">
        <v>9700000000</v>
      </c>
      <c r="L507">
        <v>26659</v>
      </c>
      <c r="M507">
        <v>-3.5</v>
      </c>
      <c r="N507">
        <v>-24.2</v>
      </c>
      <c r="O507">
        <v>45.47</v>
      </c>
      <c r="P507">
        <v>1255.002</v>
      </c>
      <c r="Q507">
        <v>79</v>
      </c>
      <c r="R507">
        <v>15.32</v>
      </c>
    </row>
    <row r="508" spans="1:18" x14ac:dyDescent="0.25">
      <c r="A508" s="1" t="s">
        <v>372</v>
      </c>
      <c r="B508" s="3" t="s">
        <v>371</v>
      </c>
      <c r="C508" s="19">
        <v>49</v>
      </c>
      <c r="D508" s="3" t="s">
        <v>497</v>
      </c>
      <c r="E508" s="3" t="s">
        <v>483</v>
      </c>
      <c r="F508" s="23">
        <v>200498</v>
      </c>
      <c r="G508" s="15">
        <v>2007</v>
      </c>
      <c r="H508" s="15">
        <f>Table_7[[#This Row],[Listing Price (USD)]]/10000</f>
        <v>20.049800000000001</v>
      </c>
      <c r="I508" s="28">
        <f>Table_7[[#This Row],[Length 
(ft)]]</f>
        <v>49</v>
      </c>
      <c r="J508" s="28">
        <f>2020-Table_7[[#This Row],[Year]]</f>
        <v>13</v>
      </c>
      <c r="K508">
        <v>4200000000</v>
      </c>
      <c r="L508">
        <v>39553.199999999997</v>
      </c>
      <c r="M508">
        <v>2.5</v>
      </c>
      <c r="N508">
        <v>-2.1</v>
      </c>
      <c r="O508">
        <v>45.47</v>
      </c>
      <c r="P508">
        <v>1255.002</v>
      </c>
      <c r="Q508">
        <v>79</v>
      </c>
      <c r="R508">
        <v>15.32</v>
      </c>
    </row>
    <row r="509" spans="1:18" x14ac:dyDescent="0.25">
      <c r="A509" s="1" t="s">
        <v>14</v>
      </c>
      <c r="B509" s="3" t="s">
        <v>371</v>
      </c>
      <c r="C509" s="19">
        <v>49</v>
      </c>
      <c r="D509" s="3" t="s">
        <v>497</v>
      </c>
      <c r="E509" s="3" t="s">
        <v>369</v>
      </c>
      <c r="F509" s="23">
        <v>285000</v>
      </c>
      <c r="G509" s="15">
        <v>2008</v>
      </c>
      <c r="H509" s="15">
        <f>Table_7[[#This Row],[Listing Price (USD)]]/10000</f>
        <v>28.5</v>
      </c>
      <c r="I509" s="28">
        <f>Table_7[[#This Row],[Length 
(ft)]]</f>
        <v>49</v>
      </c>
      <c r="J509" s="28">
        <f>2020-Table_7[[#This Row],[Year]]</f>
        <v>12</v>
      </c>
      <c r="K509">
        <v>78844702329.078506</v>
      </c>
      <c r="L509">
        <v>7167.9191590832697</v>
      </c>
      <c r="M509">
        <v>3.7810317991551599</v>
      </c>
      <c r="N509">
        <v>-6.7202393728340404</v>
      </c>
      <c r="O509">
        <v>45.47</v>
      </c>
      <c r="P509">
        <v>1255.002</v>
      </c>
      <c r="Q509">
        <v>79</v>
      </c>
      <c r="R509">
        <v>15.32</v>
      </c>
    </row>
    <row r="510" spans="1:18" x14ac:dyDescent="0.25">
      <c r="A510" s="1" t="s">
        <v>304</v>
      </c>
      <c r="B510" s="2" t="s">
        <v>318</v>
      </c>
      <c r="C510" s="19">
        <v>50</v>
      </c>
      <c r="D510" s="3" t="s">
        <v>496</v>
      </c>
      <c r="E510" s="3" t="s">
        <v>24</v>
      </c>
      <c r="F510" s="23">
        <v>607373</v>
      </c>
      <c r="G510" s="15">
        <v>2012</v>
      </c>
      <c r="H510" s="15">
        <f>Table_7[[#This Row],[Listing Price (USD)]]/10000</f>
        <v>60.737299999999998</v>
      </c>
      <c r="I510" s="28">
        <f>Table_7[[#This Row],[Length 
(ft)]]</f>
        <v>50</v>
      </c>
      <c r="J510" s="28">
        <f>2020-Table_7[[#This Row],[Year]]</f>
        <v>8</v>
      </c>
      <c r="K510">
        <v>1896755301518.1399</v>
      </c>
      <c r="L510">
        <v>31911.0357890017</v>
      </c>
      <c r="M510">
        <v>-0.13770757391656999</v>
      </c>
      <c r="N510">
        <v>-9.0399534112288507</v>
      </c>
      <c r="O510">
        <v>43.67</v>
      </c>
      <c r="P510">
        <v>1646.002</v>
      </c>
      <c r="Q510">
        <v>79</v>
      </c>
      <c r="R510">
        <v>14.53</v>
      </c>
    </row>
    <row r="511" spans="1:18" x14ac:dyDescent="0.25">
      <c r="A511" s="1" t="s">
        <v>304</v>
      </c>
      <c r="B511" s="2" t="s">
        <v>318</v>
      </c>
      <c r="C511" s="19">
        <v>50</v>
      </c>
      <c r="D511" s="3" t="s">
        <v>496</v>
      </c>
      <c r="E511" s="3" t="s">
        <v>3</v>
      </c>
      <c r="F511" s="23">
        <v>716671</v>
      </c>
      <c r="G511" s="15">
        <v>2012</v>
      </c>
      <c r="H511" s="15">
        <f>Table_7[[#This Row],[Listing Price (USD)]]/10000</f>
        <v>71.667100000000005</v>
      </c>
      <c r="I511" s="28">
        <f>Table_7[[#This Row],[Length 
(ft)]]</f>
        <v>50</v>
      </c>
      <c r="J511" s="28">
        <f>2020-Table_7[[#This Row],[Year]]</f>
        <v>8</v>
      </c>
      <c r="K511">
        <v>2639008701648.2598</v>
      </c>
      <c r="L511">
        <v>39055.282928075401</v>
      </c>
      <c r="M511">
        <v>0.47649885272508302</v>
      </c>
      <c r="N511">
        <v>-7.7845864916787102</v>
      </c>
      <c r="O511">
        <v>43.67</v>
      </c>
      <c r="P511">
        <v>1646.002</v>
      </c>
      <c r="Q511">
        <v>79</v>
      </c>
      <c r="R511">
        <v>14.53</v>
      </c>
    </row>
    <row r="512" spans="1:18" x14ac:dyDescent="0.25">
      <c r="A512" s="1" t="s">
        <v>304</v>
      </c>
      <c r="B512" s="2" t="s">
        <v>318</v>
      </c>
      <c r="C512" s="19">
        <v>50</v>
      </c>
      <c r="D512" s="3" t="s">
        <v>496</v>
      </c>
      <c r="E512" s="3" t="s">
        <v>3</v>
      </c>
      <c r="F512" s="23">
        <v>716700</v>
      </c>
      <c r="G512" s="15">
        <v>2012</v>
      </c>
      <c r="H512" s="15">
        <f>Table_7[[#This Row],[Listing Price (USD)]]/10000</f>
        <v>71.67</v>
      </c>
      <c r="I512" s="28">
        <f>Table_7[[#This Row],[Length 
(ft)]]</f>
        <v>50</v>
      </c>
      <c r="J512" s="28">
        <f>2020-Table_7[[#This Row],[Year]]</f>
        <v>8</v>
      </c>
      <c r="K512">
        <v>2639008701648.2598</v>
      </c>
      <c r="L512">
        <v>39055.282928075401</v>
      </c>
      <c r="M512">
        <v>0.47649885272508302</v>
      </c>
      <c r="N512">
        <v>-7.7845864916787102</v>
      </c>
      <c r="O512">
        <v>43.67</v>
      </c>
      <c r="P512">
        <v>1646.002</v>
      </c>
      <c r="Q512">
        <v>79</v>
      </c>
      <c r="R512">
        <v>14.53</v>
      </c>
    </row>
    <row r="513" spans="1:18" x14ac:dyDescent="0.25">
      <c r="A513" s="1" t="s">
        <v>304</v>
      </c>
      <c r="B513" s="2" t="s">
        <v>318</v>
      </c>
      <c r="C513" s="19">
        <v>50</v>
      </c>
      <c r="D513" s="3" t="s">
        <v>496</v>
      </c>
      <c r="E513" s="3" t="s">
        <v>24</v>
      </c>
      <c r="F513" s="23">
        <v>727632</v>
      </c>
      <c r="G513" s="15">
        <v>2017</v>
      </c>
      <c r="H513" s="15">
        <f>Table_7[[#This Row],[Listing Price (USD)]]/10000</f>
        <v>72.763199999999998</v>
      </c>
      <c r="I513" s="28">
        <f>Table_7[[#This Row],[Length 
(ft)]]</f>
        <v>50</v>
      </c>
      <c r="J513" s="28">
        <f>2020-Table_7[[#This Row],[Year]]</f>
        <v>3</v>
      </c>
      <c r="K513">
        <v>1896755301518.1399</v>
      </c>
      <c r="L513">
        <v>31911.0357890017</v>
      </c>
      <c r="M513">
        <v>-0.13770757391656999</v>
      </c>
      <c r="N513">
        <v>-9.0399534112288507</v>
      </c>
      <c r="O513">
        <v>43.67</v>
      </c>
      <c r="P513">
        <v>1646.002</v>
      </c>
      <c r="Q513">
        <v>79</v>
      </c>
      <c r="R513">
        <v>14.53</v>
      </c>
    </row>
    <row r="514" spans="1:18" x14ac:dyDescent="0.25">
      <c r="A514" s="1" t="s">
        <v>304</v>
      </c>
      <c r="B514" s="2" t="s">
        <v>318</v>
      </c>
      <c r="C514" s="19">
        <v>50</v>
      </c>
      <c r="D514" s="3" t="s">
        <v>496</v>
      </c>
      <c r="E514" s="3" t="s">
        <v>9</v>
      </c>
      <c r="F514" s="23">
        <v>734921</v>
      </c>
      <c r="G514" s="15">
        <v>2016</v>
      </c>
      <c r="H514" s="15">
        <f>Table_7[[#This Row],[Listing Price (USD)]]/10000</f>
        <v>73.492099999999994</v>
      </c>
      <c r="I514" s="28">
        <f>Table_7[[#This Row],[Length 
(ft)]]</f>
        <v>50</v>
      </c>
      <c r="J514" s="28">
        <f>2020-Table_7[[#This Row],[Year]]</f>
        <v>4</v>
      </c>
      <c r="K514">
        <v>1276962685648.25</v>
      </c>
      <c r="L514">
        <v>26959.675436732599</v>
      </c>
      <c r="M514">
        <v>-0.32275301729970501</v>
      </c>
      <c r="N514">
        <v>-11.3254383222864</v>
      </c>
      <c r="O514">
        <v>43.67</v>
      </c>
      <c r="P514">
        <v>1646.002</v>
      </c>
      <c r="Q514">
        <v>79</v>
      </c>
      <c r="R514">
        <v>14.53</v>
      </c>
    </row>
    <row r="515" spans="1:18" x14ac:dyDescent="0.25">
      <c r="A515" s="1" t="s">
        <v>143</v>
      </c>
      <c r="B515" s="2" t="s">
        <v>159</v>
      </c>
      <c r="C515" s="19">
        <v>49</v>
      </c>
      <c r="D515" s="3" t="s">
        <v>496</v>
      </c>
      <c r="E515" s="3" t="s">
        <v>31</v>
      </c>
      <c r="F515" s="23">
        <v>151230</v>
      </c>
      <c r="G515" s="15">
        <v>2014</v>
      </c>
      <c r="H515" s="15">
        <f>Table_7[[#This Row],[Listing Price (USD)]]/10000</f>
        <v>15.122999999999999</v>
      </c>
      <c r="I515" s="28">
        <f>Table_7[[#This Row],[Length 
(ft)]]</f>
        <v>49</v>
      </c>
      <c r="J515" s="28">
        <f>2020-Table_7[[#This Row],[Year]]</f>
        <v>6</v>
      </c>
      <c r="K515">
        <v>57472012426.685303</v>
      </c>
      <c r="L515">
        <v>14198.753959474399</v>
      </c>
      <c r="M515">
        <v>0.15481137456202801</v>
      </c>
      <c r="N515">
        <v>-8.5803430210621805</v>
      </c>
      <c r="O515">
        <v>45.14</v>
      </c>
      <c r="P515">
        <v>1174.002</v>
      </c>
      <c r="Q515">
        <v>78</v>
      </c>
      <c r="R515">
        <v>15.35</v>
      </c>
    </row>
    <row r="516" spans="1:18" x14ac:dyDescent="0.25">
      <c r="A516" s="1" t="s">
        <v>143</v>
      </c>
      <c r="B516" s="2" t="s">
        <v>159</v>
      </c>
      <c r="C516" s="19">
        <v>49</v>
      </c>
      <c r="D516" s="3" t="s">
        <v>496</v>
      </c>
      <c r="E516" s="3" t="s">
        <v>31</v>
      </c>
      <c r="F516" s="23">
        <v>182180</v>
      </c>
      <c r="G516" s="15">
        <v>2013</v>
      </c>
      <c r="H516" s="15">
        <f>Table_7[[#This Row],[Listing Price (USD)]]/10000</f>
        <v>18.218</v>
      </c>
      <c r="I516" s="28">
        <f>Table_7[[#This Row],[Length 
(ft)]]</f>
        <v>49</v>
      </c>
      <c r="J516" s="28">
        <f>2020-Table_7[[#This Row],[Year]]</f>
        <v>7</v>
      </c>
      <c r="K516">
        <v>57472012426.685303</v>
      </c>
      <c r="L516">
        <v>14198.753959474399</v>
      </c>
      <c r="M516">
        <v>0.15481137456202801</v>
      </c>
      <c r="N516">
        <v>-8.5803430210621805</v>
      </c>
      <c r="O516">
        <v>45.14</v>
      </c>
      <c r="P516">
        <v>1174.002</v>
      </c>
      <c r="Q516">
        <v>78</v>
      </c>
      <c r="R516">
        <v>15.35</v>
      </c>
    </row>
    <row r="517" spans="1:18" x14ac:dyDescent="0.25">
      <c r="A517" s="1" t="s">
        <v>143</v>
      </c>
      <c r="B517" s="2" t="s">
        <v>160</v>
      </c>
      <c r="C517" s="19">
        <v>49</v>
      </c>
      <c r="D517" s="3" t="s">
        <v>496</v>
      </c>
      <c r="E517" s="3" t="s">
        <v>31</v>
      </c>
      <c r="F517" s="23">
        <v>166391</v>
      </c>
      <c r="G517" s="15">
        <v>2013</v>
      </c>
      <c r="H517" s="15">
        <f>Table_7[[#This Row],[Listing Price (USD)]]/10000</f>
        <v>16.639099999999999</v>
      </c>
      <c r="I517" s="28">
        <f>Table_7[[#This Row],[Length 
(ft)]]</f>
        <v>49</v>
      </c>
      <c r="J517" s="28">
        <f>2020-Table_7[[#This Row],[Year]]</f>
        <v>7</v>
      </c>
      <c r="K517">
        <v>57472012426.685303</v>
      </c>
      <c r="L517">
        <v>14198.753959474399</v>
      </c>
      <c r="M517">
        <v>0.15481137456202801</v>
      </c>
      <c r="N517">
        <v>-8.5803430210621805</v>
      </c>
      <c r="O517">
        <v>45.14</v>
      </c>
      <c r="P517">
        <v>1174.002</v>
      </c>
      <c r="Q517">
        <v>78</v>
      </c>
      <c r="R517">
        <v>15.35</v>
      </c>
    </row>
    <row r="518" spans="1:18" x14ac:dyDescent="0.25">
      <c r="A518" s="1" t="s">
        <v>143</v>
      </c>
      <c r="B518" s="2" t="s">
        <v>160</v>
      </c>
      <c r="C518" s="19">
        <v>48</v>
      </c>
      <c r="D518" s="3" t="s">
        <v>496</v>
      </c>
      <c r="E518" s="3" t="s">
        <v>31</v>
      </c>
      <c r="F518" s="23">
        <v>167605</v>
      </c>
      <c r="G518" s="15">
        <v>2013</v>
      </c>
      <c r="H518" s="15">
        <f>Table_7[[#This Row],[Listing Price (USD)]]/10000</f>
        <v>16.7605</v>
      </c>
      <c r="I518" s="28">
        <f>Table_7[[#This Row],[Length 
(ft)]]</f>
        <v>48</v>
      </c>
      <c r="J518" s="28">
        <f>2020-Table_7[[#This Row],[Year]]</f>
        <v>7</v>
      </c>
      <c r="K518">
        <v>57472012426.685303</v>
      </c>
      <c r="L518">
        <v>14198.753959474399</v>
      </c>
      <c r="M518">
        <v>0.15481137456202801</v>
      </c>
      <c r="N518">
        <v>-8.5803430210621805</v>
      </c>
      <c r="O518">
        <v>45.14</v>
      </c>
      <c r="P518">
        <v>1174.002</v>
      </c>
      <c r="Q518">
        <v>78</v>
      </c>
      <c r="R518">
        <v>15.35</v>
      </c>
    </row>
    <row r="519" spans="1:18" x14ac:dyDescent="0.25">
      <c r="A519" s="1" t="s">
        <v>164</v>
      </c>
      <c r="B519" s="2">
        <v>50</v>
      </c>
      <c r="C519" s="19">
        <v>49</v>
      </c>
      <c r="D519" s="3" t="s">
        <v>496</v>
      </c>
      <c r="E519" s="3" t="s">
        <v>24</v>
      </c>
      <c r="F519" s="23">
        <v>206498</v>
      </c>
      <c r="G519" s="15">
        <v>2006</v>
      </c>
      <c r="H519" s="15">
        <f>Table_7[[#This Row],[Listing Price (USD)]]/10000</f>
        <v>20.649799999999999</v>
      </c>
      <c r="I519" s="28">
        <f>Table_7[[#This Row],[Length 
(ft)]]</f>
        <v>49</v>
      </c>
      <c r="J519" s="28">
        <f>2020-Table_7[[#This Row],[Year]]</f>
        <v>14</v>
      </c>
      <c r="K519">
        <v>1896755301518.1399</v>
      </c>
      <c r="L519">
        <v>31911.0357890017</v>
      </c>
      <c r="M519">
        <v>-0.13770757391656999</v>
      </c>
      <c r="N519">
        <v>-9.0399534112288507</v>
      </c>
      <c r="O519">
        <v>43.47</v>
      </c>
      <c r="P519">
        <v>1072</v>
      </c>
      <c r="Q519">
        <v>77</v>
      </c>
      <c r="R519">
        <v>14.96</v>
      </c>
    </row>
    <row r="520" spans="1:18" x14ac:dyDescent="0.25">
      <c r="A520" s="1" t="s">
        <v>164</v>
      </c>
      <c r="B520" s="3">
        <v>50</v>
      </c>
      <c r="C520" s="19">
        <v>49</v>
      </c>
      <c r="D520" s="3" t="s">
        <v>497</v>
      </c>
      <c r="E520" s="3" t="s">
        <v>392</v>
      </c>
      <c r="F520" s="23">
        <v>229000</v>
      </c>
      <c r="G520" s="15">
        <v>2008</v>
      </c>
      <c r="H520" s="15">
        <f>Table_7[[#This Row],[Listing Price (USD)]]/10000</f>
        <v>22.9</v>
      </c>
      <c r="I520" s="28">
        <f>Table_7[[#This Row],[Length 
(ft)]]</f>
        <v>49</v>
      </c>
      <c r="J520" s="28">
        <f>2020-Table_7[[#This Row],[Year]]</f>
        <v>12</v>
      </c>
      <c r="K520">
        <v>1043414814.81481</v>
      </c>
      <c r="L520">
        <v>8437.5667322870595</v>
      </c>
      <c r="M520">
        <v>-0.74073259704550098</v>
      </c>
      <c r="N520">
        <v>-13.7559294530644</v>
      </c>
      <c r="O520">
        <v>43.47</v>
      </c>
      <c r="P520">
        <v>1072</v>
      </c>
      <c r="Q520">
        <v>77</v>
      </c>
      <c r="R520">
        <v>14.96</v>
      </c>
    </row>
    <row r="521" spans="1:18" x14ac:dyDescent="0.25">
      <c r="A521" s="1" t="s">
        <v>164</v>
      </c>
      <c r="B521" s="3">
        <v>50</v>
      </c>
      <c r="C521" s="19">
        <v>49</v>
      </c>
      <c r="D521" s="3" t="s">
        <v>497</v>
      </c>
      <c r="E521" s="3" t="s">
        <v>392</v>
      </c>
      <c r="F521" s="23">
        <v>230000</v>
      </c>
      <c r="G521" s="15">
        <v>2005</v>
      </c>
      <c r="H521" s="15">
        <f>Table_7[[#This Row],[Listing Price (USD)]]/10000</f>
        <v>23</v>
      </c>
      <c r="I521" s="28">
        <f>Table_7[[#This Row],[Length 
(ft)]]</f>
        <v>49</v>
      </c>
      <c r="J521" s="28">
        <f>2020-Table_7[[#This Row],[Year]]</f>
        <v>15</v>
      </c>
      <c r="K521">
        <v>1043414814.81481</v>
      </c>
      <c r="L521">
        <v>8437.5667322870595</v>
      </c>
      <c r="M521">
        <v>-0.74073259704550098</v>
      </c>
      <c r="N521">
        <v>-13.7559294530644</v>
      </c>
      <c r="O521">
        <v>43.47</v>
      </c>
      <c r="P521">
        <v>1072</v>
      </c>
      <c r="Q521">
        <v>77</v>
      </c>
      <c r="R521">
        <v>14.96</v>
      </c>
    </row>
    <row r="522" spans="1:18" x14ac:dyDescent="0.25">
      <c r="A522" s="1" t="s">
        <v>187</v>
      </c>
      <c r="B522" s="3">
        <v>50</v>
      </c>
      <c r="C522" s="19">
        <v>50</v>
      </c>
      <c r="D522" s="3" t="s">
        <v>495</v>
      </c>
      <c r="E522" s="3" t="s">
        <v>333</v>
      </c>
      <c r="F522" s="23">
        <v>239239</v>
      </c>
      <c r="G522" s="15">
        <v>2009</v>
      </c>
      <c r="H522" s="15">
        <f>Table_7[[#This Row],[Listing Price (USD)]]/10000</f>
        <v>23.9239</v>
      </c>
      <c r="I522" s="28">
        <f>Table_7[[#This Row],[Length 
(ft)]]</f>
        <v>50</v>
      </c>
      <c r="J522" s="28">
        <f>2020-Table_7[[#This Row],[Year]]</f>
        <v>11</v>
      </c>
      <c r="K522">
        <v>1106036000000</v>
      </c>
      <c r="L522">
        <v>51276.72</v>
      </c>
      <c r="M522">
        <v>1.23</v>
      </c>
      <c r="N522">
        <v>2.9</v>
      </c>
      <c r="O522">
        <v>43.47</v>
      </c>
      <c r="P522">
        <v>1072</v>
      </c>
      <c r="Q522">
        <v>77</v>
      </c>
      <c r="R522">
        <v>14.96</v>
      </c>
    </row>
    <row r="523" spans="1:18" x14ac:dyDescent="0.25">
      <c r="A523" s="1" t="s">
        <v>164</v>
      </c>
      <c r="B523" s="2">
        <v>50</v>
      </c>
      <c r="C523" s="19">
        <v>49</v>
      </c>
      <c r="D523" s="3" t="s">
        <v>496</v>
      </c>
      <c r="E523" s="3" t="s">
        <v>19</v>
      </c>
      <c r="F523" s="23">
        <v>252527</v>
      </c>
      <c r="G523" s="15">
        <v>2005</v>
      </c>
      <c r="H523" s="15">
        <f>Table_7[[#This Row],[Listing Price (USD)]]/10000</f>
        <v>25.252700000000001</v>
      </c>
      <c r="I523" s="28">
        <f>Table_7[[#This Row],[Length 
(ft)]]</f>
        <v>49</v>
      </c>
      <c r="J523" s="28">
        <f>2020-Table_7[[#This Row],[Year]]</f>
        <v>15</v>
      </c>
      <c r="K523">
        <v>4200000000</v>
      </c>
      <c r="L523">
        <v>39553.199999999997</v>
      </c>
      <c r="M523">
        <v>4.0999999999999996</v>
      </c>
      <c r="N523">
        <v>-2.1</v>
      </c>
      <c r="O523">
        <v>43.47</v>
      </c>
      <c r="P523">
        <v>1072</v>
      </c>
      <c r="Q523">
        <v>77</v>
      </c>
      <c r="R523">
        <v>14.96</v>
      </c>
    </row>
    <row r="524" spans="1:18" x14ac:dyDescent="0.25">
      <c r="A524" s="1" t="s">
        <v>164</v>
      </c>
      <c r="B524" s="2">
        <v>50</v>
      </c>
      <c r="C524" s="19">
        <v>49</v>
      </c>
      <c r="D524" s="3" t="s">
        <v>496</v>
      </c>
      <c r="E524" s="3" t="s">
        <v>31</v>
      </c>
      <c r="F524" s="23">
        <v>267233</v>
      </c>
      <c r="G524" s="15">
        <v>2007</v>
      </c>
      <c r="H524" s="15">
        <f>Table_7[[#This Row],[Listing Price (USD)]]/10000</f>
        <v>26.723299999999998</v>
      </c>
      <c r="I524" s="28">
        <f>Table_7[[#This Row],[Length 
(ft)]]</f>
        <v>49</v>
      </c>
      <c r="J524" s="28">
        <f>2020-Table_7[[#This Row],[Year]]</f>
        <v>13</v>
      </c>
      <c r="K524">
        <v>57472012426.685303</v>
      </c>
      <c r="L524">
        <v>14198.753959474399</v>
      </c>
      <c r="M524">
        <v>0.15481137456202801</v>
      </c>
      <c r="N524">
        <v>-8.5803430210621805</v>
      </c>
      <c r="O524">
        <v>43.47</v>
      </c>
      <c r="P524">
        <v>1072</v>
      </c>
      <c r="Q524">
        <v>77</v>
      </c>
      <c r="R524">
        <v>14.96</v>
      </c>
    </row>
    <row r="525" spans="1:18" x14ac:dyDescent="0.25">
      <c r="A525" s="1" t="s">
        <v>164</v>
      </c>
      <c r="B525" s="2">
        <v>50</v>
      </c>
      <c r="C525" s="19">
        <v>49</v>
      </c>
      <c r="D525" s="3" t="s">
        <v>496</v>
      </c>
      <c r="E525" s="3" t="s">
        <v>31</v>
      </c>
      <c r="F525" s="23">
        <v>267244</v>
      </c>
      <c r="G525" s="15">
        <v>2007</v>
      </c>
      <c r="H525" s="15">
        <f>Table_7[[#This Row],[Listing Price (USD)]]/10000</f>
        <v>26.724399999999999</v>
      </c>
      <c r="I525" s="28">
        <f>Table_7[[#This Row],[Length 
(ft)]]</f>
        <v>49</v>
      </c>
      <c r="J525" s="28">
        <f>2020-Table_7[[#This Row],[Year]]</f>
        <v>13</v>
      </c>
      <c r="K525">
        <v>57472012426.685303</v>
      </c>
      <c r="L525">
        <v>14198.753959474399</v>
      </c>
      <c r="M525">
        <v>0.15481137456202801</v>
      </c>
      <c r="N525">
        <v>-8.5803430210621805</v>
      </c>
      <c r="O525">
        <v>43.47</v>
      </c>
      <c r="P525">
        <v>1072</v>
      </c>
      <c r="Q525">
        <v>77</v>
      </c>
      <c r="R525">
        <v>14.96</v>
      </c>
    </row>
    <row r="526" spans="1:18" x14ac:dyDescent="0.25">
      <c r="A526" s="1" t="s">
        <v>143</v>
      </c>
      <c r="B526" s="2">
        <v>50</v>
      </c>
      <c r="C526" s="19">
        <v>50</v>
      </c>
      <c r="D526" s="3" t="s">
        <v>496</v>
      </c>
      <c r="E526" s="3" t="s">
        <v>31</v>
      </c>
      <c r="F526" s="23">
        <v>270877</v>
      </c>
      <c r="G526" s="15">
        <v>2017</v>
      </c>
      <c r="H526" s="15">
        <f>Table_7[[#This Row],[Listing Price (USD)]]/10000</f>
        <v>27.087700000000002</v>
      </c>
      <c r="I526" s="28">
        <f>Table_7[[#This Row],[Length 
(ft)]]</f>
        <v>50</v>
      </c>
      <c r="J526" s="28">
        <f>2020-Table_7[[#This Row],[Year]]</f>
        <v>3</v>
      </c>
      <c r="K526">
        <v>57472012426.685303</v>
      </c>
      <c r="L526">
        <v>14198.753959474399</v>
      </c>
      <c r="M526">
        <v>0.15481137456202801</v>
      </c>
      <c r="N526">
        <v>-8.5803430210621805</v>
      </c>
      <c r="O526">
        <v>43.47</v>
      </c>
      <c r="P526">
        <v>1072</v>
      </c>
      <c r="Q526">
        <v>77</v>
      </c>
      <c r="R526">
        <v>14.96</v>
      </c>
    </row>
    <row r="527" spans="1:18" x14ac:dyDescent="0.25">
      <c r="A527" s="1" t="s">
        <v>164</v>
      </c>
      <c r="B527" s="2">
        <v>50</v>
      </c>
      <c r="C527" s="19">
        <v>49</v>
      </c>
      <c r="D527" s="3" t="s">
        <v>496</v>
      </c>
      <c r="E527" s="3" t="s">
        <v>9</v>
      </c>
      <c r="F527" s="23">
        <v>279380</v>
      </c>
      <c r="G527" s="15">
        <v>2007</v>
      </c>
      <c r="H527" s="15">
        <f>Table_7[[#This Row],[Listing Price (USD)]]/10000</f>
        <v>27.937999999999999</v>
      </c>
      <c r="I527" s="28">
        <f>Table_7[[#This Row],[Length 
(ft)]]</f>
        <v>49</v>
      </c>
      <c r="J527" s="28">
        <f>2020-Table_7[[#This Row],[Year]]</f>
        <v>13</v>
      </c>
      <c r="K527">
        <v>1276962685648.25</v>
      </c>
      <c r="L527">
        <v>26959.675436732599</v>
      </c>
      <c r="M527">
        <v>-0.32275301729970501</v>
      </c>
      <c r="N527">
        <v>-11.3254383222864</v>
      </c>
      <c r="O527">
        <v>43.47</v>
      </c>
      <c r="P527">
        <v>1072</v>
      </c>
      <c r="Q527">
        <v>77</v>
      </c>
      <c r="R527">
        <v>14.96</v>
      </c>
    </row>
    <row r="528" spans="1:18" x14ac:dyDescent="0.25">
      <c r="A528" s="1" t="s">
        <v>164</v>
      </c>
      <c r="B528" s="2">
        <v>50</v>
      </c>
      <c r="C528" s="19">
        <v>49</v>
      </c>
      <c r="D528" s="3" t="s">
        <v>496</v>
      </c>
      <c r="E528" s="3" t="s">
        <v>3</v>
      </c>
      <c r="F528" s="23">
        <v>281810</v>
      </c>
      <c r="G528" s="15">
        <v>2007</v>
      </c>
      <c r="H528" s="15">
        <f>Table_7[[#This Row],[Listing Price (USD)]]/10000</f>
        <v>28.181000000000001</v>
      </c>
      <c r="I528" s="28">
        <f>Table_7[[#This Row],[Length 
(ft)]]</f>
        <v>49</v>
      </c>
      <c r="J528" s="28">
        <f>2020-Table_7[[#This Row],[Year]]</f>
        <v>13</v>
      </c>
      <c r="K528">
        <v>2639008701648.2598</v>
      </c>
      <c r="L528">
        <v>39055.282928075401</v>
      </c>
      <c r="M528">
        <v>0.47649885272508302</v>
      </c>
      <c r="N528">
        <v>-7.7845864916787102</v>
      </c>
      <c r="O528">
        <v>43.47</v>
      </c>
      <c r="P528">
        <v>1072</v>
      </c>
      <c r="Q528">
        <v>77</v>
      </c>
      <c r="R528">
        <v>14.96</v>
      </c>
    </row>
    <row r="529" spans="1:18" x14ac:dyDescent="0.25">
      <c r="A529" s="1" t="s">
        <v>187</v>
      </c>
      <c r="B529" s="3">
        <v>50</v>
      </c>
      <c r="C529" s="19">
        <v>50</v>
      </c>
      <c r="D529" s="3" t="s">
        <v>495</v>
      </c>
      <c r="E529" s="3" t="s">
        <v>519</v>
      </c>
      <c r="F529" s="23">
        <v>284900</v>
      </c>
      <c r="G529" s="15">
        <v>2011</v>
      </c>
      <c r="H529" s="15">
        <f>Table_7[[#This Row],[Listing Price (USD)]]/10000</f>
        <v>28.49</v>
      </c>
      <c r="I529" s="28">
        <f>Table_7[[#This Row],[Length 
(ft)]]</f>
        <v>50</v>
      </c>
      <c r="J529" s="28">
        <f>2020-Table_7[[#This Row],[Year]]</f>
        <v>9</v>
      </c>
      <c r="K529">
        <v>589829000000</v>
      </c>
      <c r="L529">
        <v>56404.23</v>
      </c>
      <c r="M529">
        <v>1.23</v>
      </c>
      <c r="N529">
        <v>2.8</v>
      </c>
      <c r="O529">
        <v>43.47</v>
      </c>
      <c r="P529">
        <v>1072</v>
      </c>
      <c r="Q529">
        <v>77</v>
      </c>
      <c r="R529">
        <v>14.96</v>
      </c>
    </row>
    <row r="530" spans="1:18" x14ac:dyDescent="0.25">
      <c r="A530" s="1" t="s">
        <v>164</v>
      </c>
      <c r="B530" s="2">
        <v>50</v>
      </c>
      <c r="C530" s="19">
        <v>49</v>
      </c>
      <c r="D530" s="3" t="s">
        <v>496</v>
      </c>
      <c r="E530" s="3" t="s">
        <v>24</v>
      </c>
      <c r="F530" s="23">
        <v>285415</v>
      </c>
      <c r="G530" s="15">
        <v>2007</v>
      </c>
      <c r="H530" s="15">
        <f>Table_7[[#This Row],[Listing Price (USD)]]/10000</f>
        <v>28.541499999999999</v>
      </c>
      <c r="I530" s="28">
        <f>Table_7[[#This Row],[Length 
(ft)]]</f>
        <v>49</v>
      </c>
      <c r="J530" s="28">
        <f>2020-Table_7[[#This Row],[Year]]</f>
        <v>13</v>
      </c>
      <c r="K530">
        <v>1896755301518.1399</v>
      </c>
      <c r="L530">
        <v>31911.0357890017</v>
      </c>
      <c r="M530">
        <v>-0.13770757391656999</v>
      </c>
      <c r="N530">
        <v>-9.0399534112288507</v>
      </c>
      <c r="O530">
        <v>43.47</v>
      </c>
      <c r="P530">
        <v>1072</v>
      </c>
      <c r="Q530">
        <v>77</v>
      </c>
      <c r="R530">
        <v>14.96</v>
      </c>
    </row>
    <row r="531" spans="1:18" x14ac:dyDescent="0.25">
      <c r="A531" s="1" t="s">
        <v>143</v>
      </c>
      <c r="B531" s="2">
        <v>50</v>
      </c>
      <c r="C531" s="19">
        <v>50</v>
      </c>
      <c r="D531" s="3" t="s">
        <v>496</v>
      </c>
      <c r="E531" s="3" t="s">
        <v>31</v>
      </c>
      <c r="F531" s="23">
        <v>335256</v>
      </c>
      <c r="G531" s="15">
        <v>2019</v>
      </c>
      <c r="H531" s="15">
        <f>Table_7[[#This Row],[Listing Price (USD)]]/10000</f>
        <v>33.525599999999997</v>
      </c>
      <c r="I531" s="28">
        <f>Table_7[[#This Row],[Length 
(ft)]]</f>
        <v>50</v>
      </c>
      <c r="J531" s="28">
        <f>2020-Table_7[[#This Row],[Year]]</f>
        <v>1</v>
      </c>
      <c r="K531">
        <v>57472012426.685303</v>
      </c>
      <c r="L531">
        <v>14198.753959474399</v>
      </c>
      <c r="M531">
        <v>0.15481137456202801</v>
      </c>
      <c r="N531">
        <v>-8.5803430210621805</v>
      </c>
      <c r="O531">
        <v>43.47</v>
      </c>
      <c r="P531">
        <v>1072</v>
      </c>
      <c r="Q531">
        <v>77</v>
      </c>
      <c r="R531">
        <v>14.96</v>
      </c>
    </row>
    <row r="532" spans="1:18" x14ac:dyDescent="0.25">
      <c r="A532" s="1" t="s">
        <v>304</v>
      </c>
      <c r="B532" s="2">
        <v>50</v>
      </c>
      <c r="C532" s="19">
        <v>50</v>
      </c>
      <c r="D532" s="3" t="s">
        <v>496</v>
      </c>
      <c r="E532" s="3" t="s">
        <v>536</v>
      </c>
      <c r="F532" s="23">
        <v>358209</v>
      </c>
      <c r="G532" s="15">
        <v>2006</v>
      </c>
      <c r="H532" s="15">
        <f>Table_7[[#This Row],[Listing Price (USD)]]/10000</f>
        <v>35.820900000000002</v>
      </c>
      <c r="I532" s="28">
        <f>Table_7[[#This Row],[Length 
(ft)]]</f>
        <v>50</v>
      </c>
      <c r="J532" s="28">
        <f>2020-Table_7[[#This Row],[Year]]</f>
        <v>14</v>
      </c>
      <c r="K532">
        <v>78844702329.078506</v>
      </c>
      <c r="L532">
        <v>7167.9191590832697</v>
      </c>
      <c r="M532">
        <v>3.7810317991551599</v>
      </c>
      <c r="N532">
        <v>-6.7202393728340404</v>
      </c>
      <c r="O532">
        <v>43.47</v>
      </c>
      <c r="P532">
        <v>1072</v>
      </c>
      <c r="Q532">
        <v>77</v>
      </c>
      <c r="R532">
        <v>14.96</v>
      </c>
    </row>
    <row r="533" spans="1:18" x14ac:dyDescent="0.25">
      <c r="A533" s="1" t="s">
        <v>164</v>
      </c>
      <c r="B533" s="2">
        <v>50</v>
      </c>
      <c r="C533" s="19">
        <v>49</v>
      </c>
      <c r="D533" s="3" t="s">
        <v>496</v>
      </c>
      <c r="E533" s="3" t="s">
        <v>542</v>
      </c>
      <c r="F533" s="23">
        <v>393034</v>
      </c>
      <c r="G533" s="15">
        <v>2012</v>
      </c>
      <c r="H533" s="15">
        <f>Table_7[[#This Row],[Listing Price (USD)]]/10000</f>
        <v>39.303400000000003</v>
      </c>
      <c r="I533" s="28">
        <f>Table_7[[#This Row],[Length 
(ft)]]</f>
        <v>49</v>
      </c>
      <c r="J533" s="28">
        <f>2020-Table_7[[#This Row],[Year]]</f>
        <v>8</v>
      </c>
      <c r="K533">
        <v>930371009830.08838</v>
      </c>
      <c r="L533">
        <v>32045.28833705237</v>
      </c>
      <c r="M533">
        <v>0.810222564232847</v>
      </c>
      <c r="N533">
        <v>-6.18704127562025</v>
      </c>
      <c r="O533">
        <v>43.47</v>
      </c>
      <c r="P533">
        <v>1072</v>
      </c>
      <c r="Q533">
        <v>77</v>
      </c>
      <c r="R533">
        <v>14.96</v>
      </c>
    </row>
    <row r="534" spans="1:18" x14ac:dyDescent="0.25">
      <c r="A534" s="1" t="s">
        <v>164</v>
      </c>
      <c r="B534" s="2">
        <v>50</v>
      </c>
      <c r="C534" s="19">
        <v>49</v>
      </c>
      <c r="D534" s="3" t="s">
        <v>496</v>
      </c>
      <c r="E534" s="3" t="s">
        <v>3</v>
      </c>
      <c r="F534" s="23">
        <v>445794</v>
      </c>
      <c r="G534" s="15">
        <v>2012</v>
      </c>
      <c r="H534" s="15">
        <f>Table_7[[#This Row],[Listing Price (USD)]]/10000</f>
        <v>44.5794</v>
      </c>
      <c r="I534" s="28">
        <f>Table_7[[#This Row],[Length 
(ft)]]</f>
        <v>49</v>
      </c>
      <c r="J534" s="28">
        <f>2020-Table_7[[#This Row],[Year]]</f>
        <v>8</v>
      </c>
      <c r="K534">
        <v>2639008701648.2598</v>
      </c>
      <c r="L534">
        <v>39055.282928075401</v>
      </c>
      <c r="M534">
        <v>0.47649885272508302</v>
      </c>
      <c r="N534">
        <v>-7.7845864916787102</v>
      </c>
      <c r="O534">
        <v>43.47</v>
      </c>
      <c r="P534">
        <v>1072</v>
      </c>
      <c r="Q534">
        <v>77</v>
      </c>
      <c r="R534">
        <v>14.96</v>
      </c>
    </row>
    <row r="535" spans="1:18" x14ac:dyDescent="0.25">
      <c r="A535" s="1" t="s">
        <v>164</v>
      </c>
      <c r="B535" s="2">
        <v>50</v>
      </c>
      <c r="C535" s="19">
        <v>49</v>
      </c>
      <c r="D535" s="3" t="s">
        <v>496</v>
      </c>
      <c r="E535" s="3" t="s">
        <v>3</v>
      </c>
      <c r="F535" s="23">
        <v>448223</v>
      </c>
      <c r="G535" s="15">
        <v>2012</v>
      </c>
      <c r="H535" s="15">
        <f>Table_7[[#This Row],[Listing Price (USD)]]/10000</f>
        <v>44.822299999999998</v>
      </c>
      <c r="I535" s="28">
        <f>Table_7[[#This Row],[Length 
(ft)]]</f>
        <v>49</v>
      </c>
      <c r="J535" s="28">
        <f>2020-Table_7[[#This Row],[Year]]</f>
        <v>8</v>
      </c>
      <c r="K535">
        <v>2639008701648.2598</v>
      </c>
      <c r="L535">
        <v>39055.282928075401</v>
      </c>
      <c r="M535">
        <v>0.47649885272508302</v>
      </c>
      <c r="N535">
        <v>-7.7845864916787102</v>
      </c>
      <c r="O535">
        <v>43.47</v>
      </c>
      <c r="P535">
        <v>1072</v>
      </c>
      <c r="Q535">
        <v>77</v>
      </c>
      <c r="R535">
        <v>14.96</v>
      </c>
    </row>
    <row r="536" spans="1:18" x14ac:dyDescent="0.25">
      <c r="A536" s="1" t="s">
        <v>164</v>
      </c>
      <c r="B536" s="2">
        <v>50</v>
      </c>
      <c r="C536" s="19">
        <v>49</v>
      </c>
      <c r="D536" s="3" t="s">
        <v>496</v>
      </c>
      <c r="E536" s="3" t="s">
        <v>24</v>
      </c>
      <c r="F536" s="23">
        <v>546613</v>
      </c>
      <c r="G536" s="15">
        <v>2010</v>
      </c>
      <c r="H536" s="15">
        <f>Table_7[[#This Row],[Listing Price (USD)]]/10000</f>
        <v>54.661299999999997</v>
      </c>
      <c r="I536" s="28">
        <f>Table_7[[#This Row],[Length 
(ft)]]</f>
        <v>49</v>
      </c>
      <c r="J536" s="28">
        <f>2020-Table_7[[#This Row],[Year]]</f>
        <v>10</v>
      </c>
      <c r="K536">
        <v>1896755301518.1399</v>
      </c>
      <c r="L536">
        <v>31911.0357890017</v>
      </c>
      <c r="M536">
        <v>-0.13770757391656999</v>
      </c>
      <c r="N536">
        <v>-9.0399534112288507</v>
      </c>
      <c r="O536">
        <v>43.47</v>
      </c>
      <c r="P536">
        <v>1072</v>
      </c>
      <c r="Q536">
        <v>77</v>
      </c>
      <c r="R536">
        <v>14.96</v>
      </c>
    </row>
    <row r="537" spans="1:18" x14ac:dyDescent="0.25">
      <c r="A537" s="1" t="s">
        <v>128</v>
      </c>
      <c r="B537" s="2">
        <v>485</v>
      </c>
      <c r="C537" s="19">
        <v>48</v>
      </c>
      <c r="D537" s="3" t="s">
        <v>496</v>
      </c>
      <c r="E537" s="3" t="s">
        <v>9</v>
      </c>
      <c r="F537" s="23">
        <v>194351</v>
      </c>
      <c r="G537" s="15">
        <v>2007</v>
      </c>
      <c r="H537" s="15">
        <f>Table_7[[#This Row],[Listing Price (USD)]]/10000</f>
        <v>19.435099999999998</v>
      </c>
      <c r="I537" s="28">
        <f>Table_7[[#This Row],[Length 
(ft)]]</f>
        <v>48</v>
      </c>
      <c r="J537" s="28">
        <f>2020-Table_7[[#This Row],[Year]]</f>
        <v>13</v>
      </c>
      <c r="K537">
        <v>1276962685648.25</v>
      </c>
      <c r="L537">
        <v>26959.675436732599</v>
      </c>
      <c r="M537">
        <v>-0.32275301729970501</v>
      </c>
      <c r="N537">
        <v>-11.3254383222864</v>
      </c>
      <c r="O537">
        <v>43.47</v>
      </c>
      <c r="P537">
        <v>1072</v>
      </c>
      <c r="Q537">
        <v>77</v>
      </c>
      <c r="R537">
        <v>14.96</v>
      </c>
    </row>
    <row r="538" spans="1:18" x14ac:dyDescent="0.25">
      <c r="A538" s="1" t="s">
        <v>112</v>
      </c>
      <c r="B538" s="2" t="s">
        <v>113</v>
      </c>
      <c r="C538" s="19">
        <v>45</v>
      </c>
      <c r="D538" s="3" t="s">
        <v>496</v>
      </c>
      <c r="E538" s="3" t="s">
        <v>516</v>
      </c>
      <c r="F538" s="23">
        <v>637741</v>
      </c>
      <c r="G538" s="15">
        <v>2015</v>
      </c>
      <c r="H538" s="15">
        <f>Table_7[[#This Row],[Listing Price (USD)]]/10000</f>
        <v>63.774099999999997</v>
      </c>
      <c r="I538" s="28">
        <f>Table_7[[#This Row],[Length 
(ft)]]</f>
        <v>45</v>
      </c>
      <c r="J538" s="28">
        <f>2020-Table_7[[#This Row],[Year]]</f>
        <v>5</v>
      </c>
      <c r="K538">
        <v>909793466661.48096</v>
      </c>
      <c r="L538">
        <v>52162.570115040602</v>
      </c>
      <c r="M538">
        <v>1.2724603778917001</v>
      </c>
      <c r="N538">
        <v>-3.88608391819609</v>
      </c>
      <c r="O538">
        <v>38.19</v>
      </c>
      <c r="P538">
        <v>1086.002</v>
      </c>
      <c r="Q538">
        <v>76</v>
      </c>
      <c r="R538">
        <v>13.45</v>
      </c>
    </row>
    <row r="539" spans="1:18" x14ac:dyDescent="0.25">
      <c r="A539" s="1" t="s">
        <v>112</v>
      </c>
      <c r="B539" s="2" t="s">
        <v>113</v>
      </c>
      <c r="C539" s="19">
        <v>45</v>
      </c>
      <c r="D539" s="3" t="s">
        <v>496</v>
      </c>
      <c r="E539" s="3" t="s">
        <v>516</v>
      </c>
      <c r="F539" s="23">
        <v>728846</v>
      </c>
      <c r="G539" s="15">
        <v>2017</v>
      </c>
      <c r="H539" s="15">
        <f>Table_7[[#This Row],[Listing Price (USD)]]/10000</f>
        <v>72.884600000000006</v>
      </c>
      <c r="I539" s="28">
        <f>Table_7[[#This Row],[Length 
(ft)]]</f>
        <v>45</v>
      </c>
      <c r="J539" s="28">
        <f>2020-Table_7[[#This Row],[Year]]</f>
        <v>3</v>
      </c>
      <c r="K539">
        <v>909793466661.48096</v>
      </c>
      <c r="L539">
        <v>52162.570115040602</v>
      </c>
      <c r="M539">
        <v>1.2724603778917001</v>
      </c>
      <c r="N539">
        <v>-3.88608391819609</v>
      </c>
      <c r="O539">
        <v>38.19</v>
      </c>
      <c r="P539">
        <v>1086.002</v>
      </c>
      <c r="Q539">
        <v>76</v>
      </c>
      <c r="R539">
        <v>13.45</v>
      </c>
    </row>
    <row r="540" spans="1:18" x14ac:dyDescent="0.25">
      <c r="A540" s="1" t="s">
        <v>187</v>
      </c>
      <c r="B540" s="3" t="s">
        <v>343</v>
      </c>
      <c r="C540" s="19">
        <v>45</v>
      </c>
      <c r="D540" s="3" t="s">
        <v>495</v>
      </c>
      <c r="E540" s="3" t="s">
        <v>555</v>
      </c>
      <c r="F540" s="23">
        <v>179900</v>
      </c>
      <c r="G540" s="15">
        <v>2006</v>
      </c>
      <c r="H540" s="15">
        <f>Table_7[[#This Row],[Listing Price (USD)]]/10000</f>
        <v>17.989999999999998</v>
      </c>
      <c r="I540" s="28">
        <f>Table_7[[#This Row],[Length 
(ft)]]</f>
        <v>45</v>
      </c>
      <c r="J540" s="28">
        <f>2020-Table_7[[#This Row],[Year]]</f>
        <v>14</v>
      </c>
      <c r="K540">
        <v>4200000000</v>
      </c>
      <c r="L540">
        <v>39553.199999999997</v>
      </c>
      <c r="M540">
        <v>1.23</v>
      </c>
      <c r="N540">
        <v>-2.1</v>
      </c>
      <c r="O540">
        <v>38.19</v>
      </c>
      <c r="P540">
        <v>1108.702</v>
      </c>
      <c r="Q540">
        <v>76</v>
      </c>
      <c r="R540">
        <v>13.45</v>
      </c>
    </row>
    <row r="541" spans="1:18" x14ac:dyDescent="0.25">
      <c r="A541" s="1" t="s">
        <v>187</v>
      </c>
      <c r="B541" s="3" t="s">
        <v>343</v>
      </c>
      <c r="C541" s="19">
        <v>45</v>
      </c>
      <c r="D541" s="3" t="s">
        <v>495</v>
      </c>
      <c r="E541" s="3" t="s">
        <v>550</v>
      </c>
      <c r="F541" s="23">
        <v>210000</v>
      </c>
      <c r="G541" s="15">
        <v>2008</v>
      </c>
      <c r="H541" s="15">
        <f>Table_7[[#This Row],[Listing Price (USD)]]/10000</f>
        <v>21</v>
      </c>
      <c r="I541" s="28">
        <f>Table_7[[#This Row],[Length 
(ft)]]</f>
        <v>45</v>
      </c>
      <c r="J541" s="28">
        <f>2020-Table_7[[#This Row],[Year]]</f>
        <v>12</v>
      </c>
      <c r="K541">
        <v>677561000000</v>
      </c>
      <c r="L541">
        <v>57466.28</v>
      </c>
      <c r="M541">
        <v>1.23</v>
      </c>
      <c r="N541">
        <v>3.5</v>
      </c>
      <c r="O541">
        <v>38.19</v>
      </c>
      <c r="P541">
        <v>1108.702</v>
      </c>
      <c r="Q541">
        <v>76</v>
      </c>
      <c r="R541">
        <v>13.45</v>
      </c>
    </row>
    <row r="542" spans="1:18" x14ac:dyDescent="0.25">
      <c r="A542" s="1" t="s">
        <v>269</v>
      </c>
      <c r="B542" s="2">
        <v>42</v>
      </c>
      <c r="C542" s="19">
        <v>42</v>
      </c>
      <c r="D542" s="3" t="s">
        <v>496</v>
      </c>
      <c r="E542" s="3" t="s">
        <v>19</v>
      </c>
      <c r="F542" s="23">
        <v>358393</v>
      </c>
      <c r="G542" s="15">
        <v>2007</v>
      </c>
      <c r="H542" s="15">
        <f>Table_7[[#This Row],[Listing Price (USD)]]/10000</f>
        <v>35.839300000000001</v>
      </c>
      <c r="I542" s="28">
        <f>Table_7[[#This Row],[Length 
(ft)]]</f>
        <v>42</v>
      </c>
      <c r="J542" s="28">
        <f>2020-Table_7[[#This Row],[Year]]</f>
        <v>13</v>
      </c>
      <c r="K542">
        <v>4200000000</v>
      </c>
      <c r="L542">
        <v>39553.199999999997</v>
      </c>
      <c r="M542">
        <v>4.0999999999999996</v>
      </c>
      <c r="N542">
        <v>-2.1</v>
      </c>
      <c r="O542">
        <v>33.5</v>
      </c>
      <c r="P542">
        <v>950</v>
      </c>
      <c r="Q542">
        <v>75</v>
      </c>
      <c r="R542">
        <v>13.33</v>
      </c>
    </row>
    <row r="543" spans="1:18" x14ac:dyDescent="0.25">
      <c r="A543" s="1" t="s">
        <v>269</v>
      </c>
      <c r="B543" s="2">
        <v>42</v>
      </c>
      <c r="C543" s="19">
        <v>42</v>
      </c>
      <c r="D543" s="3" t="s">
        <v>496</v>
      </c>
      <c r="E543" s="3" t="s">
        <v>19</v>
      </c>
      <c r="F543" s="23">
        <v>465645</v>
      </c>
      <c r="G543" s="15">
        <v>2013</v>
      </c>
      <c r="H543" s="15">
        <f>Table_7[[#This Row],[Listing Price (USD)]]/10000</f>
        <v>46.564500000000002</v>
      </c>
      <c r="I543" s="28">
        <f>Table_7[[#This Row],[Length 
(ft)]]</f>
        <v>42</v>
      </c>
      <c r="J543" s="28">
        <f>2020-Table_7[[#This Row],[Year]]</f>
        <v>7</v>
      </c>
      <c r="K543">
        <v>4200000000</v>
      </c>
      <c r="L543">
        <v>39553.199999999997</v>
      </c>
      <c r="M543">
        <v>4.0999999999999996</v>
      </c>
      <c r="N543">
        <v>-2.1</v>
      </c>
      <c r="O543">
        <v>33.5</v>
      </c>
      <c r="P543">
        <v>950</v>
      </c>
      <c r="Q543">
        <v>75</v>
      </c>
      <c r="R543">
        <v>13.33</v>
      </c>
    </row>
    <row r="544" spans="1:18" x14ac:dyDescent="0.25">
      <c r="A544" s="1" t="s">
        <v>281</v>
      </c>
      <c r="B544" s="2">
        <v>45</v>
      </c>
      <c r="C544" s="19">
        <v>46</v>
      </c>
      <c r="D544" s="3" t="s">
        <v>496</v>
      </c>
      <c r="E544" s="3" t="s">
        <v>9</v>
      </c>
      <c r="F544" s="23">
        <v>351047</v>
      </c>
      <c r="G544" s="15">
        <v>2007</v>
      </c>
      <c r="H544" s="15">
        <f>Table_7[[#This Row],[Listing Price (USD)]]/10000</f>
        <v>35.104700000000001</v>
      </c>
      <c r="I544" s="28">
        <f>Table_7[[#This Row],[Length 
(ft)]]</f>
        <v>46</v>
      </c>
      <c r="J544" s="28">
        <f>2020-Table_7[[#This Row],[Year]]</f>
        <v>13</v>
      </c>
      <c r="K544">
        <v>1276962685648.25</v>
      </c>
      <c r="L544">
        <v>26959.675436732599</v>
      </c>
      <c r="M544">
        <v>-0.32275301729970501</v>
      </c>
      <c r="N544">
        <v>-11.3254383222864</v>
      </c>
      <c r="O544">
        <v>39.04</v>
      </c>
      <c r="P544">
        <v>1130.21</v>
      </c>
      <c r="Q544">
        <v>75</v>
      </c>
      <c r="R544">
        <v>13.71</v>
      </c>
    </row>
    <row r="545" spans="1:18" x14ac:dyDescent="0.25">
      <c r="A545" s="1" t="s">
        <v>187</v>
      </c>
      <c r="B545" s="3">
        <v>49</v>
      </c>
      <c r="C545" s="19">
        <v>50</v>
      </c>
      <c r="D545" s="3" t="s">
        <v>495</v>
      </c>
      <c r="E545" s="3" t="s">
        <v>500</v>
      </c>
      <c r="F545" s="23">
        <v>259000</v>
      </c>
      <c r="G545" s="15">
        <v>2009</v>
      </c>
      <c r="H545" s="15">
        <f>Table_7[[#This Row],[Listing Price (USD)]]/10000</f>
        <v>25.9</v>
      </c>
      <c r="I545" s="28">
        <f>Table_7[[#This Row],[Length 
(ft)]]</f>
        <v>50</v>
      </c>
      <c r="J545" s="28">
        <f>2020-Table_7[[#This Row],[Year]]</f>
        <v>11</v>
      </c>
      <c r="K545">
        <v>3007188000000</v>
      </c>
      <c r="L545">
        <v>76131.839999999997</v>
      </c>
      <c r="M545">
        <v>1.23</v>
      </c>
      <c r="N545">
        <v>2.7</v>
      </c>
      <c r="O545">
        <v>44.13</v>
      </c>
      <c r="P545">
        <v>1281</v>
      </c>
      <c r="Q545">
        <v>74</v>
      </c>
      <c r="R545">
        <v>15.58</v>
      </c>
    </row>
    <row r="546" spans="1:18" x14ac:dyDescent="0.25">
      <c r="A546" s="1" t="s">
        <v>177</v>
      </c>
      <c r="B546" s="2">
        <v>495</v>
      </c>
      <c r="C546" s="19">
        <v>50</v>
      </c>
      <c r="D546" s="3" t="s">
        <v>496</v>
      </c>
      <c r="E546" s="3" t="s">
        <v>237</v>
      </c>
      <c r="F546" s="23">
        <v>291487</v>
      </c>
      <c r="G546" s="15">
        <v>2013</v>
      </c>
      <c r="H546" s="15">
        <f>Table_7[[#This Row],[Listing Price (USD)]]/10000</f>
        <v>29.148700000000002</v>
      </c>
      <c r="I546" s="28">
        <f>Table_7[[#This Row],[Length 
(ft)]]</f>
        <v>50</v>
      </c>
      <c r="J546" s="28">
        <f>2020-Table_7[[#This Row],[Year]]</f>
        <v>7</v>
      </c>
      <c r="K546">
        <v>229031860520.77701</v>
      </c>
      <c r="L546">
        <v>22242.406417972001</v>
      </c>
      <c r="M546">
        <v>-1.2438329957616699E-2</v>
      </c>
      <c r="N546">
        <v>-8.3005160422115107</v>
      </c>
      <c r="O546">
        <v>44.13</v>
      </c>
      <c r="P546">
        <v>1281</v>
      </c>
      <c r="Q546">
        <v>74</v>
      </c>
      <c r="R546">
        <v>15.58</v>
      </c>
    </row>
    <row r="547" spans="1:18" x14ac:dyDescent="0.25">
      <c r="A547" s="1" t="s">
        <v>177</v>
      </c>
      <c r="B547" s="2">
        <v>495</v>
      </c>
      <c r="C547" s="19">
        <v>50</v>
      </c>
      <c r="D547" s="3" t="s">
        <v>496</v>
      </c>
      <c r="E547" s="3" t="s">
        <v>18</v>
      </c>
      <c r="F547" s="23">
        <v>297601</v>
      </c>
      <c r="G547" s="15">
        <v>2013</v>
      </c>
      <c r="H547" s="15">
        <f>Table_7[[#This Row],[Listing Price (USD)]]/10000</f>
        <v>29.760100000000001</v>
      </c>
      <c r="I547" s="28">
        <f>Table_7[[#This Row],[Length 
(ft)]]</f>
        <v>50</v>
      </c>
      <c r="J547" s="28">
        <f>2020-Table_7[[#This Row],[Year]]</f>
        <v>7</v>
      </c>
      <c r="K547">
        <v>188925995936.80701</v>
      </c>
      <c r="L547">
        <v>17658.947301119199</v>
      </c>
      <c r="M547">
        <v>-1.2479835558140799</v>
      </c>
      <c r="N547">
        <v>-9.0040436420214593</v>
      </c>
      <c r="O547">
        <v>44.13</v>
      </c>
      <c r="P547">
        <v>1281</v>
      </c>
      <c r="Q547">
        <v>74</v>
      </c>
      <c r="R547">
        <v>15.58</v>
      </c>
    </row>
    <row r="548" spans="1:18" x14ac:dyDescent="0.25">
      <c r="A548" s="1" t="s">
        <v>177</v>
      </c>
      <c r="B548" s="2">
        <v>505</v>
      </c>
      <c r="C548" s="19">
        <v>50</v>
      </c>
      <c r="D548" s="3" t="s">
        <v>496</v>
      </c>
      <c r="E548" s="3" t="s">
        <v>31</v>
      </c>
      <c r="F548" s="23">
        <v>212572</v>
      </c>
      <c r="G548" s="15">
        <v>2015</v>
      </c>
      <c r="H548" s="15">
        <f>Table_7[[#This Row],[Listing Price (USD)]]/10000</f>
        <v>21.257200000000001</v>
      </c>
      <c r="I548" s="28">
        <f>Table_7[[#This Row],[Length 
(ft)]]</f>
        <v>50</v>
      </c>
      <c r="J548" s="28">
        <f>2020-Table_7[[#This Row],[Year]]</f>
        <v>5</v>
      </c>
      <c r="K548">
        <v>57472012426.685303</v>
      </c>
      <c r="L548">
        <v>14198.753959474399</v>
      </c>
      <c r="M548">
        <v>0.15481137456202801</v>
      </c>
      <c r="N548">
        <v>-8.5803430210621805</v>
      </c>
      <c r="O548">
        <v>44.13</v>
      </c>
      <c r="P548">
        <v>1281</v>
      </c>
      <c r="Q548">
        <v>74</v>
      </c>
      <c r="R548">
        <v>15.58</v>
      </c>
    </row>
    <row r="549" spans="1:18" x14ac:dyDescent="0.25">
      <c r="A549" s="1" t="s">
        <v>177</v>
      </c>
      <c r="B549" s="2">
        <v>505</v>
      </c>
      <c r="C549" s="19">
        <v>50</v>
      </c>
      <c r="D549" s="3" t="s">
        <v>496</v>
      </c>
      <c r="E549" s="3" t="s">
        <v>31</v>
      </c>
      <c r="F549" s="23">
        <v>227117</v>
      </c>
      <c r="G549" s="15">
        <v>2015</v>
      </c>
      <c r="H549" s="15">
        <f>Table_7[[#This Row],[Listing Price (USD)]]/10000</f>
        <v>22.7117</v>
      </c>
      <c r="I549" s="28">
        <f>Table_7[[#This Row],[Length 
(ft)]]</f>
        <v>50</v>
      </c>
      <c r="J549" s="28">
        <f>2020-Table_7[[#This Row],[Year]]</f>
        <v>5</v>
      </c>
      <c r="K549">
        <v>57472012426.685303</v>
      </c>
      <c r="L549">
        <v>14198.753959474399</v>
      </c>
      <c r="M549">
        <v>0.15481137456202801</v>
      </c>
      <c r="N549">
        <v>-8.5803430210621805</v>
      </c>
      <c r="O549">
        <v>44.13</v>
      </c>
      <c r="P549">
        <v>1281</v>
      </c>
      <c r="Q549">
        <v>74</v>
      </c>
      <c r="R549">
        <v>15.58</v>
      </c>
    </row>
    <row r="550" spans="1:18" x14ac:dyDescent="0.25">
      <c r="A550" s="1" t="s">
        <v>177</v>
      </c>
      <c r="B550" s="2">
        <v>505</v>
      </c>
      <c r="C550" s="19">
        <v>50</v>
      </c>
      <c r="D550" s="3" t="s">
        <v>496</v>
      </c>
      <c r="E550" s="3" t="s">
        <v>31</v>
      </c>
      <c r="F550" s="23">
        <v>229092</v>
      </c>
      <c r="G550" s="15">
        <v>2015</v>
      </c>
      <c r="H550" s="15">
        <f>Table_7[[#This Row],[Listing Price (USD)]]/10000</f>
        <v>22.909199999999998</v>
      </c>
      <c r="I550" s="28">
        <f>Table_7[[#This Row],[Length 
(ft)]]</f>
        <v>50</v>
      </c>
      <c r="J550" s="28">
        <f>2020-Table_7[[#This Row],[Year]]</f>
        <v>5</v>
      </c>
      <c r="K550">
        <v>57472012426.685303</v>
      </c>
      <c r="L550">
        <v>14198.753959474399</v>
      </c>
      <c r="M550">
        <v>0.15481137456202801</v>
      </c>
      <c r="N550">
        <v>-8.5803430210621805</v>
      </c>
      <c r="O550">
        <v>44.13</v>
      </c>
      <c r="P550">
        <v>1281</v>
      </c>
      <c r="Q550">
        <v>74</v>
      </c>
      <c r="R550">
        <v>15.58</v>
      </c>
    </row>
    <row r="551" spans="1:18" x14ac:dyDescent="0.25">
      <c r="A551" s="1" t="s">
        <v>177</v>
      </c>
      <c r="B551" s="2">
        <v>505</v>
      </c>
      <c r="C551" s="19">
        <v>50</v>
      </c>
      <c r="D551" s="3" t="s">
        <v>496</v>
      </c>
      <c r="E551" s="3" t="s">
        <v>31</v>
      </c>
      <c r="F551" s="23">
        <v>230792</v>
      </c>
      <c r="G551" s="15">
        <v>2014</v>
      </c>
      <c r="H551" s="15">
        <f>Table_7[[#This Row],[Listing Price (USD)]]/10000</f>
        <v>23.0792</v>
      </c>
      <c r="I551" s="28">
        <f>Table_7[[#This Row],[Length 
(ft)]]</f>
        <v>50</v>
      </c>
      <c r="J551" s="28">
        <f>2020-Table_7[[#This Row],[Year]]</f>
        <v>6</v>
      </c>
      <c r="K551">
        <v>57472012426.685303</v>
      </c>
      <c r="L551">
        <v>14198.753959474399</v>
      </c>
      <c r="M551">
        <v>0.15481137456202801</v>
      </c>
      <c r="N551">
        <v>-8.5803430210621805</v>
      </c>
      <c r="O551">
        <v>44.13</v>
      </c>
      <c r="P551">
        <v>1281</v>
      </c>
      <c r="Q551">
        <v>74</v>
      </c>
      <c r="R551">
        <v>15.58</v>
      </c>
    </row>
    <row r="552" spans="1:18" x14ac:dyDescent="0.25">
      <c r="A552" s="1" t="s">
        <v>177</v>
      </c>
      <c r="B552" s="2">
        <v>505</v>
      </c>
      <c r="C552" s="19">
        <v>50</v>
      </c>
      <c r="D552" s="3" t="s">
        <v>496</v>
      </c>
      <c r="E552" s="3" t="s">
        <v>31</v>
      </c>
      <c r="F552" s="23">
        <v>264768</v>
      </c>
      <c r="G552" s="15">
        <v>2016</v>
      </c>
      <c r="H552" s="15">
        <f>Table_7[[#This Row],[Listing Price (USD)]]/10000</f>
        <v>26.476800000000001</v>
      </c>
      <c r="I552" s="28">
        <f>Table_7[[#This Row],[Length 
(ft)]]</f>
        <v>50</v>
      </c>
      <c r="J552" s="28">
        <f>2020-Table_7[[#This Row],[Year]]</f>
        <v>4</v>
      </c>
      <c r="K552">
        <v>57472012426.685303</v>
      </c>
      <c r="L552">
        <v>14198.753959474399</v>
      </c>
      <c r="M552">
        <v>0.15481137456202801</v>
      </c>
      <c r="N552">
        <v>-8.5803430210621805</v>
      </c>
      <c r="O552">
        <v>44.13</v>
      </c>
      <c r="P552">
        <v>1281</v>
      </c>
      <c r="Q552">
        <v>74</v>
      </c>
      <c r="R552">
        <v>15.58</v>
      </c>
    </row>
    <row r="553" spans="1:18" x14ac:dyDescent="0.25">
      <c r="A553" s="1" t="s">
        <v>177</v>
      </c>
      <c r="B553" s="2">
        <v>505</v>
      </c>
      <c r="C553" s="19">
        <v>50</v>
      </c>
      <c r="D553" s="3" t="s">
        <v>496</v>
      </c>
      <c r="E553" s="3" t="s">
        <v>18</v>
      </c>
      <c r="F553" s="23">
        <v>321895</v>
      </c>
      <c r="G553" s="15">
        <v>2017</v>
      </c>
      <c r="H553" s="15">
        <f>Table_7[[#This Row],[Listing Price (USD)]]/10000</f>
        <v>32.189500000000002</v>
      </c>
      <c r="I553" s="28">
        <f>Table_7[[#This Row],[Length 
(ft)]]</f>
        <v>50</v>
      </c>
      <c r="J553" s="28">
        <f>2020-Table_7[[#This Row],[Year]]</f>
        <v>3</v>
      </c>
      <c r="K553">
        <v>188925995936.80701</v>
      </c>
      <c r="L553">
        <v>17658.947301119199</v>
      </c>
      <c r="M553">
        <v>-1.2479835558140799</v>
      </c>
      <c r="N553">
        <v>-9.0040436420214593</v>
      </c>
      <c r="O553">
        <v>44.13</v>
      </c>
      <c r="P553">
        <v>1281</v>
      </c>
      <c r="Q553">
        <v>74</v>
      </c>
      <c r="R553">
        <v>15.58</v>
      </c>
    </row>
    <row r="554" spans="1:18" x14ac:dyDescent="0.25">
      <c r="A554" s="1" t="s">
        <v>177</v>
      </c>
      <c r="B554" s="2">
        <v>505</v>
      </c>
      <c r="C554" s="19">
        <v>50</v>
      </c>
      <c r="D554" s="3" t="s">
        <v>496</v>
      </c>
      <c r="E554" s="3" t="s">
        <v>24</v>
      </c>
      <c r="F554" s="23">
        <v>321895</v>
      </c>
      <c r="G554" s="15">
        <v>2016</v>
      </c>
      <c r="H554" s="15">
        <f>Table_7[[#This Row],[Listing Price (USD)]]/10000</f>
        <v>32.189500000000002</v>
      </c>
      <c r="I554" s="28">
        <f>Table_7[[#This Row],[Length 
(ft)]]</f>
        <v>50</v>
      </c>
      <c r="J554" s="28">
        <f>2020-Table_7[[#This Row],[Year]]</f>
        <v>4</v>
      </c>
      <c r="K554">
        <v>1896755301518.1399</v>
      </c>
      <c r="L554">
        <v>31911.0357890017</v>
      </c>
      <c r="M554">
        <v>-0.13770757391656999</v>
      </c>
      <c r="N554">
        <v>-9.0399534112288507</v>
      </c>
      <c r="O554">
        <v>44.13</v>
      </c>
      <c r="P554">
        <v>1281</v>
      </c>
      <c r="Q554">
        <v>74</v>
      </c>
      <c r="R554">
        <v>15.58</v>
      </c>
    </row>
    <row r="555" spans="1:18" x14ac:dyDescent="0.25">
      <c r="A555" s="1" t="s">
        <v>177</v>
      </c>
      <c r="B555" s="2">
        <v>505</v>
      </c>
      <c r="C555" s="19">
        <v>50</v>
      </c>
      <c r="D555" s="3" t="s">
        <v>496</v>
      </c>
      <c r="E555" s="3" t="s">
        <v>9</v>
      </c>
      <c r="F555" s="23">
        <v>327362</v>
      </c>
      <c r="G555" s="15">
        <v>2017</v>
      </c>
      <c r="H555" s="15">
        <f>Table_7[[#This Row],[Listing Price (USD)]]/10000</f>
        <v>32.736199999999997</v>
      </c>
      <c r="I555" s="28">
        <f>Table_7[[#This Row],[Length 
(ft)]]</f>
        <v>50</v>
      </c>
      <c r="J555" s="28">
        <f>2020-Table_7[[#This Row],[Year]]</f>
        <v>3</v>
      </c>
      <c r="K555">
        <v>1276962685648.25</v>
      </c>
      <c r="L555">
        <v>26959.675436732599</v>
      </c>
      <c r="M555">
        <v>-0.32275301729970501</v>
      </c>
      <c r="N555">
        <v>-11.3254383222864</v>
      </c>
      <c r="O555">
        <v>44.13</v>
      </c>
      <c r="P555">
        <v>1281</v>
      </c>
      <c r="Q555">
        <v>74</v>
      </c>
      <c r="R555">
        <v>15.58</v>
      </c>
    </row>
    <row r="556" spans="1:18" x14ac:dyDescent="0.25">
      <c r="A556" s="1" t="s">
        <v>177</v>
      </c>
      <c r="B556" s="2">
        <v>505</v>
      </c>
      <c r="C556" s="19">
        <v>50</v>
      </c>
      <c r="D556" s="3" t="s">
        <v>496</v>
      </c>
      <c r="E556" s="3" t="s">
        <v>18</v>
      </c>
      <c r="F556" s="23">
        <v>327968</v>
      </c>
      <c r="G556" s="15">
        <v>2015</v>
      </c>
      <c r="H556" s="15">
        <f>Table_7[[#This Row],[Listing Price (USD)]]/10000</f>
        <v>32.796799999999998</v>
      </c>
      <c r="I556" s="28">
        <f>Table_7[[#This Row],[Length 
(ft)]]</f>
        <v>50</v>
      </c>
      <c r="J556" s="28">
        <f>2020-Table_7[[#This Row],[Year]]</f>
        <v>5</v>
      </c>
      <c r="K556">
        <v>188925995936.80701</v>
      </c>
      <c r="L556">
        <v>17658.947301119199</v>
      </c>
      <c r="M556">
        <v>-1.2479835558140799</v>
      </c>
      <c r="N556">
        <v>-9.0040436420214593</v>
      </c>
      <c r="O556">
        <v>44.13</v>
      </c>
      <c r="P556">
        <v>1281</v>
      </c>
      <c r="Q556">
        <v>74</v>
      </c>
      <c r="R556">
        <v>15.58</v>
      </c>
    </row>
    <row r="557" spans="1:18" x14ac:dyDescent="0.25">
      <c r="A557" s="1" t="s">
        <v>177</v>
      </c>
      <c r="B557" s="2">
        <v>505</v>
      </c>
      <c r="C557" s="19">
        <v>50</v>
      </c>
      <c r="D557" s="3" t="s">
        <v>496</v>
      </c>
      <c r="E557" s="3" t="s">
        <v>31</v>
      </c>
      <c r="F557" s="23">
        <v>334042</v>
      </c>
      <c r="G557" s="15">
        <v>2017</v>
      </c>
      <c r="H557" s="15">
        <f>Table_7[[#This Row],[Listing Price (USD)]]/10000</f>
        <v>33.404200000000003</v>
      </c>
      <c r="I557" s="28">
        <f>Table_7[[#This Row],[Length 
(ft)]]</f>
        <v>50</v>
      </c>
      <c r="J557" s="28">
        <f>2020-Table_7[[#This Row],[Year]]</f>
        <v>3</v>
      </c>
      <c r="K557">
        <v>57472012426.685303</v>
      </c>
      <c r="L557">
        <v>14198.753959474399</v>
      </c>
      <c r="M557">
        <v>0.15481137456202801</v>
      </c>
      <c r="N557">
        <v>-8.5803430210621805</v>
      </c>
      <c r="O557">
        <v>44.13</v>
      </c>
      <c r="P557">
        <v>1281</v>
      </c>
      <c r="Q557">
        <v>74</v>
      </c>
      <c r="R557">
        <v>15.58</v>
      </c>
    </row>
    <row r="558" spans="1:18" x14ac:dyDescent="0.25">
      <c r="A558" s="1" t="s">
        <v>177</v>
      </c>
      <c r="B558" s="2">
        <v>505</v>
      </c>
      <c r="C558" s="19">
        <v>50</v>
      </c>
      <c r="D558" s="3" t="s">
        <v>496</v>
      </c>
      <c r="E558" s="3" t="s">
        <v>3</v>
      </c>
      <c r="F558" s="23">
        <v>352262</v>
      </c>
      <c r="G558" s="15">
        <v>2014</v>
      </c>
      <c r="H558" s="15">
        <f>Table_7[[#This Row],[Listing Price (USD)]]/10000</f>
        <v>35.226199999999999</v>
      </c>
      <c r="I558" s="28">
        <f>Table_7[[#This Row],[Length 
(ft)]]</f>
        <v>50</v>
      </c>
      <c r="J558" s="28">
        <f>2020-Table_7[[#This Row],[Year]]</f>
        <v>6</v>
      </c>
      <c r="K558">
        <v>2639008701648.2598</v>
      </c>
      <c r="L558">
        <v>39055.282928075401</v>
      </c>
      <c r="M558">
        <v>0.47649885272508302</v>
      </c>
      <c r="N558">
        <v>-7.7845864916787102</v>
      </c>
      <c r="O558">
        <v>44.13</v>
      </c>
      <c r="P558">
        <v>1281</v>
      </c>
      <c r="Q558">
        <v>74</v>
      </c>
      <c r="R558">
        <v>15.58</v>
      </c>
    </row>
    <row r="559" spans="1:18" x14ac:dyDescent="0.25">
      <c r="A559" s="1" t="s">
        <v>177</v>
      </c>
      <c r="B559" s="2">
        <v>505</v>
      </c>
      <c r="C559" s="19">
        <v>50</v>
      </c>
      <c r="D559" s="3" t="s">
        <v>496</v>
      </c>
      <c r="E559" s="3" t="s">
        <v>3</v>
      </c>
      <c r="F559" s="23">
        <v>358287</v>
      </c>
      <c r="G559" s="15">
        <v>2014</v>
      </c>
      <c r="H559" s="15">
        <f>Table_7[[#This Row],[Listing Price (USD)]]/10000</f>
        <v>35.828699999999998</v>
      </c>
      <c r="I559" s="28">
        <f>Table_7[[#This Row],[Length 
(ft)]]</f>
        <v>50</v>
      </c>
      <c r="J559" s="28">
        <f>2020-Table_7[[#This Row],[Year]]</f>
        <v>6</v>
      </c>
      <c r="K559">
        <v>2639008701648.2598</v>
      </c>
      <c r="L559">
        <v>39055.282928075401</v>
      </c>
      <c r="M559">
        <v>0.47649885272508302</v>
      </c>
      <c r="N559">
        <v>-7.7845864916787102</v>
      </c>
      <c r="O559">
        <v>44.13</v>
      </c>
      <c r="P559">
        <v>1281</v>
      </c>
      <c r="Q559">
        <v>74</v>
      </c>
      <c r="R559">
        <v>15.58</v>
      </c>
    </row>
    <row r="560" spans="1:18" x14ac:dyDescent="0.25">
      <c r="A560" s="1" t="s">
        <v>177</v>
      </c>
      <c r="B560" s="2">
        <v>505</v>
      </c>
      <c r="C560" s="19">
        <v>50</v>
      </c>
      <c r="D560" s="3" t="s">
        <v>496</v>
      </c>
      <c r="E560" s="3" t="s">
        <v>24</v>
      </c>
      <c r="F560" s="23">
        <v>358287</v>
      </c>
      <c r="G560" s="15">
        <v>2013</v>
      </c>
      <c r="H560" s="15">
        <f>Table_7[[#This Row],[Listing Price (USD)]]/10000</f>
        <v>35.828699999999998</v>
      </c>
      <c r="I560" s="28">
        <f>Table_7[[#This Row],[Length 
(ft)]]</f>
        <v>50</v>
      </c>
      <c r="J560" s="28">
        <f>2020-Table_7[[#This Row],[Year]]</f>
        <v>7</v>
      </c>
      <c r="K560">
        <v>1896755301518.1399</v>
      </c>
      <c r="L560">
        <v>31911.0357890017</v>
      </c>
      <c r="M560">
        <v>-0.13770757391656999</v>
      </c>
      <c r="N560">
        <v>-9.0399534112288507</v>
      </c>
      <c r="O560">
        <v>44.13</v>
      </c>
      <c r="P560">
        <v>1281</v>
      </c>
      <c r="Q560">
        <v>74</v>
      </c>
      <c r="R560">
        <v>15.58</v>
      </c>
    </row>
    <row r="561" spans="1:18" x14ac:dyDescent="0.25">
      <c r="A561" s="1" t="s">
        <v>177</v>
      </c>
      <c r="B561" s="2">
        <v>505</v>
      </c>
      <c r="C561" s="19">
        <v>50</v>
      </c>
      <c r="D561" s="3" t="s">
        <v>496</v>
      </c>
      <c r="E561" s="3" t="s">
        <v>3</v>
      </c>
      <c r="F561" s="23">
        <v>412941</v>
      </c>
      <c r="G561" s="15">
        <v>2016</v>
      </c>
      <c r="H561" s="15">
        <f>Table_7[[#This Row],[Listing Price (USD)]]/10000</f>
        <v>41.2941</v>
      </c>
      <c r="I561" s="28">
        <f>Table_7[[#This Row],[Length 
(ft)]]</f>
        <v>50</v>
      </c>
      <c r="J561" s="28">
        <f>2020-Table_7[[#This Row],[Year]]</f>
        <v>4</v>
      </c>
      <c r="K561">
        <v>2639008701648.2598</v>
      </c>
      <c r="L561">
        <v>39055.282928075401</v>
      </c>
      <c r="M561">
        <v>0.47649885272508302</v>
      </c>
      <c r="N561">
        <v>-7.7845864916787102</v>
      </c>
      <c r="O561">
        <v>44.13</v>
      </c>
      <c r="P561">
        <v>1281</v>
      </c>
      <c r="Q561">
        <v>74</v>
      </c>
      <c r="R561">
        <v>15.58</v>
      </c>
    </row>
    <row r="562" spans="1:18" x14ac:dyDescent="0.25">
      <c r="A562" s="1" t="s">
        <v>177</v>
      </c>
      <c r="B562" s="2">
        <v>505</v>
      </c>
      <c r="C562" s="19">
        <v>50</v>
      </c>
      <c r="D562" s="3" t="s">
        <v>496</v>
      </c>
      <c r="E562" s="3" t="s">
        <v>9</v>
      </c>
      <c r="F562" s="23">
        <v>425144</v>
      </c>
      <c r="G562" s="15">
        <v>2015</v>
      </c>
      <c r="H562" s="15">
        <f>Table_7[[#This Row],[Listing Price (USD)]]/10000</f>
        <v>42.514400000000002</v>
      </c>
      <c r="I562" s="28">
        <f>Table_7[[#This Row],[Length 
(ft)]]</f>
        <v>50</v>
      </c>
      <c r="J562" s="28">
        <f>2020-Table_7[[#This Row],[Year]]</f>
        <v>5</v>
      </c>
      <c r="K562">
        <v>1276962685648.25</v>
      </c>
      <c r="L562">
        <v>26959.675436732599</v>
      </c>
      <c r="M562">
        <v>-0.32275301729970501</v>
      </c>
      <c r="N562">
        <v>-11.3254383222864</v>
      </c>
      <c r="O562">
        <v>44.13</v>
      </c>
      <c r="P562">
        <v>1281</v>
      </c>
      <c r="Q562">
        <v>74</v>
      </c>
      <c r="R562">
        <v>15.58</v>
      </c>
    </row>
    <row r="563" spans="1:18" x14ac:dyDescent="0.25">
      <c r="A563" s="1" t="s">
        <v>177</v>
      </c>
      <c r="B563" s="2">
        <v>508</v>
      </c>
      <c r="C563" s="19">
        <v>50</v>
      </c>
      <c r="D563" s="3" t="s">
        <v>496</v>
      </c>
      <c r="E563" s="3" t="s">
        <v>31</v>
      </c>
      <c r="F563" s="23">
        <v>321166</v>
      </c>
      <c r="G563" s="15">
        <v>2019</v>
      </c>
      <c r="H563" s="15">
        <f>Table_7[[#This Row],[Listing Price (USD)]]/10000</f>
        <v>32.116599999999998</v>
      </c>
      <c r="I563" s="28">
        <f>Table_7[[#This Row],[Length 
(ft)]]</f>
        <v>50</v>
      </c>
      <c r="J563" s="28">
        <f>2020-Table_7[[#This Row],[Year]]</f>
        <v>1</v>
      </c>
      <c r="K563">
        <v>57472012426.685303</v>
      </c>
      <c r="L563">
        <v>14198.753959474399</v>
      </c>
      <c r="M563">
        <v>0.15481137456202801</v>
      </c>
      <c r="N563">
        <v>-8.5803430210621805</v>
      </c>
      <c r="O563">
        <v>44.13</v>
      </c>
      <c r="P563">
        <v>1281</v>
      </c>
      <c r="Q563">
        <v>74</v>
      </c>
      <c r="R563">
        <v>15.58</v>
      </c>
    </row>
    <row r="564" spans="1:18" x14ac:dyDescent="0.25">
      <c r="A564" s="1" t="s">
        <v>177</v>
      </c>
      <c r="B564" s="2">
        <v>508</v>
      </c>
      <c r="C564" s="19">
        <v>50</v>
      </c>
      <c r="D564" s="3" t="s">
        <v>496</v>
      </c>
      <c r="E564" s="3" t="s">
        <v>31</v>
      </c>
      <c r="F564" s="23">
        <v>352019</v>
      </c>
      <c r="G564" s="15">
        <v>2019</v>
      </c>
      <c r="H564" s="15">
        <f>Table_7[[#This Row],[Listing Price (USD)]]/10000</f>
        <v>35.201900000000002</v>
      </c>
      <c r="I564" s="28">
        <f>Table_7[[#This Row],[Length 
(ft)]]</f>
        <v>50</v>
      </c>
      <c r="J564" s="28">
        <f>2020-Table_7[[#This Row],[Year]]</f>
        <v>1</v>
      </c>
      <c r="K564">
        <v>57472012426.685303</v>
      </c>
      <c r="L564">
        <v>14198.753959474399</v>
      </c>
      <c r="M564">
        <v>0.15481137456202801</v>
      </c>
      <c r="N564">
        <v>-8.5803430210621805</v>
      </c>
      <c r="O564">
        <v>44.13</v>
      </c>
      <c r="P564">
        <v>1281</v>
      </c>
      <c r="Q564">
        <v>74</v>
      </c>
      <c r="R564">
        <v>15.58</v>
      </c>
    </row>
    <row r="565" spans="1:18" x14ac:dyDescent="0.25">
      <c r="A565" s="1" t="s">
        <v>195</v>
      </c>
      <c r="B565" s="2">
        <v>509</v>
      </c>
      <c r="C565" s="19">
        <v>50</v>
      </c>
      <c r="D565" s="3" t="s">
        <v>496</v>
      </c>
      <c r="E565" s="3" t="s">
        <v>9</v>
      </c>
      <c r="F565" s="23">
        <v>352351</v>
      </c>
      <c r="G565" s="15">
        <v>2012</v>
      </c>
      <c r="H565" s="15">
        <f>Table_7[[#This Row],[Listing Price (USD)]]/10000</f>
        <v>35.235100000000003</v>
      </c>
      <c r="I565" s="28">
        <f>Table_7[[#This Row],[Length 
(ft)]]</f>
        <v>50</v>
      </c>
      <c r="J565" s="28">
        <f>2020-Table_7[[#This Row],[Year]]</f>
        <v>8</v>
      </c>
      <c r="K565">
        <v>1276962685648.25</v>
      </c>
      <c r="L565">
        <v>26959.675436732599</v>
      </c>
      <c r="M565">
        <v>-0.32275301729970501</v>
      </c>
      <c r="N565">
        <v>-11.3254383222864</v>
      </c>
      <c r="O565">
        <v>44.13</v>
      </c>
      <c r="P565">
        <v>1281</v>
      </c>
      <c r="Q565">
        <v>74</v>
      </c>
      <c r="R565">
        <v>15.58</v>
      </c>
    </row>
    <row r="566" spans="1:18" x14ac:dyDescent="0.25">
      <c r="A566" s="1" t="s">
        <v>14</v>
      </c>
      <c r="B566" s="2" t="s">
        <v>38</v>
      </c>
      <c r="C566" s="19">
        <v>50</v>
      </c>
      <c r="D566" s="3" t="s">
        <v>496</v>
      </c>
      <c r="E566" s="3" t="s">
        <v>31</v>
      </c>
      <c r="F566" s="23">
        <v>103249</v>
      </c>
      <c r="G566" s="15">
        <v>2005</v>
      </c>
      <c r="H566" s="15">
        <f>Table_7[[#This Row],[Listing Price (USD)]]/10000</f>
        <v>10.3249</v>
      </c>
      <c r="I566" s="28">
        <f>Table_7[[#This Row],[Length 
(ft)]]</f>
        <v>50</v>
      </c>
      <c r="J566" s="28">
        <f>2020-Table_7[[#This Row],[Year]]</f>
        <v>15</v>
      </c>
      <c r="K566">
        <v>57472012426.685303</v>
      </c>
      <c r="L566">
        <v>14198.753959474399</v>
      </c>
      <c r="M566">
        <v>0.15481137456202801</v>
      </c>
      <c r="N566">
        <v>-8.5803430210621805</v>
      </c>
      <c r="O566">
        <v>47.13</v>
      </c>
      <c r="P566">
        <v>0</v>
      </c>
      <c r="Q566">
        <v>74</v>
      </c>
      <c r="R566">
        <v>15.02</v>
      </c>
    </row>
    <row r="567" spans="1:18" x14ac:dyDescent="0.25">
      <c r="A567" s="1" t="s">
        <v>14</v>
      </c>
      <c r="B567" s="2" t="s">
        <v>38</v>
      </c>
      <c r="C567" s="19">
        <v>50</v>
      </c>
      <c r="D567" s="3" t="s">
        <v>496</v>
      </c>
      <c r="E567" s="3" t="s">
        <v>9</v>
      </c>
      <c r="F567" s="23">
        <v>145744</v>
      </c>
      <c r="G567" s="15">
        <v>2005</v>
      </c>
      <c r="H567" s="15">
        <f>Table_7[[#This Row],[Listing Price (USD)]]/10000</f>
        <v>14.574400000000001</v>
      </c>
      <c r="I567" s="28">
        <f>Table_7[[#This Row],[Length 
(ft)]]</f>
        <v>50</v>
      </c>
      <c r="J567" s="28">
        <f>2020-Table_7[[#This Row],[Year]]</f>
        <v>15</v>
      </c>
      <c r="K567">
        <v>1276962685648.25</v>
      </c>
      <c r="L567">
        <v>26959.675436732599</v>
      </c>
      <c r="M567">
        <v>-0.32275301729970501</v>
      </c>
      <c r="N567">
        <v>-11.3254383222864</v>
      </c>
      <c r="O567">
        <v>47.13</v>
      </c>
      <c r="P567">
        <v>0</v>
      </c>
      <c r="Q567">
        <v>74</v>
      </c>
      <c r="R567">
        <v>15.02</v>
      </c>
    </row>
    <row r="568" spans="1:18" x14ac:dyDescent="0.25">
      <c r="A568" s="1" t="s">
        <v>14</v>
      </c>
      <c r="B568" s="2" t="s">
        <v>44</v>
      </c>
      <c r="C568" s="19">
        <v>54</v>
      </c>
      <c r="D568" s="3" t="s">
        <v>496</v>
      </c>
      <c r="E568" s="3" t="s">
        <v>31</v>
      </c>
      <c r="F568" s="23">
        <v>176131</v>
      </c>
      <c r="G568" s="15">
        <v>2010</v>
      </c>
      <c r="H568" s="15">
        <f>Table_7[[#This Row],[Listing Price (USD)]]/10000</f>
        <v>17.613099999999999</v>
      </c>
      <c r="I568" s="28">
        <f>Table_7[[#This Row],[Length 
(ft)]]</f>
        <v>54</v>
      </c>
      <c r="J568" s="28">
        <f>2020-Table_7[[#This Row],[Year]]</f>
        <v>10</v>
      </c>
      <c r="K568">
        <v>57472012426.685303</v>
      </c>
      <c r="L568">
        <v>14198.753959474399</v>
      </c>
      <c r="M568">
        <v>0.15481137456202801</v>
      </c>
      <c r="N568">
        <v>-8.5803430210621805</v>
      </c>
      <c r="O568">
        <v>51.28</v>
      </c>
      <c r="P568">
        <v>1560.002</v>
      </c>
      <c r="Q568">
        <v>74</v>
      </c>
      <c r="R568">
        <v>15.62</v>
      </c>
    </row>
    <row r="569" spans="1:18" x14ac:dyDescent="0.25">
      <c r="A569" s="1" t="s">
        <v>14</v>
      </c>
      <c r="B569" s="2" t="s">
        <v>44</v>
      </c>
      <c r="C569" s="19">
        <v>54</v>
      </c>
      <c r="D569" s="3" t="s">
        <v>496</v>
      </c>
      <c r="E569" s="3" t="s">
        <v>24</v>
      </c>
      <c r="F569" s="23">
        <v>236866</v>
      </c>
      <c r="G569" s="15">
        <v>2014</v>
      </c>
      <c r="H569" s="15">
        <f>Table_7[[#This Row],[Listing Price (USD)]]/10000</f>
        <v>23.686599999999999</v>
      </c>
      <c r="I569" s="28">
        <f>Table_7[[#This Row],[Length 
(ft)]]</f>
        <v>54</v>
      </c>
      <c r="J569" s="28">
        <f>2020-Table_7[[#This Row],[Year]]</f>
        <v>6</v>
      </c>
      <c r="K569">
        <v>1896755301518.1399</v>
      </c>
      <c r="L569">
        <v>31911.0357890017</v>
      </c>
      <c r="M569">
        <v>-0.13770757391656999</v>
      </c>
      <c r="N569">
        <v>-9.0399534112288507</v>
      </c>
      <c r="O569">
        <v>51.28</v>
      </c>
      <c r="P569">
        <v>1560.002</v>
      </c>
      <c r="Q569">
        <v>74</v>
      </c>
      <c r="R569">
        <v>15.62</v>
      </c>
    </row>
    <row r="570" spans="1:18" x14ac:dyDescent="0.25">
      <c r="A570" s="1" t="s">
        <v>14</v>
      </c>
      <c r="B570" s="2" t="s">
        <v>44</v>
      </c>
      <c r="C570" s="19">
        <v>54</v>
      </c>
      <c r="D570" s="3" t="s">
        <v>496</v>
      </c>
      <c r="E570" s="3" t="s">
        <v>63</v>
      </c>
      <c r="F570" s="23">
        <v>236866</v>
      </c>
      <c r="G570" s="15">
        <v>2009</v>
      </c>
      <c r="H570" s="15">
        <f>Table_7[[#This Row],[Listing Price (USD)]]/10000</f>
        <v>23.686599999999999</v>
      </c>
      <c r="I570" s="28">
        <f>Table_7[[#This Row],[Length 
(ft)]]</f>
        <v>54</v>
      </c>
      <c r="J570" s="28">
        <f>2020-Table_7[[#This Row],[Year]]</f>
        <v>11</v>
      </c>
      <c r="K570">
        <v>720290000000</v>
      </c>
      <c r="L570">
        <v>13341.6</v>
      </c>
      <c r="M570">
        <v>13</v>
      </c>
      <c r="N570">
        <v>-3</v>
      </c>
      <c r="O570">
        <v>51.28</v>
      </c>
      <c r="P570">
        <v>1560.002</v>
      </c>
      <c r="Q570">
        <v>74</v>
      </c>
      <c r="R570">
        <v>15.62</v>
      </c>
    </row>
    <row r="571" spans="1:18" x14ac:dyDescent="0.25">
      <c r="A571" s="1" t="s">
        <v>14</v>
      </c>
      <c r="B571" s="2" t="s">
        <v>44</v>
      </c>
      <c r="C571" s="19">
        <v>54</v>
      </c>
      <c r="D571" s="3" t="s">
        <v>496</v>
      </c>
      <c r="E571" s="3" t="s">
        <v>18</v>
      </c>
      <c r="F571" s="23">
        <v>241725</v>
      </c>
      <c r="G571" s="15">
        <v>2012</v>
      </c>
      <c r="H571" s="15">
        <f>Table_7[[#This Row],[Listing Price (USD)]]/10000</f>
        <v>24.172499999999999</v>
      </c>
      <c r="I571" s="28">
        <f>Table_7[[#This Row],[Length 
(ft)]]</f>
        <v>54</v>
      </c>
      <c r="J571" s="28">
        <f>2020-Table_7[[#This Row],[Year]]</f>
        <v>8</v>
      </c>
      <c r="K571">
        <v>188925995936.80701</v>
      </c>
      <c r="L571">
        <v>17658.947301119199</v>
      </c>
      <c r="M571">
        <v>-1.2479835558140799</v>
      </c>
      <c r="N571">
        <v>-9.0040436420214593</v>
      </c>
      <c r="O571">
        <v>51.28</v>
      </c>
      <c r="P571">
        <v>1560.002</v>
      </c>
      <c r="Q571">
        <v>74</v>
      </c>
      <c r="R571">
        <v>15.62</v>
      </c>
    </row>
    <row r="572" spans="1:18" x14ac:dyDescent="0.25">
      <c r="A572" s="1" t="s">
        <v>14</v>
      </c>
      <c r="B572" s="2" t="s">
        <v>44</v>
      </c>
      <c r="C572" s="19">
        <v>54</v>
      </c>
      <c r="D572" s="3" t="s">
        <v>496</v>
      </c>
      <c r="E572" s="3" t="s">
        <v>18</v>
      </c>
      <c r="F572" s="23">
        <v>242939</v>
      </c>
      <c r="G572" s="15">
        <v>2012</v>
      </c>
      <c r="H572" s="15">
        <f>Table_7[[#This Row],[Listing Price (USD)]]/10000</f>
        <v>24.293900000000001</v>
      </c>
      <c r="I572" s="28">
        <f>Table_7[[#This Row],[Length 
(ft)]]</f>
        <v>54</v>
      </c>
      <c r="J572" s="28">
        <f>2020-Table_7[[#This Row],[Year]]</f>
        <v>8</v>
      </c>
      <c r="K572">
        <v>188925995936.80701</v>
      </c>
      <c r="L572">
        <v>17658.947301119199</v>
      </c>
      <c r="M572">
        <v>-1.2479835558140799</v>
      </c>
      <c r="N572">
        <v>-9.0040436420214593</v>
      </c>
      <c r="O572">
        <v>51.28</v>
      </c>
      <c r="P572">
        <v>1560.002</v>
      </c>
      <c r="Q572">
        <v>74</v>
      </c>
      <c r="R572">
        <v>15.62</v>
      </c>
    </row>
    <row r="573" spans="1:18" x14ac:dyDescent="0.25">
      <c r="A573" s="1" t="s">
        <v>14</v>
      </c>
      <c r="B573" s="2" t="s">
        <v>44</v>
      </c>
      <c r="C573" s="19">
        <v>54</v>
      </c>
      <c r="D573" s="3" t="s">
        <v>496</v>
      </c>
      <c r="E573" s="3" t="s">
        <v>18</v>
      </c>
      <c r="F573" s="23">
        <v>242939</v>
      </c>
      <c r="G573" s="15">
        <v>2010</v>
      </c>
      <c r="H573" s="15">
        <f>Table_7[[#This Row],[Listing Price (USD)]]/10000</f>
        <v>24.293900000000001</v>
      </c>
      <c r="I573" s="28">
        <f>Table_7[[#This Row],[Length 
(ft)]]</f>
        <v>54</v>
      </c>
      <c r="J573" s="28">
        <f>2020-Table_7[[#This Row],[Year]]</f>
        <v>10</v>
      </c>
      <c r="K573">
        <v>188925995936.80701</v>
      </c>
      <c r="L573">
        <v>17658.947301119199</v>
      </c>
      <c r="M573">
        <v>-1.2479835558140799</v>
      </c>
      <c r="N573">
        <v>-9.0040436420214593</v>
      </c>
      <c r="O573">
        <v>51.28</v>
      </c>
      <c r="P573">
        <v>1560.002</v>
      </c>
      <c r="Q573">
        <v>74</v>
      </c>
      <c r="R573">
        <v>15.62</v>
      </c>
    </row>
    <row r="574" spans="1:18" x14ac:dyDescent="0.25">
      <c r="A574" s="1" t="s">
        <v>14</v>
      </c>
      <c r="B574" s="2" t="s">
        <v>44</v>
      </c>
      <c r="C574" s="19">
        <v>54</v>
      </c>
      <c r="D574" s="3" t="s">
        <v>496</v>
      </c>
      <c r="E574" s="3" t="s">
        <v>31</v>
      </c>
      <c r="F574" s="23">
        <v>253837</v>
      </c>
      <c r="G574" s="15">
        <v>2011</v>
      </c>
      <c r="H574" s="15">
        <f>Table_7[[#This Row],[Listing Price (USD)]]/10000</f>
        <v>25.383700000000001</v>
      </c>
      <c r="I574" s="28">
        <f>Table_7[[#This Row],[Length 
(ft)]]</f>
        <v>54</v>
      </c>
      <c r="J574" s="28">
        <f>2020-Table_7[[#This Row],[Year]]</f>
        <v>9</v>
      </c>
      <c r="K574">
        <v>57472012426.685303</v>
      </c>
      <c r="L574">
        <v>14198.753959474399</v>
      </c>
      <c r="M574">
        <v>0.15481137456202801</v>
      </c>
      <c r="N574">
        <v>-8.5803430210621805</v>
      </c>
      <c r="O574">
        <v>51.28</v>
      </c>
      <c r="P574">
        <v>1560.002</v>
      </c>
      <c r="Q574">
        <v>74</v>
      </c>
      <c r="R574">
        <v>15.62</v>
      </c>
    </row>
    <row r="575" spans="1:18" x14ac:dyDescent="0.25">
      <c r="A575" s="1" t="s">
        <v>14</v>
      </c>
      <c r="B575" s="2" t="s">
        <v>44</v>
      </c>
      <c r="C575" s="19">
        <v>54</v>
      </c>
      <c r="D575" s="3" t="s">
        <v>496</v>
      </c>
      <c r="E575" s="3" t="s">
        <v>63</v>
      </c>
      <c r="F575" s="23">
        <v>255052</v>
      </c>
      <c r="G575" s="15">
        <v>2010</v>
      </c>
      <c r="H575" s="15">
        <f>Table_7[[#This Row],[Listing Price (USD)]]/10000</f>
        <v>25.505199999999999</v>
      </c>
      <c r="I575" s="28">
        <f>Table_7[[#This Row],[Length 
(ft)]]</f>
        <v>54</v>
      </c>
      <c r="J575" s="28">
        <f>2020-Table_7[[#This Row],[Year]]</f>
        <v>10</v>
      </c>
      <c r="K575">
        <v>720290000001</v>
      </c>
      <c r="L575">
        <v>13341.6</v>
      </c>
      <c r="M575">
        <v>13</v>
      </c>
      <c r="N575">
        <v>-3</v>
      </c>
      <c r="O575">
        <v>51.28</v>
      </c>
      <c r="P575">
        <v>1560.002</v>
      </c>
      <c r="Q575">
        <v>74</v>
      </c>
      <c r="R575">
        <v>15.62</v>
      </c>
    </row>
    <row r="576" spans="1:18" x14ac:dyDescent="0.25">
      <c r="A576" s="1" t="s">
        <v>14</v>
      </c>
      <c r="B576" s="2" t="s">
        <v>44</v>
      </c>
      <c r="C576" s="19">
        <v>54</v>
      </c>
      <c r="D576" s="3" t="s">
        <v>496</v>
      </c>
      <c r="E576" s="3" t="s">
        <v>18</v>
      </c>
      <c r="F576" s="23">
        <v>264804</v>
      </c>
      <c r="G576" s="15">
        <v>2012</v>
      </c>
      <c r="H576" s="15">
        <f>Table_7[[#This Row],[Listing Price (USD)]]/10000</f>
        <v>26.480399999999999</v>
      </c>
      <c r="I576" s="28">
        <f>Table_7[[#This Row],[Length 
(ft)]]</f>
        <v>54</v>
      </c>
      <c r="J576" s="28">
        <f>2020-Table_7[[#This Row],[Year]]</f>
        <v>8</v>
      </c>
      <c r="K576">
        <v>188925995936.80701</v>
      </c>
      <c r="L576">
        <v>17658.947301119199</v>
      </c>
      <c r="M576">
        <v>-1.2479835558140799</v>
      </c>
      <c r="N576">
        <v>-9.0040436420214593</v>
      </c>
      <c r="O576">
        <v>51.28</v>
      </c>
      <c r="P576">
        <v>1560.002</v>
      </c>
      <c r="Q576">
        <v>74</v>
      </c>
      <c r="R576">
        <v>15.62</v>
      </c>
    </row>
    <row r="577" spans="1:18" x14ac:dyDescent="0.25">
      <c r="A577" s="1" t="s">
        <v>14</v>
      </c>
      <c r="B577" s="2" t="s">
        <v>44</v>
      </c>
      <c r="C577" s="19">
        <v>54</v>
      </c>
      <c r="D577" s="3" t="s">
        <v>496</v>
      </c>
      <c r="E577" s="3" t="s">
        <v>9</v>
      </c>
      <c r="F577" s="23">
        <v>267233</v>
      </c>
      <c r="G577" s="15">
        <v>2010</v>
      </c>
      <c r="H577" s="15">
        <f>Table_7[[#This Row],[Listing Price (USD)]]/10000</f>
        <v>26.723299999999998</v>
      </c>
      <c r="I577" s="28">
        <f>Table_7[[#This Row],[Length 
(ft)]]</f>
        <v>54</v>
      </c>
      <c r="J577" s="28">
        <f>2020-Table_7[[#This Row],[Year]]</f>
        <v>10</v>
      </c>
      <c r="K577">
        <v>1276962685648.25</v>
      </c>
      <c r="L577">
        <v>26959.675436732599</v>
      </c>
      <c r="M577">
        <v>-0.32275301729970501</v>
      </c>
      <c r="N577">
        <v>-11.3254383222864</v>
      </c>
      <c r="O577">
        <v>51.28</v>
      </c>
      <c r="P577">
        <v>1560.002</v>
      </c>
      <c r="Q577">
        <v>74</v>
      </c>
      <c r="R577">
        <v>15.62</v>
      </c>
    </row>
    <row r="578" spans="1:18" x14ac:dyDescent="0.25">
      <c r="A578" s="1" t="s">
        <v>14</v>
      </c>
      <c r="B578" s="2" t="s">
        <v>44</v>
      </c>
      <c r="C578" s="19">
        <v>54</v>
      </c>
      <c r="D578" s="3" t="s">
        <v>496</v>
      </c>
      <c r="E578" s="3" t="s">
        <v>31</v>
      </c>
      <c r="F578" s="23">
        <v>278165</v>
      </c>
      <c r="G578" s="15">
        <v>2015</v>
      </c>
      <c r="H578" s="15">
        <f>Table_7[[#This Row],[Listing Price (USD)]]/10000</f>
        <v>27.816500000000001</v>
      </c>
      <c r="I578" s="28">
        <f>Table_7[[#This Row],[Length 
(ft)]]</f>
        <v>54</v>
      </c>
      <c r="J578" s="28">
        <f>2020-Table_7[[#This Row],[Year]]</f>
        <v>5</v>
      </c>
      <c r="K578">
        <v>57472012426.685303</v>
      </c>
      <c r="L578">
        <v>14198.753959474399</v>
      </c>
      <c r="M578">
        <v>0.15481137456202801</v>
      </c>
      <c r="N578">
        <v>-8.5803430210621805</v>
      </c>
      <c r="O578">
        <v>51.28</v>
      </c>
      <c r="P578">
        <v>1560.002</v>
      </c>
      <c r="Q578">
        <v>74</v>
      </c>
      <c r="R578">
        <v>15.62</v>
      </c>
    </row>
    <row r="579" spans="1:18" x14ac:dyDescent="0.25">
      <c r="A579" s="1" t="s">
        <v>14</v>
      </c>
      <c r="B579" s="2" t="s">
        <v>44</v>
      </c>
      <c r="C579" s="19">
        <v>54</v>
      </c>
      <c r="D579" s="3" t="s">
        <v>496</v>
      </c>
      <c r="E579" s="3" t="s">
        <v>31</v>
      </c>
      <c r="F579" s="23">
        <v>279380</v>
      </c>
      <c r="G579" s="15">
        <v>2011</v>
      </c>
      <c r="H579" s="15">
        <f>Table_7[[#This Row],[Listing Price (USD)]]/10000</f>
        <v>27.937999999999999</v>
      </c>
      <c r="I579" s="28">
        <f>Table_7[[#This Row],[Length 
(ft)]]</f>
        <v>54</v>
      </c>
      <c r="J579" s="28">
        <f>2020-Table_7[[#This Row],[Year]]</f>
        <v>9</v>
      </c>
      <c r="K579">
        <v>57472012426.685303</v>
      </c>
      <c r="L579">
        <v>14198.753959474399</v>
      </c>
      <c r="M579">
        <v>0.15481137456202801</v>
      </c>
      <c r="N579">
        <v>-8.5803430210621805</v>
      </c>
      <c r="O579">
        <v>51.28</v>
      </c>
      <c r="P579">
        <v>1560.002</v>
      </c>
      <c r="Q579">
        <v>74</v>
      </c>
      <c r="R579">
        <v>15.62</v>
      </c>
    </row>
    <row r="580" spans="1:18" x14ac:dyDescent="0.25">
      <c r="A580" s="1" t="s">
        <v>14</v>
      </c>
      <c r="B580" s="2" t="s">
        <v>44</v>
      </c>
      <c r="C580" s="19">
        <v>54</v>
      </c>
      <c r="D580" s="3" t="s">
        <v>496</v>
      </c>
      <c r="E580" s="3" t="s">
        <v>9</v>
      </c>
      <c r="F580" s="23">
        <v>279380</v>
      </c>
      <c r="G580" s="15">
        <v>2012</v>
      </c>
      <c r="H580" s="15">
        <f>Table_7[[#This Row],[Listing Price (USD)]]/10000</f>
        <v>27.937999999999999</v>
      </c>
      <c r="I580" s="28">
        <f>Table_7[[#This Row],[Length 
(ft)]]</f>
        <v>54</v>
      </c>
      <c r="J580" s="28">
        <f>2020-Table_7[[#This Row],[Year]]</f>
        <v>8</v>
      </c>
      <c r="K580">
        <v>1276962685648.25</v>
      </c>
      <c r="L580">
        <v>26959.675436732599</v>
      </c>
      <c r="M580">
        <v>-0.32275301729970501</v>
      </c>
      <c r="N580">
        <v>-11.3254383222864</v>
      </c>
      <c r="O580">
        <v>51.28</v>
      </c>
      <c r="P580">
        <v>1560.002</v>
      </c>
      <c r="Q580">
        <v>74</v>
      </c>
      <c r="R580">
        <v>15.62</v>
      </c>
    </row>
    <row r="581" spans="1:18" x14ac:dyDescent="0.25">
      <c r="A581" s="1" t="s">
        <v>14</v>
      </c>
      <c r="B581" s="2" t="s">
        <v>44</v>
      </c>
      <c r="C581" s="19">
        <v>54</v>
      </c>
      <c r="D581" s="3" t="s">
        <v>496</v>
      </c>
      <c r="E581" s="3" t="s">
        <v>3</v>
      </c>
      <c r="F581" s="23">
        <v>285454</v>
      </c>
      <c r="G581" s="15">
        <v>2015</v>
      </c>
      <c r="H581" s="15">
        <f>Table_7[[#This Row],[Listing Price (USD)]]/10000</f>
        <v>28.545400000000001</v>
      </c>
      <c r="I581" s="28">
        <f>Table_7[[#This Row],[Length 
(ft)]]</f>
        <v>54</v>
      </c>
      <c r="J581" s="28">
        <f>2020-Table_7[[#This Row],[Year]]</f>
        <v>5</v>
      </c>
      <c r="K581">
        <v>2639008701648.2598</v>
      </c>
      <c r="L581">
        <v>39055.282928075401</v>
      </c>
      <c r="M581">
        <v>0.47649885272508302</v>
      </c>
      <c r="N581">
        <v>-7.7845864916787102</v>
      </c>
      <c r="O581">
        <v>51.28</v>
      </c>
      <c r="P581">
        <v>1560.002</v>
      </c>
      <c r="Q581">
        <v>74</v>
      </c>
      <c r="R581">
        <v>15.62</v>
      </c>
    </row>
    <row r="582" spans="1:18" x14ac:dyDescent="0.25">
      <c r="A582" s="1" t="s">
        <v>14</v>
      </c>
      <c r="B582" s="2" t="s">
        <v>44</v>
      </c>
      <c r="C582" s="19">
        <v>54</v>
      </c>
      <c r="D582" s="3" t="s">
        <v>496</v>
      </c>
      <c r="E582" s="3" t="s">
        <v>18</v>
      </c>
      <c r="F582" s="23">
        <v>285454</v>
      </c>
      <c r="G582" s="15">
        <v>2015</v>
      </c>
      <c r="H582" s="15">
        <f>Table_7[[#This Row],[Listing Price (USD)]]/10000</f>
        <v>28.545400000000001</v>
      </c>
      <c r="I582" s="28">
        <f>Table_7[[#This Row],[Length 
(ft)]]</f>
        <v>54</v>
      </c>
      <c r="J582" s="28">
        <f>2020-Table_7[[#This Row],[Year]]</f>
        <v>5</v>
      </c>
      <c r="K582">
        <v>188925995936.80701</v>
      </c>
      <c r="L582">
        <v>17658.947301119199</v>
      </c>
      <c r="M582">
        <v>-1.2479835558140799</v>
      </c>
      <c r="N582">
        <v>-9.0040436420214593</v>
      </c>
      <c r="O582">
        <v>51.28</v>
      </c>
      <c r="P582">
        <v>1560.002</v>
      </c>
      <c r="Q582">
        <v>74</v>
      </c>
      <c r="R582">
        <v>15.62</v>
      </c>
    </row>
    <row r="583" spans="1:18" x14ac:dyDescent="0.25">
      <c r="A583" s="1" t="s">
        <v>14</v>
      </c>
      <c r="B583" s="2" t="s">
        <v>44</v>
      </c>
      <c r="C583" s="19">
        <v>54</v>
      </c>
      <c r="D583" s="3" t="s">
        <v>496</v>
      </c>
      <c r="E583" s="3" t="s">
        <v>24</v>
      </c>
      <c r="F583" s="23">
        <v>285454</v>
      </c>
      <c r="G583" s="15">
        <v>2015</v>
      </c>
      <c r="H583" s="15">
        <f>Table_7[[#This Row],[Listing Price (USD)]]/10000</f>
        <v>28.545400000000001</v>
      </c>
      <c r="I583" s="28">
        <f>Table_7[[#This Row],[Length 
(ft)]]</f>
        <v>54</v>
      </c>
      <c r="J583" s="28">
        <f>2020-Table_7[[#This Row],[Year]]</f>
        <v>5</v>
      </c>
      <c r="K583">
        <v>1896755301518.1399</v>
      </c>
      <c r="L583">
        <v>31911.0357890017</v>
      </c>
      <c r="M583">
        <v>-0.13770757391656999</v>
      </c>
      <c r="N583">
        <v>-9.0399534112288507</v>
      </c>
      <c r="O583">
        <v>51.28</v>
      </c>
      <c r="P583">
        <v>1560.002</v>
      </c>
      <c r="Q583">
        <v>74</v>
      </c>
      <c r="R583">
        <v>15.62</v>
      </c>
    </row>
    <row r="584" spans="1:18" x14ac:dyDescent="0.25">
      <c r="A584" s="1" t="s">
        <v>14</v>
      </c>
      <c r="B584" s="2" t="s">
        <v>44</v>
      </c>
      <c r="C584" s="19">
        <v>54</v>
      </c>
      <c r="D584" s="3" t="s">
        <v>496</v>
      </c>
      <c r="E584" s="3" t="s">
        <v>31</v>
      </c>
      <c r="F584" s="23">
        <v>302459</v>
      </c>
      <c r="G584" s="15">
        <v>2013</v>
      </c>
      <c r="H584" s="15">
        <f>Table_7[[#This Row],[Listing Price (USD)]]/10000</f>
        <v>30.245899999999999</v>
      </c>
      <c r="I584" s="28">
        <f>Table_7[[#This Row],[Length 
(ft)]]</f>
        <v>54</v>
      </c>
      <c r="J584" s="28">
        <f>2020-Table_7[[#This Row],[Year]]</f>
        <v>7</v>
      </c>
      <c r="K584">
        <v>57472012426.685303</v>
      </c>
      <c r="L584">
        <v>14198.753959474399</v>
      </c>
      <c r="M584">
        <v>0.15481137456202801</v>
      </c>
      <c r="N584">
        <v>-8.5803430210621805</v>
      </c>
      <c r="O584">
        <v>51.28</v>
      </c>
      <c r="P584">
        <v>1560.002</v>
      </c>
      <c r="Q584">
        <v>74</v>
      </c>
      <c r="R584">
        <v>15.62</v>
      </c>
    </row>
    <row r="585" spans="1:18" x14ac:dyDescent="0.25">
      <c r="A585" s="1" t="s">
        <v>14</v>
      </c>
      <c r="B585" s="2" t="s">
        <v>44</v>
      </c>
      <c r="C585" s="19">
        <v>54</v>
      </c>
      <c r="D585" s="3" t="s">
        <v>496</v>
      </c>
      <c r="E585" s="3" t="s">
        <v>18</v>
      </c>
      <c r="F585" s="23">
        <v>302459</v>
      </c>
      <c r="G585" s="15">
        <v>2015</v>
      </c>
      <c r="H585" s="15">
        <f>Table_7[[#This Row],[Listing Price (USD)]]/10000</f>
        <v>30.245899999999999</v>
      </c>
      <c r="I585" s="28">
        <f>Table_7[[#This Row],[Length 
(ft)]]</f>
        <v>54</v>
      </c>
      <c r="J585" s="28">
        <f>2020-Table_7[[#This Row],[Year]]</f>
        <v>5</v>
      </c>
      <c r="K585">
        <v>188925995936.80701</v>
      </c>
      <c r="L585">
        <v>17658.947301119199</v>
      </c>
      <c r="M585">
        <v>-1.2479835558140799</v>
      </c>
      <c r="N585">
        <v>-9.0040436420214593</v>
      </c>
      <c r="O585">
        <v>51.28</v>
      </c>
      <c r="P585">
        <v>1560.002</v>
      </c>
      <c r="Q585">
        <v>74</v>
      </c>
      <c r="R585">
        <v>15.62</v>
      </c>
    </row>
    <row r="586" spans="1:18" x14ac:dyDescent="0.25">
      <c r="A586" s="1" t="s">
        <v>14</v>
      </c>
      <c r="B586" s="2" t="s">
        <v>44</v>
      </c>
      <c r="C586" s="19">
        <v>54</v>
      </c>
      <c r="D586" s="3" t="s">
        <v>496</v>
      </c>
      <c r="E586" s="3" t="s">
        <v>31</v>
      </c>
      <c r="F586" s="23">
        <v>303674</v>
      </c>
      <c r="G586" s="15">
        <v>2014</v>
      </c>
      <c r="H586" s="15">
        <f>Table_7[[#This Row],[Listing Price (USD)]]/10000</f>
        <v>30.3674</v>
      </c>
      <c r="I586" s="28">
        <f>Table_7[[#This Row],[Length 
(ft)]]</f>
        <v>54</v>
      </c>
      <c r="J586" s="28">
        <f>2020-Table_7[[#This Row],[Year]]</f>
        <v>6</v>
      </c>
      <c r="K586">
        <v>57472012426.685303</v>
      </c>
      <c r="L586">
        <v>14198.753959474399</v>
      </c>
      <c r="M586">
        <v>0.15481137456202801</v>
      </c>
      <c r="N586">
        <v>-8.5803430210621805</v>
      </c>
      <c r="O586">
        <v>51.28</v>
      </c>
      <c r="P586">
        <v>1560.002</v>
      </c>
      <c r="Q586">
        <v>74</v>
      </c>
      <c r="R586">
        <v>15.62</v>
      </c>
    </row>
    <row r="587" spans="1:18" x14ac:dyDescent="0.25">
      <c r="A587" s="1" t="s">
        <v>14</v>
      </c>
      <c r="B587" s="2" t="s">
        <v>44</v>
      </c>
      <c r="C587" s="19">
        <v>54</v>
      </c>
      <c r="D587" s="3" t="s">
        <v>496</v>
      </c>
      <c r="E587" s="3" t="s">
        <v>9</v>
      </c>
      <c r="F587" s="23">
        <v>303674</v>
      </c>
      <c r="G587" s="15">
        <v>2012</v>
      </c>
      <c r="H587" s="15">
        <f>Table_7[[#This Row],[Listing Price (USD)]]/10000</f>
        <v>30.3674</v>
      </c>
      <c r="I587" s="28">
        <f>Table_7[[#This Row],[Length 
(ft)]]</f>
        <v>54</v>
      </c>
      <c r="J587" s="28">
        <f>2020-Table_7[[#This Row],[Year]]</f>
        <v>8</v>
      </c>
      <c r="K587">
        <v>1276962685648.25</v>
      </c>
      <c r="L587">
        <v>26959.675436732599</v>
      </c>
      <c r="M587">
        <v>-0.32275301729970501</v>
      </c>
      <c r="N587">
        <v>-11.3254383222864</v>
      </c>
      <c r="O587">
        <v>51.28</v>
      </c>
      <c r="P587">
        <v>1560.002</v>
      </c>
      <c r="Q587">
        <v>74</v>
      </c>
      <c r="R587">
        <v>15.62</v>
      </c>
    </row>
    <row r="588" spans="1:18" x14ac:dyDescent="0.25">
      <c r="A588" s="1" t="s">
        <v>14</v>
      </c>
      <c r="B588" s="2" t="s">
        <v>44</v>
      </c>
      <c r="C588" s="19">
        <v>54</v>
      </c>
      <c r="D588" s="3" t="s">
        <v>496</v>
      </c>
      <c r="E588" s="3" t="s">
        <v>31</v>
      </c>
      <c r="F588" s="23">
        <v>308533</v>
      </c>
      <c r="G588" s="15">
        <v>2015</v>
      </c>
      <c r="H588" s="15">
        <f>Table_7[[#This Row],[Listing Price (USD)]]/10000</f>
        <v>30.853300000000001</v>
      </c>
      <c r="I588" s="28">
        <f>Table_7[[#This Row],[Length 
(ft)]]</f>
        <v>54</v>
      </c>
      <c r="J588" s="28">
        <f>2020-Table_7[[#This Row],[Year]]</f>
        <v>5</v>
      </c>
      <c r="K588">
        <v>57472012426.685303</v>
      </c>
      <c r="L588">
        <v>14198.753959474399</v>
      </c>
      <c r="M588">
        <v>0.15481137456202801</v>
      </c>
      <c r="N588">
        <v>-8.5803430210621805</v>
      </c>
      <c r="O588">
        <v>51.28</v>
      </c>
      <c r="P588">
        <v>1560.002</v>
      </c>
      <c r="Q588">
        <v>74</v>
      </c>
      <c r="R588">
        <v>15.62</v>
      </c>
    </row>
    <row r="589" spans="1:18" x14ac:dyDescent="0.25">
      <c r="A589" s="1" t="s">
        <v>14</v>
      </c>
      <c r="B589" s="2" t="s">
        <v>44</v>
      </c>
      <c r="C589" s="19">
        <v>54</v>
      </c>
      <c r="D589" s="3" t="s">
        <v>496</v>
      </c>
      <c r="E589" s="3" t="s">
        <v>9</v>
      </c>
      <c r="F589" s="23">
        <v>321895</v>
      </c>
      <c r="G589" s="15">
        <v>2012</v>
      </c>
      <c r="H589" s="15">
        <f>Table_7[[#This Row],[Listing Price (USD)]]/10000</f>
        <v>32.189500000000002</v>
      </c>
      <c r="I589" s="28">
        <f>Table_7[[#This Row],[Length 
(ft)]]</f>
        <v>54</v>
      </c>
      <c r="J589" s="28">
        <f>2020-Table_7[[#This Row],[Year]]</f>
        <v>8</v>
      </c>
      <c r="K589">
        <v>1276962685648.25</v>
      </c>
      <c r="L589">
        <v>26959.675436732599</v>
      </c>
      <c r="M589">
        <v>-0.32275301729970501</v>
      </c>
      <c r="N589">
        <v>-11.3254383222864</v>
      </c>
      <c r="O589">
        <v>51.28</v>
      </c>
      <c r="P589">
        <v>1560.002</v>
      </c>
      <c r="Q589">
        <v>74</v>
      </c>
      <c r="R589">
        <v>15.62</v>
      </c>
    </row>
    <row r="590" spans="1:18" x14ac:dyDescent="0.25">
      <c r="A590" s="1" t="s">
        <v>14</v>
      </c>
      <c r="B590" s="2" t="s">
        <v>44</v>
      </c>
      <c r="C590" s="19">
        <v>54</v>
      </c>
      <c r="D590" s="3" t="s">
        <v>496</v>
      </c>
      <c r="E590" s="3" t="s">
        <v>9</v>
      </c>
      <c r="F590" s="23">
        <v>334042</v>
      </c>
      <c r="G590" s="15">
        <v>2015</v>
      </c>
      <c r="H590" s="15">
        <f>Table_7[[#This Row],[Listing Price (USD)]]/10000</f>
        <v>33.404200000000003</v>
      </c>
      <c r="I590" s="28">
        <f>Table_7[[#This Row],[Length 
(ft)]]</f>
        <v>54</v>
      </c>
      <c r="J590" s="28">
        <f>2020-Table_7[[#This Row],[Year]]</f>
        <v>5</v>
      </c>
      <c r="K590">
        <v>1276962685648.25</v>
      </c>
      <c r="L590">
        <v>26959.675436732599</v>
      </c>
      <c r="M590">
        <v>-0.32275301729970501</v>
      </c>
      <c r="N590">
        <v>-11.3254383222864</v>
      </c>
      <c r="O590">
        <v>51.28</v>
      </c>
      <c r="P590">
        <v>1560.002</v>
      </c>
      <c r="Q590">
        <v>74</v>
      </c>
      <c r="R590">
        <v>15.62</v>
      </c>
    </row>
    <row r="591" spans="1:18" x14ac:dyDescent="0.25">
      <c r="A591" s="1" t="s">
        <v>14</v>
      </c>
      <c r="B591" s="2" t="s">
        <v>44</v>
      </c>
      <c r="C591" s="19">
        <v>54</v>
      </c>
      <c r="D591" s="3" t="s">
        <v>496</v>
      </c>
      <c r="E591" s="3" t="s">
        <v>9</v>
      </c>
      <c r="F591" s="23">
        <v>358287</v>
      </c>
      <c r="G591" s="15">
        <v>2012</v>
      </c>
      <c r="H591" s="15">
        <f>Table_7[[#This Row],[Listing Price (USD)]]/10000</f>
        <v>35.828699999999998</v>
      </c>
      <c r="I591" s="28">
        <f>Table_7[[#This Row],[Length 
(ft)]]</f>
        <v>54</v>
      </c>
      <c r="J591" s="28">
        <f>2020-Table_7[[#This Row],[Year]]</f>
        <v>8</v>
      </c>
      <c r="K591">
        <v>1276962685648.25</v>
      </c>
      <c r="L591">
        <v>26959.675436732599</v>
      </c>
      <c r="M591">
        <v>-0.32275301729970501</v>
      </c>
      <c r="N591">
        <v>-11.3254383222864</v>
      </c>
      <c r="O591">
        <v>51.28</v>
      </c>
      <c r="P591">
        <v>1560.002</v>
      </c>
      <c r="Q591">
        <v>74</v>
      </c>
      <c r="R591">
        <v>15.62</v>
      </c>
    </row>
    <row r="592" spans="1:18" x14ac:dyDescent="0.25">
      <c r="A592" s="1" t="s">
        <v>14</v>
      </c>
      <c r="B592" s="2" t="s">
        <v>44</v>
      </c>
      <c r="C592" s="19">
        <v>54</v>
      </c>
      <c r="D592" s="3" t="s">
        <v>496</v>
      </c>
      <c r="E592" s="3" t="s">
        <v>9</v>
      </c>
      <c r="F592" s="23">
        <v>358350</v>
      </c>
      <c r="G592" s="15">
        <v>2012</v>
      </c>
      <c r="H592" s="15">
        <f>Table_7[[#This Row],[Listing Price (USD)]]/10000</f>
        <v>35.835000000000001</v>
      </c>
      <c r="I592" s="28">
        <f>Table_7[[#This Row],[Length 
(ft)]]</f>
        <v>54</v>
      </c>
      <c r="J592" s="28">
        <f>2020-Table_7[[#This Row],[Year]]</f>
        <v>8</v>
      </c>
      <c r="K592">
        <v>1276962685648.25</v>
      </c>
      <c r="L592">
        <v>26959.675436732599</v>
      </c>
      <c r="M592">
        <v>-0.32275301729970501</v>
      </c>
      <c r="N592">
        <v>-11.3254383222864</v>
      </c>
      <c r="O592">
        <v>51.28</v>
      </c>
      <c r="P592">
        <v>1560.002</v>
      </c>
      <c r="Q592">
        <v>74</v>
      </c>
      <c r="R592">
        <v>15.62</v>
      </c>
    </row>
    <row r="593" spans="1:18" x14ac:dyDescent="0.25">
      <c r="A593" s="1" t="s">
        <v>14</v>
      </c>
      <c r="B593" s="2" t="s">
        <v>44</v>
      </c>
      <c r="C593" s="19">
        <v>54</v>
      </c>
      <c r="D593" s="3" t="s">
        <v>496</v>
      </c>
      <c r="E593" s="3" t="s">
        <v>24</v>
      </c>
      <c r="F593" s="23">
        <v>364409</v>
      </c>
      <c r="G593" s="15">
        <v>2015</v>
      </c>
      <c r="H593" s="15">
        <f>Table_7[[#This Row],[Listing Price (USD)]]/10000</f>
        <v>36.440899999999999</v>
      </c>
      <c r="I593" s="28">
        <f>Table_7[[#This Row],[Length 
(ft)]]</f>
        <v>54</v>
      </c>
      <c r="J593" s="28">
        <f>2020-Table_7[[#This Row],[Year]]</f>
        <v>5</v>
      </c>
      <c r="K593">
        <v>1896755301518.1399</v>
      </c>
      <c r="L593">
        <v>31911.0357890017</v>
      </c>
      <c r="M593">
        <v>-0.13770757391656999</v>
      </c>
      <c r="N593">
        <v>-9.0399534112288507</v>
      </c>
      <c r="O593">
        <v>51.28</v>
      </c>
      <c r="P593">
        <v>1560.002</v>
      </c>
      <c r="Q593">
        <v>74</v>
      </c>
      <c r="R593">
        <v>15.62</v>
      </c>
    </row>
    <row r="594" spans="1:18" x14ac:dyDescent="0.25">
      <c r="A594" s="1" t="s">
        <v>14</v>
      </c>
      <c r="B594" s="2" t="s">
        <v>44</v>
      </c>
      <c r="C594" s="19">
        <v>54</v>
      </c>
      <c r="D594" s="3" t="s">
        <v>496</v>
      </c>
      <c r="E594" s="3" t="s">
        <v>24</v>
      </c>
      <c r="F594" s="23">
        <v>364409</v>
      </c>
      <c r="G594" s="15">
        <v>2014</v>
      </c>
      <c r="H594" s="15">
        <f>Table_7[[#This Row],[Listing Price (USD)]]/10000</f>
        <v>36.440899999999999</v>
      </c>
      <c r="I594" s="28">
        <f>Table_7[[#This Row],[Length 
(ft)]]</f>
        <v>54</v>
      </c>
      <c r="J594" s="28">
        <f>2020-Table_7[[#This Row],[Year]]</f>
        <v>6</v>
      </c>
      <c r="K594">
        <v>1896755301518.1399</v>
      </c>
      <c r="L594">
        <v>31911.0357890017</v>
      </c>
      <c r="M594">
        <v>-0.13770757391656999</v>
      </c>
      <c r="N594">
        <v>-9.0399534112288507</v>
      </c>
      <c r="O594">
        <v>51.28</v>
      </c>
      <c r="P594">
        <v>1560.002</v>
      </c>
      <c r="Q594">
        <v>74</v>
      </c>
      <c r="R594">
        <v>15.62</v>
      </c>
    </row>
    <row r="595" spans="1:18" x14ac:dyDescent="0.25">
      <c r="A595" s="1" t="s">
        <v>14</v>
      </c>
      <c r="B595" s="2" t="s">
        <v>44</v>
      </c>
      <c r="C595" s="19">
        <v>54</v>
      </c>
      <c r="D595" s="3" t="s">
        <v>496</v>
      </c>
      <c r="E595" s="3" t="s">
        <v>63</v>
      </c>
      <c r="F595" s="23">
        <v>394776</v>
      </c>
      <c r="G595" s="15">
        <v>2013</v>
      </c>
      <c r="H595" s="15">
        <f>Table_7[[#This Row],[Listing Price (USD)]]/10000</f>
        <v>39.477600000000002</v>
      </c>
      <c r="I595" s="28">
        <f>Table_7[[#This Row],[Length 
(ft)]]</f>
        <v>54</v>
      </c>
      <c r="J595" s="28">
        <f>2020-Table_7[[#This Row],[Year]]</f>
        <v>7</v>
      </c>
      <c r="K595">
        <v>720290000000</v>
      </c>
      <c r="L595">
        <v>13341.6</v>
      </c>
      <c r="M595">
        <v>13</v>
      </c>
      <c r="N595">
        <v>-3</v>
      </c>
      <c r="O595">
        <v>51.28</v>
      </c>
      <c r="P595">
        <v>1560.002</v>
      </c>
      <c r="Q595">
        <v>74</v>
      </c>
      <c r="R595">
        <v>15.62</v>
      </c>
    </row>
    <row r="596" spans="1:18" x14ac:dyDescent="0.25">
      <c r="A596" s="1" t="s">
        <v>14</v>
      </c>
      <c r="B596" s="2" t="s">
        <v>44</v>
      </c>
      <c r="C596" s="19">
        <v>54</v>
      </c>
      <c r="D596" s="3" t="s">
        <v>496</v>
      </c>
      <c r="E596" s="3" t="s">
        <v>547</v>
      </c>
      <c r="F596" s="23">
        <v>734791</v>
      </c>
      <c r="G596" s="15">
        <v>2017</v>
      </c>
      <c r="H596" s="15">
        <f>Table_7[[#This Row],[Listing Price (USD)]]/10000</f>
        <v>73.479100000000003</v>
      </c>
      <c r="I596" s="28">
        <f>Table_7[[#This Row],[Length 
(ft)]]</f>
        <v>54</v>
      </c>
      <c r="J596" s="28">
        <f>2020-Table_7[[#This Row],[Year]]</f>
        <v>3</v>
      </c>
      <c r="K596">
        <v>6739691604.7972603</v>
      </c>
      <c r="L596">
        <v>182538.63834021101</v>
      </c>
      <c r="M596">
        <v>3</v>
      </c>
      <c r="N596">
        <v>-12.965134706814601</v>
      </c>
      <c r="O596">
        <v>51.28</v>
      </c>
      <c r="P596">
        <v>1560.002</v>
      </c>
      <c r="Q596">
        <v>74</v>
      </c>
      <c r="R596">
        <v>15.62</v>
      </c>
    </row>
    <row r="597" spans="1:18" x14ac:dyDescent="0.25">
      <c r="A597" s="1" t="s">
        <v>329</v>
      </c>
      <c r="B597" s="3">
        <v>42</v>
      </c>
      <c r="C597" s="19">
        <v>46</v>
      </c>
      <c r="D597" s="3" t="s">
        <v>495</v>
      </c>
      <c r="E597" s="3" t="s">
        <v>521</v>
      </c>
      <c r="F597" s="23">
        <v>270000</v>
      </c>
      <c r="G597" s="15">
        <v>2005</v>
      </c>
      <c r="H597" s="15">
        <f>Table_7[[#This Row],[Listing Price (USD)]]/10000</f>
        <v>27</v>
      </c>
      <c r="I597" s="28">
        <f>Table_7[[#This Row],[Length 
(ft)]]</f>
        <v>46</v>
      </c>
      <c r="J597" s="28">
        <f>2020-Table_7[[#This Row],[Year]]</f>
        <v>15</v>
      </c>
      <c r="K597">
        <v>60556000000</v>
      </c>
      <c r="L597">
        <v>55240.56</v>
      </c>
      <c r="M597">
        <v>3</v>
      </c>
      <c r="N597">
        <v>2.2000000000000002</v>
      </c>
      <c r="O597">
        <v>32</v>
      </c>
      <c r="P597">
        <v>909</v>
      </c>
      <c r="Q597">
        <v>72</v>
      </c>
      <c r="R597">
        <v>12.67</v>
      </c>
    </row>
    <row r="598" spans="1:18" x14ac:dyDescent="0.25">
      <c r="A598" s="1" t="s">
        <v>329</v>
      </c>
      <c r="B598" s="3">
        <v>42</v>
      </c>
      <c r="C598" s="19">
        <v>46</v>
      </c>
      <c r="D598" s="3" t="s">
        <v>495</v>
      </c>
      <c r="E598" s="3" t="s">
        <v>521</v>
      </c>
      <c r="F598" s="23">
        <v>349000</v>
      </c>
      <c r="G598" s="15">
        <v>2006</v>
      </c>
      <c r="H598" s="15">
        <f>Table_7[[#This Row],[Listing Price (USD)]]/10000</f>
        <v>34.9</v>
      </c>
      <c r="I598" s="28">
        <f>Table_7[[#This Row],[Length 
(ft)]]</f>
        <v>46</v>
      </c>
      <c r="J598" s="28">
        <f>2020-Table_7[[#This Row],[Year]]</f>
        <v>14</v>
      </c>
      <c r="K598">
        <v>60556000000</v>
      </c>
      <c r="L598">
        <v>55240.56</v>
      </c>
      <c r="M598">
        <v>3</v>
      </c>
      <c r="N598">
        <v>2.2000000000000002</v>
      </c>
      <c r="O598">
        <v>32</v>
      </c>
      <c r="P598">
        <v>909</v>
      </c>
      <c r="Q598">
        <v>72</v>
      </c>
      <c r="R598">
        <v>12.67</v>
      </c>
    </row>
    <row r="599" spans="1:18" x14ac:dyDescent="0.25">
      <c r="A599" s="1" t="s">
        <v>143</v>
      </c>
      <c r="B599" s="2" t="s">
        <v>152</v>
      </c>
      <c r="C599" s="19">
        <v>44</v>
      </c>
      <c r="D599" s="3" t="s">
        <v>496</v>
      </c>
      <c r="E599" s="3" t="s">
        <v>31</v>
      </c>
      <c r="F599" s="23">
        <v>84786</v>
      </c>
      <c r="G599" s="15">
        <v>2007</v>
      </c>
      <c r="H599" s="15">
        <f>Table_7[[#This Row],[Listing Price (USD)]]/10000</f>
        <v>8.4786000000000001</v>
      </c>
      <c r="I599" s="28">
        <f>Table_7[[#This Row],[Length 
(ft)]]</f>
        <v>44</v>
      </c>
      <c r="J599" s="28">
        <f>2020-Table_7[[#This Row],[Year]]</f>
        <v>13</v>
      </c>
      <c r="K599">
        <v>57472012426.685303</v>
      </c>
      <c r="L599">
        <v>14198.753959474399</v>
      </c>
      <c r="M599">
        <v>0.15481137456202801</v>
      </c>
      <c r="N599">
        <v>-8.5803430210621805</v>
      </c>
      <c r="O599">
        <v>37.57</v>
      </c>
      <c r="P599">
        <v>928.00199999999995</v>
      </c>
      <c r="Q599">
        <v>71</v>
      </c>
      <c r="R599">
        <v>13.71</v>
      </c>
    </row>
    <row r="600" spans="1:18" x14ac:dyDescent="0.25">
      <c r="A600" s="1" t="s">
        <v>143</v>
      </c>
      <c r="B600" s="2" t="s">
        <v>152</v>
      </c>
      <c r="C600" s="19">
        <v>44</v>
      </c>
      <c r="D600" s="3" t="s">
        <v>496</v>
      </c>
      <c r="E600" s="3" t="s">
        <v>31</v>
      </c>
      <c r="F600" s="23">
        <v>109080</v>
      </c>
      <c r="G600" s="15">
        <v>2006</v>
      </c>
      <c r="H600" s="15">
        <f>Table_7[[#This Row],[Listing Price (USD)]]/10000</f>
        <v>10.907999999999999</v>
      </c>
      <c r="I600" s="28">
        <f>Table_7[[#This Row],[Length 
(ft)]]</f>
        <v>44</v>
      </c>
      <c r="J600" s="28">
        <f>2020-Table_7[[#This Row],[Year]]</f>
        <v>14</v>
      </c>
      <c r="K600">
        <v>57472012426.685303</v>
      </c>
      <c r="L600">
        <v>14198.753959474399</v>
      </c>
      <c r="M600">
        <v>0.15481137456202801</v>
      </c>
      <c r="N600">
        <v>-8.5803430210621805</v>
      </c>
      <c r="O600">
        <v>37.57</v>
      </c>
      <c r="P600">
        <v>928.00199999999995</v>
      </c>
      <c r="Q600">
        <v>71</v>
      </c>
      <c r="R600">
        <v>13.71</v>
      </c>
    </row>
    <row r="601" spans="1:18" x14ac:dyDescent="0.25">
      <c r="A601" s="1" t="s">
        <v>143</v>
      </c>
      <c r="B601" s="2" t="s">
        <v>151</v>
      </c>
      <c r="C601" s="19">
        <v>44</v>
      </c>
      <c r="D601" s="3" t="s">
        <v>496</v>
      </c>
      <c r="E601" s="3" t="s">
        <v>31</v>
      </c>
      <c r="F601" s="23">
        <v>83814</v>
      </c>
      <c r="G601" s="15">
        <v>2007</v>
      </c>
      <c r="H601" s="15">
        <f>Table_7[[#This Row],[Listing Price (USD)]]/10000</f>
        <v>8.3813999999999993</v>
      </c>
      <c r="I601" s="28">
        <f>Table_7[[#This Row],[Length 
(ft)]]</f>
        <v>44</v>
      </c>
      <c r="J601" s="28">
        <f>2020-Table_7[[#This Row],[Year]]</f>
        <v>13</v>
      </c>
      <c r="K601">
        <v>57472012426.685303</v>
      </c>
      <c r="L601">
        <v>14198.753959474399</v>
      </c>
      <c r="M601">
        <v>0.15481137456202801</v>
      </c>
      <c r="N601">
        <v>-8.5803430210621805</v>
      </c>
      <c r="O601">
        <v>37.57</v>
      </c>
      <c r="P601">
        <v>928.00199999999995</v>
      </c>
      <c r="Q601">
        <v>71</v>
      </c>
      <c r="R601">
        <v>13.71</v>
      </c>
    </row>
    <row r="602" spans="1:18" x14ac:dyDescent="0.25">
      <c r="A602" s="1" t="s">
        <v>143</v>
      </c>
      <c r="B602" s="2" t="s">
        <v>151</v>
      </c>
      <c r="C602" s="19">
        <v>44</v>
      </c>
      <c r="D602" s="3" t="s">
        <v>496</v>
      </c>
      <c r="E602" s="3" t="s">
        <v>31</v>
      </c>
      <c r="F602" s="23">
        <v>91102</v>
      </c>
      <c r="G602" s="15">
        <v>2005</v>
      </c>
      <c r="H602" s="15">
        <f>Table_7[[#This Row],[Listing Price (USD)]]/10000</f>
        <v>9.1102000000000007</v>
      </c>
      <c r="I602" s="28">
        <f>Table_7[[#This Row],[Length 
(ft)]]</f>
        <v>44</v>
      </c>
      <c r="J602" s="28">
        <f>2020-Table_7[[#This Row],[Year]]</f>
        <v>15</v>
      </c>
      <c r="K602">
        <v>57472012426.685303</v>
      </c>
      <c r="L602">
        <v>14198.753959474399</v>
      </c>
      <c r="M602">
        <v>0.15481137456202801</v>
      </c>
      <c r="N602">
        <v>-8.5803430210621805</v>
      </c>
      <c r="O602">
        <v>37.57</v>
      </c>
      <c r="P602">
        <v>928.00199999999995</v>
      </c>
      <c r="Q602">
        <v>71</v>
      </c>
      <c r="R602">
        <v>13.71</v>
      </c>
    </row>
    <row r="603" spans="1:18" x14ac:dyDescent="0.25">
      <c r="A603" s="1" t="s">
        <v>143</v>
      </c>
      <c r="B603" s="2" t="s">
        <v>151</v>
      </c>
      <c r="C603" s="19">
        <v>44</v>
      </c>
      <c r="D603" s="3" t="s">
        <v>496</v>
      </c>
      <c r="E603" s="3" t="s">
        <v>31</v>
      </c>
      <c r="F603" s="23">
        <v>101913</v>
      </c>
      <c r="G603" s="15">
        <v>2008</v>
      </c>
      <c r="H603" s="15">
        <f>Table_7[[#This Row],[Listing Price (USD)]]/10000</f>
        <v>10.1913</v>
      </c>
      <c r="I603" s="28">
        <f>Table_7[[#This Row],[Length 
(ft)]]</f>
        <v>44</v>
      </c>
      <c r="J603" s="28">
        <f>2020-Table_7[[#This Row],[Year]]</f>
        <v>12</v>
      </c>
      <c r="K603">
        <v>57472012426.685303</v>
      </c>
      <c r="L603">
        <v>14198.753959474399</v>
      </c>
      <c r="M603">
        <v>0.15481137456202801</v>
      </c>
      <c r="N603">
        <v>-8.5803430210621805</v>
      </c>
      <c r="O603">
        <v>37.57</v>
      </c>
      <c r="P603">
        <v>928.00199999999995</v>
      </c>
      <c r="Q603">
        <v>71</v>
      </c>
      <c r="R603">
        <v>13.71</v>
      </c>
    </row>
    <row r="604" spans="1:18" x14ac:dyDescent="0.25">
      <c r="A604" s="1" t="s">
        <v>143</v>
      </c>
      <c r="B604" s="2" t="s">
        <v>151</v>
      </c>
      <c r="C604" s="19">
        <v>44</v>
      </c>
      <c r="D604" s="3" t="s">
        <v>496</v>
      </c>
      <c r="E604" s="3" t="s">
        <v>31</v>
      </c>
      <c r="F604" s="23">
        <v>103128</v>
      </c>
      <c r="G604" s="15">
        <v>2009</v>
      </c>
      <c r="H604" s="15">
        <f>Table_7[[#This Row],[Listing Price (USD)]]/10000</f>
        <v>10.312799999999999</v>
      </c>
      <c r="I604" s="28">
        <f>Table_7[[#This Row],[Length 
(ft)]]</f>
        <v>44</v>
      </c>
      <c r="J604" s="28">
        <f>2020-Table_7[[#This Row],[Year]]</f>
        <v>11</v>
      </c>
      <c r="K604">
        <v>57472012426.685303</v>
      </c>
      <c r="L604">
        <v>14198.753959474399</v>
      </c>
      <c r="M604">
        <v>0.15481137456202801</v>
      </c>
      <c r="N604">
        <v>-8.5803430210621805</v>
      </c>
      <c r="O604">
        <v>37.57</v>
      </c>
      <c r="P604">
        <v>928.00199999999995</v>
      </c>
      <c r="Q604">
        <v>71</v>
      </c>
      <c r="R604">
        <v>13.71</v>
      </c>
    </row>
    <row r="605" spans="1:18" x14ac:dyDescent="0.25">
      <c r="A605" s="1" t="s">
        <v>143</v>
      </c>
      <c r="B605" s="2" t="s">
        <v>151</v>
      </c>
      <c r="C605" s="19">
        <v>44</v>
      </c>
      <c r="D605" s="3" t="s">
        <v>496</v>
      </c>
      <c r="E605" s="3" t="s">
        <v>9</v>
      </c>
      <c r="F605" s="23">
        <v>106893</v>
      </c>
      <c r="G605" s="15">
        <v>2006</v>
      </c>
      <c r="H605" s="15">
        <f>Table_7[[#This Row],[Listing Price (USD)]]/10000</f>
        <v>10.689299999999999</v>
      </c>
      <c r="I605" s="28">
        <f>Table_7[[#This Row],[Length 
(ft)]]</f>
        <v>44</v>
      </c>
      <c r="J605" s="28">
        <f>2020-Table_7[[#This Row],[Year]]</f>
        <v>14</v>
      </c>
      <c r="K605">
        <v>1276962685648.25</v>
      </c>
      <c r="L605">
        <v>26959.675436732599</v>
      </c>
      <c r="M605">
        <v>-0.32275301729970501</v>
      </c>
      <c r="N605">
        <v>-11.3254383222864</v>
      </c>
      <c r="O605">
        <v>37.57</v>
      </c>
      <c r="P605">
        <v>928.00199999999995</v>
      </c>
      <c r="Q605">
        <v>71</v>
      </c>
      <c r="R605">
        <v>13.71</v>
      </c>
    </row>
    <row r="606" spans="1:18" x14ac:dyDescent="0.25">
      <c r="A606" s="1" t="s">
        <v>143</v>
      </c>
      <c r="B606" s="2" t="s">
        <v>151</v>
      </c>
      <c r="C606" s="19">
        <v>44</v>
      </c>
      <c r="D606" s="3" t="s">
        <v>496</v>
      </c>
      <c r="E606" s="3" t="s">
        <v>31</v>
      </c>
      <c r="F606" s="23">
        <v>116640</v>
      </c>
      <c r="G606" s="15">
        <v>2010</v>
      </c>
      <c r="H606" s="15">
        <f>Table_7[[#This Row],[Listing Price (USD)]]/10000</f>
        <v>11.664</v>
      </c>
      <c r="I606" s="28">
        <f>Table_7[[#This Row],[Length 
(ft)]]</f>
        <v>44</v>
      </c>
      <c r="J606" s="28">
        <f>2020-Table_7[[#This Row],[Year]]</f>
        <v>10</v>
      </c>
      <c r="K606">
        <v>57472012426.685303</v>
      </c>
      <c r="L606">
        <v>14198.753959474399</v>
      </c>
      <c r="M606">
        <v>0.15481137456202801</v>
      </c>
      <c r="N606">
        <v>-8.5803430210621805</v>
      </c>
      <c r="O606">
        <v>37.57</v>
      </c>
      <c r="P606">
        <v>928.00199999999995</v>
      </c>
      <c r="Q606">
        <v>71</v>
      </c>
      <c r="R606">
        <v>13.71</v>
      </c>
    </row>
    <row r="607" spans="1:18" x14ac:dyDescent="0.25">
      <c r="A607" s="1" t="s">
        <v>143</v>
      </c>
      <c r="B607" s="2" t="s">
        <v>151</v>
      </c>
      <c r="C607" s="19">
        <v>44</v>
      </c>
      <c r="D607" s="3" t="s">
        <v>496</v>
      </c>
      <c r="E607" s="3" t="s">
        <v>31</v>
      </c>
      <c r="F607" s="23">
        <v>127543</v>
      </c>
      <c r="G607" s="15">
        <v>2005</v>
      </c>
      <c r="H607" s="15">
        <f>Table_7[[#This Row],[Listing Price (USD)]]/10000</f>
        <v>12.754300000000001</v>
      </c>
      <c r="I607" s="28">
        <f>Table_7[[#This Row],[Length 
(ft)]]</f>
        <v>44</v>
      </c>
      <c r="J607" s="28">
        <f>2020-Table_7[[#This Row],[Year]]</f>
        <v>15</v>
      </c>
      <c r="K607">
        <v>57472012426.685303</v>
      </c>
      <c r="L607">
        <v>14198.753959474399</v>
      </c>
      <c r="M607">
        <v>0.15481137456202801</v>
      </c>
      <c r="N607">
        <v>-8.5803430210621805</v>
      </c>
      <c r="O607">
        <v>37.57</v>
      </c>
      <c r="P607">
        <v>928.00199999999995</v>
      </c>
      <c r="Q607">
        <v>71</v>
      </c>
      <c r="R607">
        <v>13.71</v>
      </c>
    </row>
    <row r="608" spans="1:18" x14ac:dyDescent="0.25">
      <c r="A608" s="1" t="s">
        <v>143</v>
      </c>
      <c r="B608" s="2" t="s">
        <v>151</v>
      </c>
      <c r="C608" s="19">
        <v>44</v>
      </c>
      <c r="D608" s="3" t="s">
        <v>496</v>
      </c>
      <c r="E608" s="3" t="s">
        <v>9</v>
      </c>
      <c r="F608" s="23">
        <v>127543</v>
      </c>
      <c r="G608" s="15">
        <v>2007</v>
      </c>
      <c r="H608" s="15">
        <f>Table_7[[#This Row],[Listing Price (USD)]]/10000</f>
        <v>12.754300000000001</v>
      </c>
      <c r="I608" s="28">
        <f>Table_7[[#This Row],[Length 
(ft)]]</f>
        <v>44</v>
      </c>
      <c r="J608" s="28">
        <f>2020-Table_7[[#This Row],[Year]]</f>
        <v>13</v>
      </c>
      <c r="K608">
        <v>1276962685648.25</v>
      </c>
      <c r="L608">
        <v>26959.675436732599</v>
      </c>
      <c r="M608">
        <v>-0.32275301729970501</v>
      </c>
      <c r="N608">
        <v>-11.3254383222864</v>
      </c>
      <c r="O608">
        <v>37.57</v>
      </c>
      <c r="P608">
        <v>928.00199999999995</v>
      </c>
      <c r="Q608">
        <v>71</v>
      </c>
      <c r="R608">
        <v>13.71</v>
      </c>
    </row>
    <row r="609" spans="1:18" x14ac:dyDescent="0.25">
      <c r="A609" s="1" t="s">
        <v>143</v>
      </c>
      <c r="B609" s="2" t="s">
        <v>151</v>
      </c>
      <c r="C609" s="19">
        <v>44</v>
      </c>
      <c r="D609" s="3" t="s">
        <v>496</v>
      </c>
      <c r="E609" s="3" t="s">
        <v>9</v>
      </c>
      <c r="F609" s="23">
        <v>129973</v>
      </c>
      <c r="G609" s="15">
        <v>2006</v>
      </c>
      <c r="H609" s="15">
        <f>Table_7[[#This Row],[Listing Price (USD)]]/10000</f>
        <v>12.997299999999999</v>
      </c>
      <c r="I609" s="28">
        <f>Table_7[[#This Row],[Length 
(ft)]]</f>
        <v>44</v>
      </c>
      <c r="J609" s="28">
        <f>2020-Table_7[[#This Row],[Year]]</f>
        <v>14</v>
      </c>
      <c r="K609">
        <v>1276962685648.25</v>
      </c>
      <c r="L609">
        <v>26959.675436732599</v>
      </c>
      <c r="M609">
        <v>-0.32275301729970501</v>
      </c>
      <c r="N609">
        <v>-11.3254383222864</v>
      </c>
      <c r="O609">
        <v>37.57</v>
      </c>
      <c r="P609">
        <v>928.00199999999995</v>
      </c>
      <c r="Q609">
        <v>71</v>
      </c>
      <c r="R609">
        <v>13.71</v>
      </c>
    </row>
    <row r="610" spans="1:18" x14ac:dyDescent="0.25">
      <c r="A610" s="1" t="s">
        <v>143</v>
      </c>
      <c r="B610" s="2" t="s">
        <v>151</v>
      </c>
      <c r="C610" s="19">
        <v>44</v>
      </c>
      <c r="D610" s="3" t="s">
        <v>496</v>
      </c>
      <c r="E610" s="3" t="s">
        <v>56</v>
      </c>
      <c r="F610" s="23">
        <v>145156</v>
      </c>
      <c r="G610" s="15">
        <v>2007</v>
      </c>
      <c r="H610" s="15">
        <f>Table_7[[#This Row],[Listing Price (USD)]]/10000</f>
        <v>14.515599999999999</v>
      </c>
      <c r="I610" s="28">
        <f>Table_7[[#This Row],[Length 
(ft)]]</f>
        <v>44</v>
      </c>
      <c r="J610" s="28">
        <f>2020-Table_7[[#This Row],[Year]]</f>
        <v>13</v>
      </c>
      <c r="K610">
        <v>14933066818.9606</v>
      </c>
      <c r="L610">
        <v>28977.565567363599</v>
      </c>
      <c r="M610">
        <v>0.63854495677665302</v>
      </c>
      <c r="N610">
        <v>-8.3242832319722009</v>
      </c>
      <c r="O610">
        <v>37.57</v>
      </c>
      <c r="P610">
        <v>928.00199999999995</v>
      </c>
      <c r="Q610">
        <v>71</v>
      </c>
      <c r="R610">
        <v>13.71</v>
      </c>
    </row>
    <row r="611" spans="1:18" x14ac:dyDescent="0.25">
      <c r="A611" s="1" t="s">
        <v>143</v>
      </c>
      <c r="B611" s="2" t="s">
        <v>151</v>
      </c>
      <c r="C611" s="19">
        <v>44</v>
      </c>
      <c r="D611" s="3" t="s">
        <v>496</v>
      </c>
      <c r="E611" s="3" t="s">
        <v>63</v>
      </c>
      <c r="F611" s="23">
        <v>156736</v>
      </c>
      <c r="G611" s="15">
        <v>2010</v>
      </c>
      <c r="H611" s="15">
        <f>Table_7[[#This Row],[Listing Price (USD)]]/10000</f>
        <v>15.6736</v>
      </c>
      <c r="I611" s="28">
        <f>Table_7[[#This Row],[Length 
(ft)]]</f>
        <v>44</v>
      </c>
      <c r="J611" s="28">
        <f>2020-Table_7[[#This Row],[Year]]</f>
        <v>10</v>
      </c>
      <c r="K611">
        <v>720290000000</v>
      </c>
      <c r="L611">
        <v>13341.6</v>
      </c>
      <c r="M611">
        <v>13</v>
      </c>
      <c r="N611">
        <v>-3</v>
      </c>
      <c r="O611">
        <v>37.57</v>
      </c>
      <c r="P611">
        <v>928.00199999999995</v>
      </c>
      <c r="Q611">
        <v>71</v>
      </c>
      <c r="R611">
        <v>13.71</v>
      </c>
    </row>
    <row r="612" spans="1:18" x14ac:dyDescent="0.25">
      <c r="A612" s="1" t="s">
        <v>143</v>
      </c>
      <c r="B612" s="2" t="s">
        <v>151</v>
      </c>
      <c r="C612" s="19">
        <v>44</v>
      </c>
      <c r="D612" s="3" t="s">
        <v>496</v>
      </c>
      <c r="E612" s="3" t="s">
        <v>56</v>
      </c>
      <c r="F612" s="23">
        <v>168843</v>
      </c>
      <c r="G612" s="15">
        <v>2006</v>
      </c>
      <c r="H612" s="15">
        <f>Table_7[[#This Row],[Listing Price (USD)]]/10000</f>
        <v>16.8843</v>
      </c>
      <c r="I612" s="28">
        <f>Table_7[[#This Row],[Length 
(ft)]]</f>
        <v>44</v>
      </c>
      <c r="J612" s="28">
        <f>2020-Table_7[[#This Row],[Year]]</f>
        <v>14</v>
      </c>
      <c r="K612">
        <v>14933066818.9606</v>
      </c>
      <c r="L612">
        <v>28977.565567363599</v>
      </c>
      <c r="M612">
        <v>0.63854495677665302</v>
      </c>
      <c r="N612">
        <v>-8.3242832319722009</v>
      </c>
      <c r="O612">
        <v>37.57</v>
      </c>
      <c r="P612">
        <v>928.00199999999995</v>
      </c>
      <c r="Q612">
        <v>71</v>
      </c>
      <c r="R612">
        <v>13.71</v>
      </c>
    </row>
    <row r="613" spans="1:18" x14ac:dyDescent="0.25">
      <c r="A613" s="1" t="s">
        <v>143</v>
      </c>
      <c r="B613" s="2" t="s">
        <v>151</v>
      </c>
      <c r="C613" s="19">
        <v>44</v>
      </c>
      <c r="D613" s="3" t="s">
        <v>496</v>
      </c>
      <c r="E613" s="3" t="s">
        <v>9</v>
      </c>
      <c r="F613" s="23">
        <v>179775</v>
      </c>
      <c r="G613" s="15">
        <v>2007</v>
      </c>
      <c r="H613" s="15">
        <f>Table_7[[#This Row],[Listing Price (USD)]]/10000</f>
        <v>17.977499999999999</v>
      </c>
      <c r="I613" s="28">
        <f>Table_7[[#This Row],[Length 
(ft)]]</f>
        <v>44</v>
      </c>
      <c r="J613" s="28">
        <f>2020-Table_7[[#This Row],[Year]]</f>
        <v>13</v>
      </c>
      <c r="K613">
        <v>1276962685648.25</v>
      </c>
      <c r="L613">
        <v>26959.675436732599</v>
      </c>
      <c r="M613">
        <v>-0.32275301729970501</v>
      </c>
      <c r="N613">
        <v>-11.3254383222864</v>
      </c>
      <c r="O613">
        <v>37.57</v>
      </c>
      <c r="P613">
        <v>928.00199999999995</v>
      </c>
      <c r="Q613">
        <v>71</v>
      </c>
      <c r="R613">
        <v>13.71</v>
      </c>
    </row>
    <row r="614" spans="1:18" x14ac:dyDescent="0.25">
      <c r="A614" s="1" t="s">
        <v>143</v>
      </c>
      <c r="B614" s="2" t="s">
        <v>151</v>
      </c>
      <c r="C614" s="19">
        <v>44</v>
      </c>
      <c r="D614" s="3" t="s">
        <v>496</v>
      </c>
      <c r="E614" s="3" t="s">
        <v>19</v>
      </c>
      <c r="F614" s="23">
        <v>179930</v>
      </c>
      <c r="G614" s="15">
        <v>2009</v>
      </c>
      <c r="H614" s="15">
        <f>Table_7[[#This Row],[Listing Price (USD)]]/10000</f>
        <v>17.992999999999999</v>
      </c>
      <c r="I614" s="28">
        <f>Table_7[[#This Row],[Length 
(ft)]]</f>
        <v>44</v>
      </c>
      <c r="J614" s="28">
        <f>2020-Table_7[[#This Row],[Year]]</f>
        <v>11</v>
      </c>
      <c r="K614">
        <v>4200000000</v>
      </c>
      <c r="L614">
        <v>39553.199999999997</v>
      </c>
      <c r="M614">
        <v>4.0999999999999996</v>
      </c>
      <c r="N614">
        <v>-2.1</v>
      </c>
      <c r="O614">
        <v>37.57</v>
      </c>
      <c r="P614">
        <v>928.00199999999995</v>
      </c>
      <c r="Q614">
        <v>71</v>
      </c>
      <c r="R614">
        <v>13.71</v>
      </c>
    </row>
    <row r="615" spans="1:18" x14ac:dyDescent="0.25">
      <c r="A615" s="1" t="s">
        <v>143</v>
      </c>
      <c r="B615" s="2" t="s">
        <v>151</v>
      </c>
      <c r="C615" s="19">
        <v>44</v>
      </c>
      <c r="D615" s="3" t="s">
        <v>496</v>
      </c>
      <c r="E615" s="3" t="s">
        <v>9</v>
      </c>
      <c r="F615" s="23">
        <v>200425</v>
      </c>
      <c r="G615" s="15">
        <v>2007</v>
      </c>
      <c r="H615" s="15">
        <f>Table_7[[#This Row],[Listing Price (USD)]]/10000</f>
        <v>20.0425</v>
      </c>
      <c r="I615" s="28">
        <f>Table_7[[#This Row],[Length 
(ft)]]</f>
        <v>44</v>
      </c>
      <c r="J615" s="28">
        <f>2020-Table_7[[#This Row],[Year]]</f>
        <v>13</v>
      </c>
      <c r="K615">
        <v>1276962685648.25</v>
      </c>
      <c r="L615">
        <v>26959.675436732599</v>
      </c>
      <c r="M615">
        <v>-0.32275301729970501</v>
      </c>
      <c r="N615">
        <v>-11.3254383222864</v>
      </c>
      <c r="O615">
        <v>37.57</v>
      </c>
      <c r="P615">
        <v>928.00199999999995</v>
      </c>
      <c r="Q615">
        <v>71</v>
      </c>
      <c r="R615">
        <v>13.71</v>
      </c>
    </row>
    <row r="616" spans="1:18" x14ac:dyDescent="0.25">
      <c r="A616" s="1" t="s">
        <v>143</v>
      </c>
      <c r="B616" s="2" t="s">
        <v>151</v>
      </c>
      <c r="C616" s="19">
        <v>44</v>
      </c>
      <c r="D616" s="3" t="s">
        <v>496</v>
      </c>
      <c r="E616" s="3" t="s">
        <v>124</v>
      </c>
      <c r="F616" s="23">
        <v>201697</v>
      </c>
      <c r="G616" s="15">
        <v>2006</v>
      </c>
      <c r="H616" s="15">
        <f>Table_7[[#This Row],[Listing Price (USD)]]/10000</f>
        <v>20.169699999999999</v>
      </c>
      <c r="I616" s="28">
        <f>Table_7[[#This Row],[Length 
(ft)]]</f>
        <v>44</v>
      </c>
      <c r="J616" s="28">
        <f>2020-Table_7[[#This Row],[Year]]</f>
        <v>14</v>
      </c>
      <c r="K616">
        <v>547054174235.87598</v>
      </c>
      <c r="L616">
        <v>52837.903977814902</v>
      </c>
      <c r="M616">
        <v>0.497367318853562</v>
      </c>
      <c r="N616">
        <v>-2.1702131788587198</v>
      </c>
      <c r="O616">
        <v>37.57</v>
      </c>
      <c r="P616">
        <v>928.00199999999995</v>
      </c>
      <c r="Q616">
        <v>71</v>
      </c>
      <c r="R616">
        <v>13.71</v>
      </c>
    </row>
    <row r="617" spans="1:18" x14ac:dyDescent="0.25">
      <c r="A617" s="1" t="s">
        <v>239</v>
      </c>
      <c r="B617" s="2">
        <v>40</v>
      </c>
      <c r="C617" s="19">
        <v>40</v>
      </c>
      <c r="D617" s="3" t="s">
        <v>496</v>
      </c>
      <c r="E617" s="3" t="s">
        <v>19</v>
      </c>
      <c r="F617" s="23">
        <v>319090</v>
      </c>
      <c r="G617" s="15">
        <v>2010</v>
      </c>
      <c r="H617" s="15">
        <f>Table_7[[#This Row],[Listing Price (USD)]]/10000</f>
        <v>31.908999999999999</v>
      </c>
      <c r="I617" s="28">
        <f>Table_7[[#This Row],[Length 
(ft)]]</f>
        <v>40</v>
      </c>
      <c r="J617" s="28">
        <f>2020-Table_7[[#This Row],[Year]]</f>
        <v>10</v>
      </c>
      <c r="K617">
        <v>4200000000</v>
      </c>
      <c r="L617">
        <v>39553.199999999997</v>
      </c>
      <c r="M617">
        <v>4.0999999999999996</v>
      </c>
      <c r="N617">
        <v>-2.1</v>
      </c>
      <c r="O617">
        <v>32.81</v>
      </c>
      <c r="P617">
        <v>780</v>
      </c>
      <c r="Q617">
        <v>69</v>
      </c>
      <c r="R617">
        <v>12.57</v>
      </c>
    </row>
    <row r="618" spans="1:18" x14ac:dyDescent="0.25">
      <c r="A618" s="1" t="s">
        <v>275</v>
      </c>
      <c r="B618" s="2">
        <v>44</v>
      </c>
      <c r="C618" s="19">
        <v>44</v>
      </c>
      <c r="D618" s="3" t="s">
        <v>496</v>
      </c>
      <c r="E618" s="3" t="s">
        <v>24</v>
      </c>
      <c r="F618" s="23">
        <v>443364</v>
      </c>
      <c r="G618" s="15">
        <v>2013</v>
      </c>
      <c r="H618" s="15">
        <f>Table_7[[#This Row],[Listing Price (USD)]]/10000</f>
        <v>44.336399999999998</v>
      </c>
      <c r="I618" s="28">
        <f>Table_7[[#This Row],[Length 
(ft)]]</f>
        <v>44</v>
      </c>
      <c r="J618" s="28">
        <f>2020-Table_7[[#This Row],[Year]]</f>
        <v>7</v>
      </c>
      <c r="K618">
        <v>1896755301518.1399</v>
      </c>
      <c r="L618">
        <v>31911.0357890017</v>
      </c>
      <c r="M618">
        <v>-0.13770757391656999</v>
      </c>
      <c r="N618">
        <v>-9.0399534112288507</v>
      </c>
      <c r="O618">
        <v>40.68</v>
      </c>
      <c r="P618">
        <v>1269</v>
      </c>
      <c r="Q618">
        <v>69</v>
      </c>
      <c r="R618">
        <v>13.71</v>
      </c>
    </row>
    <row r="619" spans="1:18" x14ac:dyDescent="0.25">
      <c r="A619" s="1" t="s">
        <v>275</v>
      </c>
      <c r="B619" s="2">
        <v>44</v>
      </c>
      <c r="C619" s="19">
        <v>44</v>
      </c>
      <c r="D619" s="3" t="s">
        <v>496</v>
      </c>
      <c r="E619" s="3" t="s">
        <v>24</v>
      </c>
      <c r="F619" s="23">
        <v>467658</v>
      </c>
      <c r="G619" s="15">
        <v>2012</v>
      </c>
      <c r="H619" s="15">
        <f>Table_7[[#This Row],[Listing Price (USD)]]/10000</f>
        <v>46.765799999999999</v>
      </c>
      <c r="I619" s="28">
        <f>Table_7[[#This Row],[Length 
(ft)]]</f>
        <v>44</v>
      </c>
      <c r="J619" s="28">
        <f>2020-Table_7[[#This Row],[Year]]</f>
        <v>8</v>
      </c>
      <c r="K619">
        <v>1896755301518.1399</v>
      </c>
      <c r="L619">
        <v>31911.0357890017</v>
      </c>
      <c r="M619">
        <v>-0.13770757391656999</v>
      </c>
      <c r="N619">
        <v>-9.0399534112288507</v>
      </c>
      <c r="O619">
        <v>40.68</v>
      </c>
      <c r="P619">
        <v>1269</v>
      </c>
      <c r="Q619">
        <v>69</v>
      </c>
      <c r="R619">
        <v>13.71</v>
      </c>
    </row>
    <row r="620" spans="1:18" x14ac:dyDescent="0.25">
      <c r="A620" s="1" t="s">
        <v>143</v>
      </c>
      <c r="B620" s="2" t="s">
        <v>161</v>
      </c>
      <c r="C620" s="19">
        <v>50</v>
      </c>
      <c r="D620" s="3" t="s">
        <v>496</v>
      </c>
      <c r="E620" s="3" t="s">
        <v>31</v>
      </c>
      <c r="F620" s="23">
        <v>194325</v>
      </c>
      <c r="G620" s="15">
        <v>2015</v>
      </c>
      <c r="H620" s="15">
        <f>Table_7[[#This Row],[Listing Price (USD)]]/10000</f>
        <v>19.432500000000001</v>
      </c>
      <c r="I620" s="28">
        <f>Table_7[[#This Row],[Length 
(ft)]]</f>
        <v>50</v>
      </c>
      <c r="J620" s="28">
        <f>2020-Table_7[[#This Row],[Year]]</f>
        <v>5</v>
      </c>
      <c r="K620">
        <v>57472012426.685303</v>
      </c>
      <c r="L620">
        <v>14198.753959474399</v>
      </c>
      <c r="M620">
        <v>0.15481137456202801</v>
      </c>
      <c r="N620">
        <v>-8.5803430210621805</v>
      </c>
      <c r="O620">
        <v>45.14</v>
      </c>
      <c r="P620">
        <v>1362.8219999999999</v>
      </c>
      <c r="Q620">
        <v>67</v>
      </c>
      <c r="R620">
        <v>15.35</v>
      </c>
    </row>
    <row r="621" spans="1:18" x14ac:dyDescent="0.25">
      <c r="A621" s="1" t="s">
        <v>143</v>
      </c>
      <c r="B621" s="2" t="s">
        <v>161</v>
      </c>
      <c r="C621" s="19">
        <v>50</v>
      </c>
      <c r="D621" s="3" t="s">
        <v>496</v>
      </c>
      <c r="E621" s="3" t="s">
        <v>31</v>
      </c>
      <c r="F621" s="23">
        <v>218616</v>
      </c>
      <c r="G621" s="15">
        <v>2015</v>
      </c>
      <c r="H621" s="15">
        <f>Table_7[[#This Row],[Listing Price (USD)]]/10000</f>
        <v>21.861599999999999</v>
      </c>
      <c r="I621" s="28">
        <f>Table_7[[#This Row],[Length 
(ft)]]</f>
        <v>50</v>
      </c>
      <c r="J621" s="28">
        <f>2020-Table_7[[#This Row],[Year]]</f>
        <v>5</v>
      </c>
      <c r="K621">
        <v>57472012426.685303</v>
      </c>
      <c r="L621">
        <v>14198.753959474399</v>
      </c>
      <c r="M621">
        <v>0.15481137456202801</v>
      </c>
      <c r="N621">
        <v>-8.5803430210621805</v>
      </c>
      <c r="O621">
        <v>45.14</v>
      </c>
      <c r="P621">
        <v>1362.8219999999999</v>
      </c>
      <c r="Q621">
        <v>67</v>
      </c>
      <c r="R621">
        <v>15.35</v>
      </c>
    </row>
    <row r="622" spans="1:18" x14ac:dyDescent="0.25">
      <c r="A622" s="1" t="s">
        <v>143</v>
      </c>
      <c r="B622" s="2" t="s">
        <v>161</v>
      </c>
      <c r="C622" s="19">
        <v>50</v>
      </c>
      <c r="D622" s="3" t="s">
        <v>496</v>
      </c>
      <c r="E622" s="3" t="s">
        <v>18</v>
      </c>
      <c r="F622" s="23">
        <v>242939</v>
      </c>
      <c r="G622" s="15">
        <v>2015</v>
      </c>
      <c r="H622" s="15">
        <f>Table_7[[#This Row],[Listing Price (USD)]]/10000</f>
        <v>24.293900000000001</v>
      </c>
      <c r="I622" s="28">
        <f>Table_7[[#This Row],[Length 
(ft)]]</f>
        <v>50</v>
      </c>
      <c r="J622" s="28">
        <f>2020-Table_7[[#This Row],[Year]]</f>
        <v>5</v>
      </c>
      <c r="K622">
        <v>188925995936.80701</v>
      </c>
      <c r="L622">
        <v>17658.947301119199</v>
      </c>
      <c r="M622">
        <v>-1.2479835558140799</v>
      </c>
      <c r="N622">
        <v>-9.0040436420214593</v>
      </c>
      <c r="O622">
        <v>45.14</v>
      </c>
      <c r="P622">
        <v>1362.8219999999999</v>
      </c>
      <c r="Q622">
        <v>67</v>
      </c>
      <c r="R622">
        <v>15.35</v>
      </c>
    </row>
    <row r="623" spans="1:18" x14ac:dyDescent="0.25">
      <c r="A623" s="1" t="s">
        <v>143</v>
      </c>
      <c r="B623" s="2" t="s">
        <v>161</v>
      </c>
      <c r="C623" s="19">
        <v>50</v>
      </c>
      <c r="D623" s="3" t="s">
        <v>496</v>
      </c>
      <c r="E623" s="3" t="s">
        <v>31</v>
      </c>
      <c r="F623" s="23">
        <v>257481</v>
      </c>
      <c r="G623" s="15">
        <v>2017</v>
      </c>
      <c r="H623" s="15">
        <f>Table_7[[#This Row],[Listing Price (USD)]]/10000</f>
        <v>25.748100000000001</v>
      </c>
      <c r="I623" s="28">
        <f>Table_7[[#This Row],[Length 
(ft)]]</f>
        <v>50</v>
      </c>
      <c r="J623" s="28">
        <f>2020-Table_7[[#This Row],[Year]]</f>
        <v>3</v>
      </c>
      <c r="K623">
        <v>57472012426.685303</v>
      </c>
      <c r="L623">
        <v>14198.753959474399</v>
      </c>
      <c r="M623">
        <v>0.15481137456202801</v>
      </c>
      <c r="N623">
        <v>-8.5803430210621805</v>
      </c>
      <c r="O623">
        <v>45.14</v>
      </c>
      <c r="P623">
        <v>1362.8219999999999</v>
      </c>
      <c r="Q623">
        <v>67</v>
      </c>
      <c r="R623">
        <v>15.35</v>
      </c>
    </row>
    <row r="624" spans="1:18" x14ac:dyDescent="0.25">
      <c r="A624" s="1" t="s">
        <v>143</v>
      </c>
      <c r="B624" s="2" t="s">
        <v>161</v>
      </c>
      <c r="C624" s="19">
        <v>50</v>
      </c>
      <c r="D624" s="3" t="s">
        <v>496</v>
      </c>
      <c r="E624" s="3" t="s">
        <v>31</v>
      </c>
      <c r="F624" s="23">
        <v>265982</v>
      </c>
      <c r="G624" s="15">
        <v>2017</v>
      </c>
      <c r="H624" s="15">
        <f>Table_7[[#This Row],[Listing Price (USD)]]/10000</f>
        <v>26.598199999999999</v>
      </c>
      <c r="I624" s="28">
        <f>Table_7[[#This Row],[Length 
(ft)]]</f>
        <v>50</v>
      </c>
      <c r="J624" s="28">
        <f>2020-Table_7[[#This Row],[Year]]</f>
        <v>3</v>
      </c>
      <c r="K624">
        <v>57472012426.685303</v>
      </c>
      <c r="L624">
        <v>14198.753959474399</v>
      </c>
      <c r="M624">
        <v>0.15481137456202801</v>
      </c>
      <c r="N624">
        <v>-8.5803430210621805</v>
      </c>
      <c r="O624">
        <v>45.14</v>
      </c>
      <c r="P624">
        <v>1362.8219999999999</v>
      </c>
      <c r="Q624">
        <v>67</v>
      </c>
      <c r="R624">
        <v>15.35</v>
      </c>
    </row>
    <row r="625" spans="1:18" x14ac:dyDescent="0.25">
      <c r="A625" s="1" t="s">
        <v>143</v>
      </c>
      <c r="B625" s="2" t="s">
        <v>161</v>
      </c>
      <c r="C625" s="19">
        <v>50</v>
      </c>
      <c r="D625" s="3" t="s">
        <v>496</v>
      </c>
      <c r="E625" s="3" t="s">
        <v>31</v>
      </c>
      <c r="F625" s="23">
        <v>278165</v>
      </c>
      <c r="G625" s="15">
        <v>2018</v>
      </c>
      <c r="H625" s="15">
        <f>Table_7[[#This Row],[Listing Price (USD)]]/10000</f>
        <v>27.816500000000001</v>
      </c>
      <c r="I625" s="28">
        <f>Table_7[[#This Row],[Length 
(ft)]]</f>
        <v>50</v>
      </c>
      <c r="J625" s="28">
        <f>2020-Table_7[[#This Row],[Year]]</f>
        <v>2</v>
      </c>
      <c r="K625">
        <v>57472012426.685303</v>
      </c>
      <c r="L625">
        <v>14198.753959474399</v>
      </c>
      <c r="M625">
        <v>0.15481137456202801</v>
      </c>
      <c r="N625">
        <v>-8.5803430210621805</v>
      </c>
      <c r="O625">
        <v>45.14</v>
      </c>
      <c r="P625">
        <v>1362.8219999999999</v>
      </c>
      <c r="Q625">
        <v>67</v>
      </c>
      <c r="R625">
        <v>15.35</v>
      </c>
    </row>
    <row r="626" spans="1:18" x14ac:dyDescent="0.25">
      <c r="A626" s="1" t="s">
        <v>143</v>
      </c>
      <c r="B626" s="2" t="s">
        <v>162</v>
      </c>
      <c r="C626" s="19">
        <v>50</v>
      </c>
      <c r="D626" s="3" t="s">
        <v>496</v>
      </c>
      <c r="E626" s="3" t="s">
        <v>31</v>
      </c>
      <c r="F626" s="23">
        <v>212572</v>
      </c>
      <c r="G626" s="15">
        <v>2015</v>
      </c>
      <c r="H626" s="15">
        <f>Table_7[[#This Row],[Listing Price (USD)]]/10000</f>
        <v>21.257200000000001</v>
      </c>
      <c r="I626" s="28">
        <f>Table_7[[#This Row],[Length 
(ft)]]</f>
        <v>50</v>
      </c>
      <c r="J626" s="28">
        <f>2020-Table_7[[#This Row],[Year]]</f>
        <v>5</v>
      </c>
      <c r="K626">
        <v>57472012426.685303</v>
      </c>
      <c r="L626">
        <v>14198.753959474399</v>
      </c>
      <c r="M626">
        <v>0.15481137456202801</v>
      </c>
      <c r="N626">
        <v>-8.5803430210621805</v>
      </c>
      <c r="O626">
        <v>45.14</v>
      </c>
      <c r="P626">
        <v>1362.8219999999999</v>
      </c>
      <c r="Q626">
        <v>67</v>
      </c>
      <c r="R626">
        <v>15.35</v>
      </c>
    </row>
    <row r="627" spans="1:18" x14ac:dyDescent="0.25">
      <c r="A627" s="1" t="s">
        <v>143</v>
      </c>
      <c r="B627" s="2" t="s">
        <v>162</v>
      </c>
      <c r="C627" s="19">
        <v>50</v>
      </c>
      <c r="D627" s="3" t="s">
        <v>496</v>
      </c>
      <c r="E627" s="3" t="s">
        <v>31</v>
      </c>
      <c r="F627" s="23">
        <v>255052</v>
      </c>
      <c r="G627" s="15">
        <v>2017</v>
      </c>
      <c r="H627" s="15">
        <f>Table_7[[#This Row],[Listing Price (USD)]]/10000</f>
        <v>25.505199999999999</v>
      </c>
      <c r="I627" s="28">
        <f>Table_7[[#This Row],[Length 
(ft)]]</f>
        <v>50</v>
      </c>
      <c r="J627" s="28">
        <f>2020-Table_7[[#This Row],[Year]]</f>
        <v>3</v>
      </c>
      <c r="K627">
        <v>57472012426.685303</v>
      </c>
      <c r="L627">
        <v>14198.753959474399</v>
      </c>
      <c r="M627">
        <v>0.15481137456202801</v>
      </c>
      <c r="N627">
        <v>-8.5803430210621805</v>
      </c>
      <c r="O627">
        <v>45.14</v>
      </c>
      <c r="P627">
        <v>1362.8219999999999</v>
      </c>
      <c r="Q627">
        <v>67</v>
      </c>
      <c r="R627">
        <v>15.35</v>
      </c>
    </row>
    <row r="628" spans="1:18" x14ac:dyDescent="0.25">
      <c r="A628" s="1" t="s">
        <v>143</v>
      </c>
      <c r="B628" s="2" t="s">
        <v>162</v>
      </c>
      <c r="C628" s="19">
        <v>50</v>
      </c>
      <c r="D628" s="3" t="s">
        <v>496</v>
      </c>
      <c r="E628" s="3" t="s">
        <v>31</v>
      </c>
      <c r="F628" s="23">
        <v>261124</v>
      </c>
      <c r="G628" s="15">
        <v>2017</v>
      </c>
      <c r="H628" s="15">
        <f>Table_7[[#This Row],[Listing Price (USD)]]/10000</f>
        <v>26.112400000000001</v>
      </c>
      <c r="I628" s="28">
        <f>Table_7[[#This Row],[Length 
(ft)]]</f>
        <v>50</v>
      </c>
      <c r="J628" s="28">
        <f>2020-Table_7[[#This Row],[Year]]</f>
        <v>3</v>
      </c>
      <c r="K628">
        <v>57472012426.685303</v>
      </c>
      <c r="L628">
        <v>14198.753959474399</v>
      </c>
      <c r="M628">
        <v>0.15481137456202801</v>
      </c>
      <c r="N628">
        <v>-8.5803430210621805</v>
      </c>
      <c r="O628">
        <v>45.14</v>
      </c>
      <c r="P628">
        <v>1362.8219999999999</v>
      </c>
      <c r="Q628">
        <v>67</v>
      </c>
      <c r="R628">
        <v>15.35</v>
      </c>
    </row>
    <row r="629" spans="1:18" x14ac:dyDescent="0.25">
      <c r="A629" s="1" t="s">
        <v>143</v>
      </c>
      <c r="B629" s="2" t="s">
        <v>162</v>
      </c>
      <c r="C629" s="19">
        <v>50</v>
      </c>
      <c r="D629" s="3" t="s">
        <v>496</v>
      </c>
      <c r="E629" s="3" t="s">
        <v>31</v>
      </c>
      <c r="F629" s="23">
        <v>273270</v>
      </c>
      <c r="G629" s="15">
        <v>2017</v>
      </c>
      <c r="H629" s="15">
        <f>Table_7[[#This Row],[Listing Price (USD)]]/10000</f>
        <v>27.327000000000002</v>
      </c>
      <c r="I629" s="28">
        <f>Table_7[[#This Row],[Length 
(ft)]]</f>
        <v>50</v>
      </c>
      <c r="J629" s="28">
        <f>2020-Table_7[[#This Row],[Year]]</f>
        <v>3</v>
      </c>
      <c r="K629">
        <v>57472012426.685303</v>
      </c>
      <c r="L629">
        <v>14198.753959474399</v>
      </c>
      <c r="M629">
        <v>0.15481137456202801</v>
      </c>
      <c r="N629">
        <v>-8.5803430210621805</v>
      </c>
      <c r="O629">
        <v>45.14</v>
      </c>
      <c r="P629">
        <v>1362.8219999999999</v>
      </c>
      <c r="Q629">
        <v>67</v>
      </c>
      <c r="R629">
        <v>15.35</v>
      </c>
    </row>
    <row r="630" spans="1:18" x14ac:dyDescent="0.25">
      <c r="A630" s="1" t="s">
        <v>128</v>
      </c>
      <c r="B630" s="2">
        <v>44</v>
      </c>
      <c r="C630" s="19">
        <v>44</v>
      </c>
      <c r="D630" s="3" t="s">
        <v>496</v>
      </c>
      <c r="E630" s="3" t="s">
        <v>24</v>
      </c>
      <c r="F630" s="23">
        <v>139690</v>
      </c>
      <c r="G630" s="15">
        <v>2005</v>
      </c>
      <c r="H630" s="15">
        <f>Table_7[[#This Row],[Listing Price (USD)]]/10000</f>
        <v>13.968999999999999</v>
      </c>
      <c r="I630" s="28">
        <f>Table_7[[#This Row],[Length 
(ft)]]</f>
        <v>44</v>
      </c>
      <c r="J630" s="28">
        <f>2020-Table_7[[#This Row],[Year]]</f>
        <v>15</v>
      </c>
      <c r="K630">
        <v>1896755301518.1399</v>
      </c>
      <c r="L630">
        <v>31911.0357890017</v>
      </c>
      <c r="M630">
        <v>-0.13770757391656999</v>
      </c>
      <c r="N630">
        <v>-9.0399534112288507</v>
      </c>
      <c r="O630">
        <v>38.78</v>
      </c>
      <c r="P630">
        <v>924</v>
      </c>
      <c r="Q630">
        <v>66</v>
      </c>
      <c r="R630">
        <v>13.94</v>
      </c>
    </row>
    <row r="631" spans="1:18" x14ac:dyDescent="0.25">
      <c r="A631" s="1" t="s">
        <v>128</v>
      </c>
      <c r="B631" s="2">
        <v>44</v>
      </c>
      <c r="C631" s="19">
        <v>44</v>
      </c>
      <c r="D631" s="3" t="s">
        <v>496</v>
      </c>
      <c r="E631" s="3" t="s">
        <v>3</v>
      </c>
      <c r="F631" s="23">
        <v>163984</v>
      </c>
      <c r="G631" s="15">
        <v>2005</v>
      </c>
      <c r="H631" s="15">
        <f>Table_7[[#This Row],[Listing Price (USD)]]/10000</f>
        <v>16.398399999999999</v>
      </c>
      <c r="I631" s="28">
        <f>Table_7[[#This Row],[Length 
(ft)]]</f>
        <v>44</v>
      </c>
      <c r="J631" s="28">
        <f>2020-Table_7[[#This Row],[Year]]</f>
        <v>15</v>
      </c>
      <c r="K631">
        <v>2639008701648.2598</v>
      </c>
      <c r="L631">
        <v>39055.282928075401</v>
      </c>
      <c r="M631">
        <v>0.47649885272508302</v>
      </c>
      <c r="N631">
        <v>-7.7845864916787102</v>
      </c>
      <c r="O631">
        <v>38.78</v>
      </c>
      <c r="P631">
        <v>924</v>
      </c>
      <c r="Q631">
        <v>66</v>
      </c>
      <c r="R631">
        <v>13.94</v>
      </c>
    </row>
    <row r="632" spans="1:18" x14ac:dyDescent="0.25">
      <c r="A632" s="1" t="s">
        <v>117</v>
      </c>
      <c r="B632" s="2">
        <v>44</v>
      </c>
      <c r="C632" s="19">
        <v>44</v>
      </c>
      <c r="D632" s="3" t="s">
        <v>496</v>
      </c>
      <c r="E632" s="3" t="s">
        <v>516</v>
      </c>
      <c r="F632" s="23">
        <v>193137</v>
      </c>
      <c r="G632" s="15">
        <v>2007</v>
      </c>
      <c r="H632" s="15">
        <f>Table_7[[#This Row],[Listing Price (USD)]]/10000</f>
        <v>19.313700000000001</v>
      </c>
      <c r="I632" s="28">
        <f>Table_7[[#This Row],[Length 
(ft)]]</f>
        <v>44</v>
      </c>
      <c r="J632" s="28">
        <f>2020-Table_7[[#This Row],[Year]]</f>
        <v>13</v>
      </c>
      <c r="K632">
        <v>909793466661.48096</v>
      </c>
      <c r="L632">
        <v>52162.570115040602</v>
      </c>
      <c r="M632">
        <v>1.2724603778917001</v>
      </c>
      <c r="N632">
        <v>-3.88608391819609</v>
      </c>
      <c r="O632">
        <v>38.78</v>
      </c>
      <c r="P632">
        <v>924</v>
      </c>
      <c r="Q632">
        <v>66</v>
      </c>
      <c r="R632">
        <v>13.94</v>
      </c>
    </row>
    <row r="633" spans="1:18" x14ac:dyDescent="0.25">
      <c r="A633" s="1" t="s">
        <v>185</v>
      </c>
      <c r="B633" s="2">
        <v>47</v>
      </c>
      <c r="C633" s="19">
        <v>47</v>
      </c>
      <c r="D633" s="3" t="s">
        <v>496</v>
      </c>
      <c r="E633" s="3" t="s">
        <v>18</v>
      </c>
      <c r="F633" s="23">
        <v>82588</v>
      </c>
      <c r="G633" s="15">
        <v>2006</v>
      </c>
      <c r="H633" s="15">
        <f>Table_7[[#This Row],[Listing Price (USD)]]/10000</f>
        <v>8.2588000000000008</v>
      </c>
      <c r="I633" s="28">
        <f>Table_7[[#This Row],[Length 
(ft)]]</f>
        <v>47</v>
      </c>
      <c r="J633" s="28">
        <f>2020-Table_7[[#This Row],[Year]]</f>
        <v>14</v>
      </c>
      <c r="K633">
        <v>188925995936.80701</v>
      </c>
      <c r="L633">
        <v>17658.947301119199</v>
      </c>
      <c r="M633">
        <v>-1.2479835558140799</v>
      </c>
      <c r="N633">
        <v>-9.0040436420214593</v>
      </c>
      <c r="O633">
        <v>41.34</v>
      </c>
      <c r="P633">
        <v>1186</v>
      </c>
      <c r="Q633">
        <v>66</v>
      </c>
      <c r="R633">
        <v>14.63</v>
      </c>
    </row>
    <row r="634" spans="1:18" x14ac:dyDescent="0.25">
      <c r="A634" s="1" t="s">
        <v>117</v>
      </c>
      <c r="B634" s="2">
        <v>47</v>
      </c>
      <c r="C634" s="19">
        <v>47</v>
      </c>
      <c r="D634" s="3" t="s">
        <v>496</v>
      </c>
      <c r="E634" s="3" t="s">
        <v>24</v>
      </c>
      <c r="F634" s="23">
        <v>205284</v>
      </c>
      <c r="G634" s="15">
        <v>2007</v>
      </c>
      <c r="H634" s="15">
        <f>Table_7[[#This Row],[Listing Price (USD)]]/10000</f>
        <v>20.528400000000001</v>
      </c>
      <c r="I634" s="28">
        <f>Table_7[[#This Row],[Length 
(ft)]]</f>
        <v>47</v>
      </c>
      <c r="J634" s="28">
        <f>2020-Table_7[[#This Row],[Year]]</f>
        <v>13</v>
      </c>
      <c r="K634">
        <v>1896755301518.1399</v>
      </c>
      <c r="L634">
        <v>31911.0357890017</v>
      </c>
      <c r="M634">
        <v>-0.13770757391656999</v>
      </c>
      <c r="N634">
        <v>-9.0399534112288507</v>
      </c>
      <c r="O634">
        <v>41.34</v>
      </c>
      <c r="P634">
        <v>1186</v>
      </c>
      <c r="Q634">
        <v>66</v>
      </c>
      <c r="R634">
        <v>14.63</v>
      </c>
    </row>
    <row r="635" spans="1:18" x14ac:dyDescent="0.25">
      <c r="A635" s="1" t="s">
        <v>103</v>
      </c>
      <c r="B635" s="2">
        <v>445</v>
      </c>
      <c r="C635" s="19">
        <v>44</v>
      </c>
      <c r="D635" s="3" t="s">
        <v>496</v>
      </c>
      <c r="E635" s="3" t="s">
        <v>24</v>
      </c>
      <c r="F635" s="23">
        <v>204069</v>
      </c>
      <c r="G635" s="15">
        <v>2011</v>
      </c>
      <c r="H635" s="15">
        <f>Table_7[[#This Row],[Listing Price (USD)]]/10000</f>
        <v>20.4069</v>
      </c>
      <c r="I635" s="28">
        <f>Table_7[[#This Row],[Length 
(ft)]]</f>
        <v>44</v>
      </c>
      <c r="J635" s="28">
        <f>2020-Table_7[[#This Row],[Year]]</f>
        <v>9</v>
      </c>
      <c r="K635">
        <v>1896755301518.1399</v>
      </c>
      <c r="L635">
        <v>31911.0357890017</v>
      </c>
      <c r="M635">
        <v>-0.13770757391656999</v>
      </c>
      <c r="N635">
        <v>-9.0399534112288507</v>
      </c>
      <c r="O635">
        <v>38.33</v>
      </c>
      <c r="P635">
        <v>856</v>
      </c>
      <c r="Q635">
        <v>66</v>
      </c>
      <c r="R635">
        <v>13.58</v>
      </c>
    </row>
    <row r="636" spans="1:18" x14ac:dyDescent="0.25">
      <c r="A636" s="1" t="s">
        <v>103</v>
      </c>
      <c r="B636" s="2">
        <v>445</v>
      </c>
      <c r="C636" s="19">
        <v>44</v>
      </c>
      <c r="D636" s="3" t="s">
        <v>496</v>
      </c>
      <c r="E636" s="3" t="s">
        <v>24</v>
      </c>
      <c r="F636" s="23">
        <v>218645</v>
      </c>
      <c r="G636" s="15">
        <v>2012</v>
      </c>
      <c r="H636" s="15">
        <f>Table_7[[#This Row],[Listing Price (USD)]]/10000</f>
        <v>21.8645</v>
      </c>
      <c r="I636" s="28">
        <f>Table_7[[#This Row],[Length 
(ft)]]</f>
        <v>44</v>
      </c>
      <c r="J636" s="28">
        <f>2020-Table_7[[#This Row],[Year]]</f>
        <v>8</v>
      </c>
      <c r="K636">
        <v>1896755301518.1399</v>
      </c>
      <c r="L636">
        <v>31911.0357890017</v>
      </c>
      <c r="M636">
        <v>-0.13770757391656999</v>
      </c>
      <c r="N636">
        <v>-9.0399534112288507</v>
      </c>
      <c r="O636">
        <v>38.33</v>
      </c>
      <c r="P636">
        <v>856</v>
      </c>
      <c r="Q636">
        <v>66</v>
      </c>
      <c r="R636">
        <v>13.58</v>
      </c>
    </row>
    <row r="637" spans="1:18" x14ac:dyDescent="0.25">
      <c r="A637" s="1" t="s">
        <v>128</v>
      </c>
      <c r="B637" s="2">
        <v>445</v>
      </c>
      <c r="C637" s="19">
        <v>44</v>
      </c>
      <c r="D637" s="3" t="s">
        <v>496</v>
      </c>
      <c r="E637" s="3" t="s">
        <v>9</v>
      </c>
      <c r="F637" s="23">
        <v>229578</v>
      </c>
      <c r="G637" s="15">
        <v>2013</v>
      </c>
      <c r="H637" s="15">
        <f>Table_7[[#This Row],[Listing Price (USD)]]/10000</f>
        <v>22.957799999999999</v>
      </c>
      <c r="I637" s="28">
        <f>Table_7[[#This Row],[Length 
(ft)]]</f>
        <v>44</v>
      </c>
      <c r="J637" s="28">
        <f>2020-Table_7[[#This Row],[Year]]</f>
        <v>7</v>
      </c>
      <c r="K637">
        <v>1276962685648.25</v>
      </c>
      <c r="L637">
        <v>26959.675436732599</v>
      </c>
      <c r="M637">
        <v>-0.32275301729970501</v>
      </c>
      <c r="N637">
        <v>-11.3254383222864</v>
      </c>
      <c r="O637">
        <v>38.33</v>
      </c>
      <c r="P637">
        <v>856</v>
      </c>
      <c r="Q637">
        <v>66</v>
      </c>
      <c r="R637">
        <v>13.58</v>
      </c>
    </row>
    <row r="638" spans="1:18" x14ac:dyDescent="0.25">
      <c r="A638" s="1" t="s">
        <v>103</v>
      </c>
      <c r="B638" s="3">
        <v>445</v>
      </c>
      <c r="C638" s="19">
        <v>44</v>
      </c>
      <c r="D638" s="3" t="s">
        <v>495</v>
      </c>
      <c r="E638" s="3" t="s">
        <v>500</v>
      </c>
      <c r="F638" s="23">
        <v>259000</v>
      </c>
      <c r="G638" s="15">
        <v>2010</v>
      </c>
      <c r="H638" s="15">
        <f>Table_7[[#This Row],[Listing Price (USD)]]/10000</f>
        <v>25.9</v>
      </c>
      <c r="I638" s="28">
        <f>Table_7[[#This Row],[Length 
(ft)]]</f>
        <v>44</v>
      </c>
      <c r="J638" s="28">
        <f>2020-Table_7[[#This Row],[Year]]</f>
        <v>10</v>
      </c>
      <c r="K638">
        <v>3007188000000</v>
      </c>
      <c r="L638">
        <v>76131.839999999997</v>
      </c>
      <c r="M638">
        <v>1.23</v>
      </c>
      <c r="N638">
        <v>2.7</v>
      </c>
      <c r="O638">
        <v>38.33</v>
      </c>
      <c r="P638">
        <v>856</v>
      </c>
      <c r="Q638">
        <v>66</v>
      </c>
      <c r="R638">
        <v>13.58</v>
      </c>
    </row>
    <row r="639" spans="1:18" x14ac:dyDescent="0.25">
      <c r="A639" s="1" t="s">
        <v>103</v>
      </c>
      <c r="B639" s="3">
        <v>445</v>
      </c>
      <c r="C639" s="19">
        <v>44</v>
      </c>
      <c r="D639" s="3" t="s">
        <v>495</v>
      </c>
      <c r="E639" s="3" t="s">
        <v>515</v>
      </c>
      <c r="F639" s="23">
        <v>275000</v>
      </c>
      <c r="G639" s="15">
        <v>2010</v>
      </c>
      <c r="H639" s="15">
        <f>Table_7[[#This Row],[Listing Price (USD)]]/10000</f>
        <v>27.5</v>
      </c>
      <c r="I639" s="28">
        <f>Table_7[[#This Row],[Length 
(ft)]]</f>
        <v>44</v>
      </c>
      <c r="J639" s="28">
        <f>2020-Table_7[[#This Row],[Year]]</f>
        <v>10</v>
      </c>
      <c r="K639">
        <v>410675000000</v>
      </c>
      <c r="L639">
        <v>66531.03</v>
      </c>
      <c r="M639">
        <v>1.23</v>
      </c>
      <c r="N639">
        <v>1.8</v>
      </c>
      <c r="O639">
        <v>38.33</v>
      </c>
      <c r="P639">
        <v>856</v>
      </c>
      <c r="Q639">
        <v>66</v>
      </c>
      <c r="R639">
        <v>13.58</v>
      </c>
    </row>
    <row r="640" spans="1:18" x14ac:dyDescent="0.25">
      <c r="A640" s="1" t="s">
        <v>103</v>
      </c>
      <c r="B640" s="3">
        <v>445</v>
      </c>
      <c r="C640" s="19">
        <v>44</v>
      </c>
      <c r="D640" s="3" t="s">
        <v>495</v>
      </c>
      <c r="E640" s="3" t="s">
        <v>333</v>
      </c>
      <c r="F640" s="23">
        <v>298000</v>
      </c>
      <c r="G640" s="15">
        <v>2014</v>
      </c>
      <c r="H640" s="15">
        <f>Table_7[[#This Row],[Listing Price (USD)]]/10000</f>
        <v>29.8</v>
      </c>
      <c r="I640" s="28">
        <f>Table_7[[#This Row],[Length 
(ft)]]</f>
        <v>44</v>
      </c>
      <c r="J640" s="28">
        <f>2020-Table_7[[#This Row],[Year]]</f>
        <v>6</v>
      </c>
      <c r="K640">
        <v>1106036000000</v>
      </c>
      <c r="L640">
        <v>51276.72</v>
      </c>
      <c r="M640">
        <v>1.23</v>
      </c>
      <c r="N640">
        <v>2.9</v>
      </c>
      <c r="O640">
        <v>38.33</v>
      </c>
      <c r="P640">
        <v>856</v>
      </c>
      <c r="Q640">
        <v>66</v>
      </c>
      <c r="R640">
        <v>13.58</v>
      </c>
    </row>
    <row r="641" spans="1:18" x14ac:dyDescent="0.25">
      <c r="A641" s="1" t="s">
        <v>103</v>
      </c>
      <c r="B641" s="3">
        <v>445</v>
      </c>
      <c r="C641" s="19">
        <v>44</v>
      </c>
      <c r="D641" s="3" t="s">
        <v>495</v>
      </c>
      <c r="E641" s="3" t="s">
        <v>333</v>
      </c>
      <c r="F641" s="23">
        <v>299900</v>
      </c>
      <c r="G641" s="15">
        <v>2014</v>
      </c>
      <c r="H641" s="15">
        <f>Table_7[[#This Row],[Listing Price (USD)]]/10000</f>
        <v>29.99</v>
      </c>
      <c r="I641" s="28">
        <f>Table_7[[#This Row],[Length 
(ft)]]</f>
        <v>44</v>
      </c>
      <c r="J641" s="28">
        <f>2020-Table_7[[#This Row],[Year]]</f>
        <v>6</v>
      </c>
      <c r="K641">
        <v>1106036000000</v>
      </c>
      <c r="L641">
        <v>51276.72</v>
      </c>
      <c r="M641">
        <v>1.23</v>
      </c>
      <c r="N641">
        <v>2.9</v>
      </c>
      <c r="O641">
        <v>38.33</v>
      </c>
      <c r="P641">
        <v>856</v>
      </c>
      <c r="Q641">
        <v>66</v>
      </c>
      <c r="R641">
        <v>13.58</v>
      </c>
    </row>
    <row r="642" spans="1:18" x14ac:dyDescent="0.25">
      <c r="A642" s="1" t="s">
        <v>103</v>
      </c>
      <c r="B642" s="3">
        <v>445</v>
      </c>
      <c r="C642" s="19">
        <v>44</v>
      </c>
      <c r="D642" s="3" t="s">
        <v>495</v>
      </c>
      <c r="E642" s="3" t="s">
        <v>554</v>
      </c>
      <c r="F642" s="23">
        <v>329500</v>
      </c>
      <c r="G642" s="15">
        <v>2016</v>
      </c>
      <c r="H642" s="15">
        <f>Table_7[[#This Row],[Listing Price (USD)]]/10000</f>
        <v>32.950000000000003</v>
      </c>
      <c r="I642" s="28">
        <f>Table_7[[#This Row],[Length 
(ft)]]</f>
        <v>44</v>
      </c>
      <c r="J642" s="28">
        <f>2020-Table_7[[#This Row],[Year]]</f>
        <v>4</v>
      </c>
      <c r="K642">
        <v>4200000000</v>
      </c>
      <c r="L642">
        <v>39553.199999999997</v>
      </c>
      <c r="M642">
        <v>4.0999999999999996</v>
      </c>
      <c r="N642">
        <v>-2.1</v>
      </c>
      <c r="O642">
        <v>38.33</v>
      </c>
      <c r="P642">
        <v>856</v>
      </c>
      <c r="Q642">
        <v>66</v>
      </c>
      <c r="R642">
        <v>13.58</v>
      </c>
    </row>
    <row r="643" spans="1:18" x14ac:dyDescent="0.25">
      <c r="A643" s="1" t="s">
        <v>103</v>
      </c>
      <c r="B643" s="3">
        <v>445</v>
      </c>
      <c r="C643" s="19">
        <v>44</v>
      </c>
      <c r="D643" s="3" t="s">
        <v>495</v>
      </c>
      <c r="E643" s="3" t="s">
        <v>548</v>
      </c>
      <c r="F643" s="23">
        <v>374900</v>
      </c>
      <c r="G643" s="15">
        <v>2018</v>
      </c>
      <c r="H643" s="15">
        <f>Table_7[[#This Row],[Listing Price (USD)]]/10000</f>
        <v>37.49</v>
      </c>
      <c r="I643" s="28">
        <f>Table_7[[#This Row],[Length 
(ft)]]</f>
        <v>44</v>
      </c>
      <c r="J643" s="28">
        <f>2020-Table_7[[#This Row],[Year]]</f>
        <v>2</v>
      </c>
      <c r="K643">
        <v>618579000000</v>
      </c>
      <c r="L643">
        <v>66659.100000000006</v>
      </c>
      <c r="M643">
        <v>1.23</v>
      </c>
      <c r="N643">
        <v>1.8</v>
      </c>
      <c r="O643">
        <v>38.33</v>
      </c>
      <c r="P643">
        <v>856</v>
      </c>
      <c r="Q643">
        <v>66</v>
      </c>
      <c r="R643">
        <v>13.58</v>
      </c>
    </row>
    <row r="644" spans="1:18" x14ac:dyDescent="0.25">
      <c r="A644" s="1" t="s">
        <v>128</v>
      </c>
      <c r="B644" s="2">
        <v>455</v>
      </c>
      <c r="C644" s="19">
        <v>45</v>
      </c>
      <c r="D644" s="3" t="s">
        <v>496</v>
      </c>
      <c r="E644" s="3" t="s">
        <v>3</v>
      </c>
      <c r="F644" s="23">
        <v>139726</v>
      </c>
      <c r="G644" s="15">
        <v>2005</v>
      </c>
      <c r="H644" s="15">
        <f>Table_7[[#This Row],[Listing Price (USD)]]/10000</f>
        <v>13.9726</v>
      </c>
      <c r="I644" s="28">
        <f>Table_7[[#This Row],[Length 
(ft)]]</f>
        <v>45</v>
      </c>
      <c r="J644" s="28">
        <f>2020-Table_7[[#This Row],[Year]]</f>
        <v>15</v>
      </c>
      <c r="K644">
        <v>2639008701648.2598</v>
      </c>
      <c r="L644">
        <v>39055.282928075401</v>
      </c>
      <c r="M644">
        <v>0.47649885272508302</v>
      </c>
      <c r="N644">
        <v>-7.7845864916787102</v>
      </c>
      <c r="O644">
        <v>39.11</v>
      </c>
      <c r="P644">
        <v>1011</v>
      </c>
      <c r="Q644">
        <v>66</v>
      </c>
      <c r="R644">
        <v>14.27</v>
      </c>
    </row>
    <row r="645" spans="1:18" x14ac:dyDescent="0.25">
      <c r="A645" s="1" t="s">
        <v>128</v>
      </c>
      <c r="B645" s="2">
        <v>455</v>
      </c>
      <c r="C645" s="19">
        <v>45</v>
      </c>
      <c r="D645" s="3" t="s">
        <v>496</v>
      </c>
      <c r="E645" s="3" t="s">
        <v>18</v>
      </c>
      <c r="F645" s="23">
        <v>145764</v>
      </c>
      <c r="G645" s="15">
        <v>2006</v>
      </c>
      <c r="H645" s="15">
        <f>Table_7[[#This Row],[Listing Price (USD)]]/10000</f>
        <v>14.5764</v>
      </c>
      <c r="I645" s="28">
        <f>Table_7[[#This Row],[Length 
(ft)]]</f>
        <v>45</v>
      </c>
      <c r="J645" s="28">
        <f>2020-Table_7[[#This Row],[Year]]</f>
        <v>14</v>
      </c>
      <c r="K645">
        <v>188925995936.80701</v>
      </c>
      <c r="L645">
        <v>17658.947301119199</v>
      </c>
      <c r="M645">
        <v>-1.2479835558140799</v>
      </c>
      <c r="N645">
        <v>-9.0040436420214593</v>
      </c>
      <c r="O645">
        <v>39.11</v>
      </c>
      <c r="P645">
        <v>1011</v>
      </c>
      <c r="Q645">
        <v>66</v>
      </c>
      <c r="R645">
        <v>14.27</v>
      </c>
    </row>
    <row r="646" spans="1:18" x14ac:dyDescent="0.25">
      <c r="A646" s="1" t="s">
        <v>128</v>
      </c>
      <c r="B646" s="2">
        <v>455</v>
      </c>
      <c r="C646" s="19">
        <v>45</v>
      </c>
      <c r="D646" s="3" t="s">
        <v>496</v>
      </c>
      <c r="E646" s="3" t="s">
        <v>56</v>
      </c>
      <c r="F646" s="23">
        <v>163984</v>
      </c>
      <c r="G646" s="15">
        <v>2006</v>
      </c>
      <c r="H646" s="15">
        <f>Table_7[[#This Row],[Listing Price (USD)]]/10000</f>
        <v>16.398399999999999</v>
      </c>
      <c r="I646" s="28">
        <f>Table_7[[#This Row],[Length 
(ft)]]</f>
        <v>45</v>
      </c>
      <c r="J646" s="28">
        <f>2020-Table_7[[#This Row],[Year]]</f>
        <v>14</v>
      </c>
      <c r="K646">
        <v>14933066818.9606</v>
      </c>
      <c r="L646">
        <v>28977.565567363599</v>
      </c>
      <c r="M646">
        <v>0.63854495677665302</v>
      </c>
      <c r="N646">
        <v>-8.3242832319722009</v>
      </c>
      <c r="O646">
        <v>39.11</v>
      </c>
      <c r="P646">
        <v>1011</v>
      </c>
      <c r="Q646">
        <v>66</v>
      </c>
      <c r="R646">
        <v>14.27</v>
      </c>
    </row>
    <row r="647" spans="1:18" x14ac:dyDescent="0.25">
      <c r="A647" s="1" t="s">
        <v>128</v>
      </c>
      <c r="B647" s="2">
        <v>455</v>
      </c>
      <c r="C647" s="19">
        <v>45</v>
      </c>
      <c r="D647" s="3" t="s">
        <v>496</v>
      </c>
      <c r="E647" s="3" t="s">
        <v>3</v>
      </c>
      <c r="F647" s="23">
        <v>170101</v>
      </c>
      <c r="G647" s="15">
        <v>2011</v>
      </c>
      <c r="H647" s="15">
        <f>Table_7[[#This Row],[Listing Price (USD)]]/10000</f>
        <v>17.010100000000001</v>
      </c>
      <c r="I647" s="28">
        <f>Table_7[[#This Row],[Length 
(ft)]]</f>
        <v>45</v>
      </c>
      <c r="J647" s="28">
        <f>2020-Table_7[[#This Row],[Year]]</f>
        <v>9</v>
      </c>
      <c r="K647">
        <v>2639008701648.2598</v>
      </c>
      <c r="L647">
        <v>39055.282928075401</v>
      </c>
      <c r="M647">
        <v>0.47649885272508302</v>
      </c>
      <c r="N647">
        <v>-7.7845864916787102</v>
      </c>
      <c r="O647">
        <v>39.11</v>
      </c>
      <c r="P647">
        <v>1011</v>
      </c>
      <c r="Q647">
        <v>66</v>
      </c>
      <c r="R647">
        <v>14.27</v>
      </c>
    </row>
    <row r="648" spans="1:18" x14ac:dyDescent="0.25">
      <c r="A648" s="1" t="s">
        <v>128</v>
      </c>
      <c r="B648" s="2">
        <v>455</v>
      </c>
      <c r="C648" s="19">
        <v>45</v>
      </c>
      <c r="D648" s="3" t="s">
        <v>496</v>
      </c>
      <c r="E648" s="3" t="s">
        <v>56</v>
      </c>
      <c r="F648" s="23">
        <v>170101</v>
      </c>
      <c r="G648" s="15">
        <v>2011</v>
      </c>
      <c r="H648" s="15">
        <f>Table_7[[#This Row],[Listing Price (USD)]]/10000</f>
        <v>17.010100000000001</v>
      </c>
      <c r="I648" s="28">
        <f>Table_7[[#This Row],[Length 
(ft)]]</f>
        <v>45</v>
      </c>
      <c r="J648" s="28">
        <f>2020-Table_7[[#This Row],[Year]]</f>
        <v>9</v>
      </c>
      <c r="K648">
        <v>14933066818.9606</v>
      </c>
      <c r="L648">
        <v>28977.565567363599</v>
      </c>
      <c r="M648">
        <v>0.63854495677665302</v>
      </c>
      <c r="N648">
        <v>-8.3242832319722009</v>
      </c>
      <c r="O648">
        <v>39.11</v>
      </c>
      <c r="P648">
        <v>1011</v>
      </c>
      <c r="Q648">
        <v>66</v>
      </c>
      <c r="R648">
        <v>14.27</v>
      </c>
    </row>
    <row r="649" spans="1:18" x14ac:dyDescent="0.25">
      <c r="A649" s="1" t="s">
        <v>177</v>
      </c>
      <c r="B649" s="2">
        <v>461</v>
      </c>
      <c r="C649" s="19">
        <v>46</v>
      </c>
      <c r="D649" s="3" t="s">
        <v>496</v>
      </c>
      <c r="E649" s="3" t="s">
        <v>22</v>
      </c>
      <c r="F649" s="23">
        <v>132436</v>
      </c>
      <c r="G649" s="15">
        <v>2005</v>
      </c>
      <c r="H649" s="15">
        <f>Table_7[[#This Row],[Listing Price (USD)]]/10000</f>
        <v>13.243600000000001</v>
      </c>
      <c r="I649" s="28">
        <f>Table_7[[#This Row],[Length 
(ft)]]</f>
        <v>46</v>
      </c>
      <c r="J649" s="28">
        <f>2020-Table_7[[#This Row],[Year]]</f>
        <v>15</v>
      </c>
      <c r="K649">
        <v>3889668895299.6201</v>
      </c>
      <c r="L649">
        <v>46772.825350754501</v>
      </c>
      <c r="M649">
        <v>0.50668988995327402</v>
      </c>
      <c r="N649">
        <v>-3.6967887053804298</v>
      </c>
      <c r="O649">
        <v>41.31</v>
      </c>
      <c r="P649">
        <v>1160</v>
      </c>
      <c r="Q649">
        <v>66</v>
      </c>
      <c r="R649">
        <v>14.67</v>
      </c>
    </row>
    <row r="650" spans="1:18" x14ac:dyDescent="0.25">
      <c r="A650" s="1" t="s">
        <v>177</v>
      </c>
      <c r="B650" s="2">
        <v>461</v>
      </c>
      <c r="C650" s="19">
        <v>46</v>
      </c>
      <c r="D650" s="3" t="s">
        <v>496</v>
      </c>
      <c r="E650" s="3" t="s">
        <v>24</v>
      </c>
      <c r="F650" s="23">
        <v>143371</v>
      </c>
      <c r="G650" s="15">
        <v>2006</v>
      </c>
      <c r="H650" s="15">
        <f>Table_7[[#This Row],[Listing Price (USD)]]/10000</f>
        <v>14.3371</v>
      </c>
      <c r="I650" s="28">
        <f>Table_7[[#This Row],[Length 
(ft)]]</f>
        <v>46</v>
      </c>
      <c r="J650" s="28">
        <f>2020-Table_7[[#This Row],[Year]]</f>
        <v>14</v>
      </c>
      <c r="K650">
        <v>1896755301518.1399</v>
      </c>
      <c r="L650">
        <v>31911.0357890017</v>
      </c>
      <c r="M650">
        <v>-0.13770757391656999</v>
      </c>
      <c r="N650">
        <v>-9.0399534112288507</v>
      </c>
      <c r="O650">
        <v>41.31</v>
      </c>
      <c r="P650">
        <v>1160</v>
      </c>
      <c r="Q650">
        <v>66</v>
      </c>
      <c r="R650">
        <v>14.67</v>
      </c>
    </row>
    <row r="651" spans="1:18" x14ac:dyDescent="0.25">
      <c r="A651" s="1" t="s">
        <v>177</v>
      </c>
      <c r="B651" s="2">
        <v>461</v>
      </c>
      <c r="C651" s="19">
        <v>46</v>
      </c>
      <c r="D651" s="3" t="s">
        <v>496</v>
      </c>
      <c r="E651" s="3" t="s">
        <v>24</v>
      </c>
      <c r="F651" s="23">
        <v>143371</v>
      </c>
      <c r="G651" s="15">
        <v>2006</v>
      </c>
      <c r="H651" s="15">
        <f>Table_7[[#This Row],[Listing Price (USD)]]/10000</f>
        <v>14.3371</v>
      </c>
      <c r="I651" s="28">
        <f>Table_7[[#This Row],[Length 
(ft)]]</f>
        <v>46</v>
      </c>
      <c r="J651" s="28">
        <f>2020-Table_7[[#This Row],[Year]]</f>
        <v>14</v>
      </c>
      <c r="K651">
        <v>1896755301518.1399</v>
      </c>
      <c r="L651">
        <v>31911.0357890017</v>
      </c>
      <c r="M651">
        <v>-0.13770757391656999</v>
      </c>
      <c r="N651">
        <v>-9.0399534112288507</v>
      </c>
      <c r="O651">
        <v>41.31</v>
      </c>
      <c r="P651">
        <v>1160</v>
      </c>
      <c r="Q651">
        <v>66</v>
      </c>
      <c r="R651">
        <v>14.67</v>
      </c>
    </row>
    <row r="652" spans="1:18" x14ac:dyDescent="0.25">
      <c r="A652" s="1" t="s">
        <v>177</v>
      </c>
      <c r="B652" s="2">
        <v>461</v>
      </c>
      <c r="C652" s="19">
        <v>46</v>
      </c>
      <c r="D652" s="3" t="s">
        <v>496</v>
      </c>
      <c r="E652" s="3" t="s">
        <v>24</v>
      </c>
      <c r="F652" s="23">
        <v>162769</v>
      </c>
      <c r="G652" s="15">
        <v>2006</v>
      </c>
      <c r="H652" s="15">
        <f>Table_7[[#This Row],[Listing Price (USD)]]/10000</f>
        <v>16.276900000000001</v>
      </c>
      <c r="I652" s="28">
        <f>Table_7[[#This Row],[Length 
(ft)]]</f>
        <v>46</v>
      </c>
      <c r="J652" s="28">
        <f>2020-Table_7[[#This Row],[Year]]</f>
        <v>14</v>
      </c>
      <c r="K652">
        <v>1896755301518.1399</v>
      </c>
      <c r="L652">
        <v>31911.0357890017</v>
      </c>
      <c r="M652">
        <v>-0.13770757391656999</v>
      </c>
      <c r="N652">
        <v>-9.0399534112288507</v>
      </c>
      <c r="O652">
        <v>41.31</v>
      </c>
      <c r="P652">
        <v>1160</v>
      </c>
      <c r="Q652">
        <v>66</v>
      </c>
      <c r="R652">
        <v>14.67</v>
      </c>
    </row>
    <row r="653" spans="1:18" x14ac:dyDescent="0.25">
      <c r="A653" s="1" t="s">
        <v>177</v>
      </c>
      <c r="B653" s="2">
        <v>461</v>
      </c>
      <c r="C653" s="19">
        <v>46</v>
      </c>
      <c r="D653" s="3" t="s">
        <v>496</v>
      </c>
      <c r="E653" s="3" t="s">
        <v>24</v>
      </c>
      <c r="F653" s="23">
        <v>194351</v>
      </c>
      <c r="G653" s="15">
        <v>2006</v>
      </c>
      <c r="H653" s="15">
        <f>Table_7[[#This Row],[Listing Price (USD)]]/10000</f>
        <v>19.435099999999998</v>
      </c>
      <c r="I653" s="28">
        <f>Table_7[[#This Row],[Length 
(ft)]]</f>
        <v>46</v>
      </c>
      <c r="J653" s="28">
        <f>2020-Table_7[[#This Row],[Year]]</f>
        <v>14</v>
      </c>
      <c r="K653">
        <v>1896755301518.1399</v>
      </c>
      <c r="L653">
        <v>31911.0357890017</v>
      </c>
      <c r="M653">
        <v>-0.13770757391656999</v>
      </c>
      <c r="N653">
        <v>-9.0399534112288507</v>
      </c>
      <c r="O653">
        <v>41.31</v>
      </c>
      <c r="P653">
        <v>1160</v>
      </c>
      <c r="Q653">
        <v>66</v>
      </c>
      <c r="R653">
        <v>14.67</v>
      </c>
    </row>
    <row r="654" spans="1:18" x14ac:dyDescent="0.25">
      <c r="A654" s="1" t="s">
        <v>177</v>
      </c>
      <c r="B654" s="2">
        <v>461</v>
      </c>
      <c r="C654" s="19">
        <v>46</v>
      </c>
      <c r="D654" s="3" t="s">
        <v>496</v>
      </c>
      <c r="E654" s="3" t="s">
        <v>3</v>
      </c>
      <c r="F654" s="23">
        <v>200425</v>
      </c>
      <c r="G654" s="15">
        <v>2006</v>
      </c>
      <c r="H654" s="15">
        <f>Table_7[[#This Row],[Listing Price (USD)]]/10000</f>
        <v>20.0425</v>
      </c>
      <c r="I654" s="28">
        <f>Table_7[[#This Row],[Length 
(ft)]]</f>
        <v>46</v>
      </c>
      <c r="J654" s="28">
        <f>2020-Table_7[[#This Row],[Year]]</f>
        <v>14</v>
      </c>
      <c r="K654">
        <v>2639008701648.2598</v>
      </c>
      <c r="L654">
        <v>39055.282928075401</v>
      </c>
      <c r="M654">
        <v>0.47649885272508302</v>
      </c>
      <c r="N654">
        <v>-7.7845864916787102</v>
      </c>
      <c r="O654">
        <v>41.31</v>
      </c>
      <c r="P654">
        <v>1160</v>
      </c>
      <c r="Q654">
        <v>66</v>
      </c>
      <c r="R654">
        <v>14.67</v>
      </c>
    </row>
    <row r="655" spans="1:18" x14ac:dyDescent="0.25">
      <c r="A655" s="1" t="s">
        <v>177</v>
      </c>
      <c r="B655" s="2">
        <v>461</v>
      </c>
      <c r="C655" s="19">
        <v>46</v>
      </c>
      <c r="D655" s="3" t="s">
        <v>496</v>
      </c>
      <c r="E655" s="3" t="s">
        <v>3</v>
      </c>
      <c r="F655" s="23">
        <v>303674</v>
      </c>
      <c r="G655" s="15">
        <v>2005</v>
      </c>
      <c r="H655" s="15">
        <f>Table_7[[#This Row],[Listing Price (USD)]]/10000</f>
        <v>30.3674</v>
      </c>
      <c r="I655" s="28">
        <f>Table_7[[#This Row],[Length 
(ft)]]</f>
        <v>46</v>
      </c>
      <c r="J655" s="28">
        <f>2020-Table_7[[#This Row],[Year]]</f>
        <v>15</v>
      </c>
      <c r="K655">
        <v>2639008701648.2598</v>
      </c>
      <c r="L655">
        <v>39055.282928075401</v>
      </c>
      <c r="M655">
        <v>0.47649885272508302</v>
      </c>
      <c r="N655">
        <v>-7.7845864916787102</v>
      </c>
      <c r="O655">
        <v>41.31</v>
      </c>
      <c r="P655">
        <v>1160</v>
      </c>
      <c r="Q655">
        <v>66</v>
      </c>
      <c r="R655">
        <v>14.67</v>
      </c>
    </row>
    <row r="656" spans="1:18" x14ac:dyDescent="0.25">
      <c r="A656" s="1" t="s">
        <v>195</v>
      </c>
      <c r="B656" s="3">
        <v>469</v>
      </c>
      <c r="C656" s="19">
        <v>47</v>
      </c>
      <c r="D656" s="3" t="s">
        <v>495</v>
      </c>
      <c r="E656" s="3" t="s">
        <v>333</v>
      </c>
      <c r="F656" s="23">
        <v>299000</v>
      </c>
      <c r="G656" s="15">
        <v>2015</v>
      </c>
      <c r="H656" s="15">
        <f>Table_7[[#This Row],[Listing Price (USD)]]/10000</f>
        <v>29.9</v>
      </c>
      <c r="I656" s="28">
        <f>Table_7[[#This Row],[Length 
(ft)]]</f>
        <v>47</v>
      </c>
      <c r="J656" s="28">
        <f>2020-Table_7[[#This Row],[Year]]</f>
        <v>5</v>
      </c>
      <c r="K656">
        <v>1106036000000</v>
      </c>
      <c r="L656">
        <v>51276.72</v>
      </c>
      <c r="M656">
        <v>1.23</v>
      </c>
      <c r="N656">
        <v>2.9</v>
      </c>
      <c r="O656">
        <v>41.34</v>
      </c>
      <c r="P656">
        <v>1186</v>
      </c>
      <c r="Q656">
        <v>66</v>
      </c>
      <c r="R656">
        <v>14.63</v>
      </c>
    </row>
    <row r="657" spans="1:18" x14ac:dyDescent="0.25">
      <c r="A657" s="1" t="s">
        <v>177</v>
      </c>
      <c r="B657" s="2">
        <v>470</v>
      </c>
      <c r="C657" s="19">
        <v>47</v>
      </c>
      <c r="D657" s="3" t="s">
        <v>496</v>
      </c>
      <c r="E657" s="3" t="s">
        <v>18</v>
      </c>
      <c r="F657" s="23">
        <v>212626</v>
      </c>
      <c r="G657" s="15">
        <v>2010</v>
      </c>
      <c r="H657" s="15">
        <f>Table_7[[#This Row],[Listing Price (USD)]]/10000</f>
        <v>21.262599999999999</v>
      </c>
      <c r="I657" s="28">
        <f>Table_7[[#This Row],[Length 
(ft)]]</f>
        <v>47</v>
      </c>
      <c r="J657" s="28">
        <f>2020-Table_7[[#This Row],[Year]]</f>
        <v>10</v>
      </c>
      <c r="K657">
        <v>188925995936.80701</v>
      </c>
      <c r="L657">
        <v>17658.947301119199</v>
      </c>
      <c r="M657">
        <v>-1.2479835558140799</v>
      </c>
      <c r="N657">
        <v>-9.0040436420214593</v>
      </c>
      <c r="O657">
        <v>41.34</v>
      </c>
      <c r="P657">
        <v>1186</v>
      </c>
      <c r="Q657">
        <v>66</v>
      </c>
      <c r="R657">
        <v>14.63</v>
      </c>
    </row>
    <row r="658" spans="1:18" x14ac:dyDescent="0.25">
      <c r="A658" s="1" t="s">
        <v>177</v>
      </c>
      <c r="B658" s="2">
        <v>470</v>
      </c>
      <c r="C658" s="19">
        <v>47</v>
      </c>
      <c r="D658" s="3" t="s">
        <v>496</v>
      </c>
      <c r="E658" s="3" t="s">
        <v>22</v>
      </c>
      <c r="F658" s="23">
        <v>216271</v>
      </c>
      <c r="G658" s="15">
        <v>2012</v>
      </c>
      <c r="H658" s="15">
        <f>Table_7[[#This Row],[Listing Price (USD)]]/10000</f>
        <v>21.627099999999999</v>
      </c>
      <c r="I658" s="28">
        <f>Table_7[[#This Row],[Length 
(ft)]]</f>
        <v>47</v>
      </c>
      <c r="J658" s="28">
        <f>2020-Table_7[[#This Row],[Year]]</f>
        <v>8</v>
      </c>
      <c r="K658">
        <v>3889668895299.6201</v>
      </c>
      <c r="L658">
        <v>46772.825350754501</v>
      </c>
      <c r="M658">
        <v>0.50668988995327402</v>
      </c>
      <c r="N658">
        <v>-3.6967887053804298</v>
      </c>
      <c r="O658">
        <v>41.34</v>
      </c>
      <c r="P658">
        <v>1186</v>
      </c>
      <c r="Q658">
        <v>66</v>
      </c>
      <c r="R658">
        <v>14.63</v>
      </c>
    </row>
    <row r="659" spans="1:18" x14ac:dyDescent="0.25">
      <c r="A659" s="1" t="s">
        <v>177</v>
      </c>
      <c r="B659" s="2">
        <v>470</v>
      </c>
      <c r="C659" s="19">
        <v>47</v>
      </c>
      <c r="D659" s="3" t="s">
        <v>496</v>
      </c>
      <c r="E659" s="3" t="s">
        <v>24</v>
      </c>
      <c r="F659" s="23">
        <v>230851</v>
      </c>
      <c r="G659" s="15">
        <v>2011</v>
      </c>
      <c r="H659" s="15">
        <f>Table_7[[#This Row],[Listing Price (USD)]]/10000</f>
        <v>23.085100000000001</v>
      </c>
      <c r="I659" s="28">
        <f>Table_7[[#This Row],[Length 
(ft)]]</f>
        <v>47</v>
      </c>
      <c r="J659" s="28">
        <f>2020-Table_7[[#This Row],[Year]]</f>
        <v>9</v>
      </c>
      <c r="K659">
        <v>1896755301518.1399</v>
      </c>
      <c r="L659">
        <v>31911.0357890017</v>
      </c>
      <c r="M659">
        <v>-0.13770757391656999</v>
      </c>
      <c r="N659">
        <v>-9.0399534112288507</v>
      </c>
      <c r="O659">
        <v>41.34</v>
      </c>
      <c r="P659">
        <v>1186</v>
      </c>
      <c r="Q659">
        <v>66</v>
      </c>
      <c r="R659">
        <v>14.63</v>
      </c>
    </row>
    <row r="660" spans="1:18" x14ac:dyDescent="0.25">
      <c r="A660" s="1" t="s">
        <v>177</v>
      </c>
      <c r="B660" s="2">
        <v>470</v>
      </c>
      <c r="C660" s="19">
        <v>47</v>
      </c>
      <c r="D660" s="3" t="s">
        <v>496</v>
      </c>
      <c r="E660" s="3" t="s">
        <v>22</v>
      </c>
      <c r="F660" s="23">
        <v>236866</v>
      </c>
      <c r="G660" s="15">
        <v>2007</v>
      </c>
      <c r="H660" s="15">
        <f>Table_7[[#This Row],[Listing Price (USD)]]/10000</f>
        <v>23.686599999999999</v>
      </c>
      <c r="I660" s="28">
        <f>Table_7[[#This Row],[Length 
(ft)]]</f>
        <v>47</v>
      </c>
      <c r="J660" s="28">
        <f>2020-Table_7[[#This Row],[Year]]</f>
        <v>13</v>
      </c>
      <c r="K660">
        <v>3889668895299.6201</v>
      </c>
      <c r="L660">
        <v>46772.825350754501</v>
      </c>
      <c r="M660">
        <v>0.50668988995327402</v>
      </c>
      <c r="N660">
        <v>-3.6967887053804298</v>
      </c>
      <c r="O660">
        <v>41.34</v>
      </c>
      <c r="P660">
        <v>1186</v>
      </c>
      <c r="Q660">
        <v>66</v>
      </c>
      <c r="R660">
        <v>14.63</v>
      </c>
    </row>
    <row r="661" spans="1:18" x14ac:dyDescent="0.25">
      <c r="A661" s="1" t="s">
        <v>177</v>
      </c>
      <c r="B661" s="2">
        <v>470</v>
      </c>
      <c r="C661" s="19">
        <v>47</v>
      </c>
      <c r="D661" s="3" t="s">
        <v>496</v>
      </c>
      <c r="E661" s="3" t="s">
        <v>24</v>
      </c>
      <c r="F661" s="23">
        <v>241725</v>
      </c>
      <c r="G661" s="15">
        <v>2010</v>
      </c>
      <c r="H661" s="15">
        <f>Table_7[[#This Row],[Listing Price (USD)]]/10000</f>
        <v>24.172499999999999</v>
      </c>
      <c r="I661" s="28">
        <f>Table_7[[#This Row],[Length 
(ft)]]</f>
        <v>47</v>
      </c>
      <c r="J661" s="28">
        <f>2020-Table_7[[#This Row],[Year]]</f>
        <v>10</v>
      </c>
      <c r="K661">
        <v>1896755301518.1399</v>
      </c>
      <c r="L661">
        <v>31911.0357890017</v>
      </c>
      <c r="M661">
        <v>-0.13770757391656999</v>
      </c>
      <c r="N661">
        <v>-9.0399534112288507</v>
      </c>
      <c r="O661">
        <v>41.34</v>
      </c>
      <c r="P661">
        <v>1186</v>
      </c>
      <c r="Q661">
        <v>66</v>
      </c>
      <c r="R661">
        <v>14.63</v>
      </c>
    </row>
    <row r="662" spans="1:18" x14ac:dyDescent="0.25">
      <c r="A662" s="1" t="s">
        <v>103</v>
      </c>
      <c r="B662" s="3">
        <v>470</v>
      </c>
      <c r="C662" s="19">
        <v>47</v>
      </c>
      <c r="D662" s="3" t="s">
        <v>495</v>
      </c>
      <c r="E662" s="3" t="s">
        <v>523</v>
      </c>
      <c r="F662" s="23">
        <v>249000</v>
      </c>
      <c r="G662" s="15">
        <v>2008</v>
      </c>
      <c r="H662" s="15">
        <f>Table_7[[#This Row],[Listing Price (USD)]]/10000</f>
        <v>24.9</v>
      </c>
      <c r="I662" s="28">
        <f>Table_7[[#This Row],[Length 
(ft)]]</f>
        <v>47</v>
      </c>
      <c r="J662" s="28">
        <f>2020-Table_7[[#This Row],[Year]]</f>
        <v>12</v>
      </c>
      <c r="K662">
        <v>1775588000000</v>
      </c>
      <c r="L662">
        <v>60771.06</v>
      </c>
      <c r="M662">
        <v>1.23</v>
      </c>
      <c r="N662">
        <v>5.0999999999999996</v>
      </c>
      <c r="O662">
        <v>41.34</v>
      </c>
      <c r="P662">
        <v>1186</v>
      </c>
      <c r="Q662">
        <v>66</v>
      </c>
      <c r="R662">
        <v>14.63</v>
      </c>
    </row>
    <row r="663" spans="1:18" x14ac:dyDescent="0.25">
      <c r="A663" s="1" t="s">
        <v>177</v>
      </c>
      <c r="B663" s="2">
        <v>470</v>
      </c>
      <c r="C663" s="19">
        <v>47</v>
      </c>
      <c r="D663" s="3" t="s">
        <v>496</v>
      </c>
      <c r="E663" s="3" t="s">
        <v>24</v>
      </c>
      <c r="F663" s="23">
        <v>255086</v>
      </c>
      <c r="G663" s="15">
        <v>2010</v>
      </c>
      <c r="H663" s="15">
        <f>Table_7[[#This Row],[Listing Price (USD)]]/10000</f>
        <v>25.508600000000001</v>
      </c>
      <c r="I663" s="28">
        <f>Table_7[[#This Row],[Length 
(ft)]]</f>
        <v>47</v>
      </c>
      <c r="J663" s="28">
        <f>2020-Table_7[[#This Row],[Year]]</f>
        <v>10</v>
      </c>
      <c r="K663">
        <v>1896755301518.1399</v>
      </c>
      <c r="L663">
        <v>31911.0357890017</v>
      </c>
      <c r="M663">
        <v>-0.13770757391656999</v>
      </c>
      <c r="N663">
        <v>-9.0399534112288507</v>
      </c>
      <c r="O663">
        <v>41.34</v>
      </c>
      <c r="P663">
        <v>1186</v>
      </c>
      <c r="Q663">
        <v>66</v>
      </c>
      <c r="R663">
        <v>14.63</v>
      </c>
    </row>
    <row r="664" spans="1:18" x14ac:dyDescent="0.25">
      <c r="A664" s="1" t="s">
        <v>103</v>
      </c>
      <c r="B664" s="3">
        <v>470</v>
      </c>
      <c r="C664" s="19">
        <v>47</v>
      </c>
      <c r="D664" s="3" t="s">
        <v>495</v>
      </c>
      <c r="E664" s="3" t="s">
        <v>554</v>
      </c>
      <c r="F664" s="23">
        <v>274999</v>
      </c>
      <c r="G664" s="15">
        <v>2007</v>
      </c>
      <c r="H664" s="15">
        <f>Table_7[[#This Row],[Listing Price (USD)]]/10000</f>
        <v>27.4999</v>
      </c>
      <c r="I664" s="28">
        <f>Table_7[[#This Row],[Length 
(ft)]]</f>
        <v>47</v>
      </c>
      <c r="J664" s="28">
        <f>2020-Table_7[[#This Row],[Year]]</f>
        <v>13</v>
      </c>
      <c r="K664">
        <v>4200000000</v>
      </c>
      <c r="L664">
        <v>39553.199999999997</v>
      </c>
      <c r="M664">
        <v>4.0999999999999996</v>
      </c>
      <c r="N664">
        <v>-2.1</v>
      </c>
      <c r="O664">
        <v>41.34</v>
      </c>
      <c r="P664">
        <v>1186</v>
      </c>
      <c r="Q664">
        <v>66</v>
      </c>
      <c r="R664">
        <v>14.63</v>
      </c>
    </row>
    <row r="665" spans="1:18" x14ac:dyDescent="0.25">
      <c r="A665" s="1" t="s">
        <v>103</v>
      </c>
      <c r="B665" s="3">
        <v>470</v>
      </c>
      <c r="C665" s="19">
        <v>47</v>
      </c>
      <c r="D665" s="3" t="s">
        <v>495</v>
      </c>
      <c r="E665" s="3" t="s">
        <v>333</v>
      </c>
      <c r="F665" s="23">
        <v>285000</v>
      </c>
      <c r="G665" s="15">
        <v>2008</v>
      </c>
      <c r="H665" s="15">
        <f>Table_7[[#This Row],[Listing Price (USD)]]/10000</f>
        <v>28.5</v>
      </c>
      <c r="I665" s="28">
        <f>Table_7[[#This Row],[Length 
(ft)]]</f>
        <v>47</v>
      </c>
      <c r="J665" s="28">
        <f>2020-Table_7[[#This Row],[Year]]</f>
        <v>12</v>
      </c>
      <c r="K665">
        <v>1106036000000</v>
      </c>
      <c r="L665">
        <v>51276.72</v>
      </c>
      <c r="M665">
        <v>1.23</v>
      </c>
      <c r="N665">
        <v>2.9</v>
      </c>
      <c r="O665">
        <v>41.34</v>
      </c>
      <c r="P665">
        <v>1186</v>
      </c>
      <c r="Q665">
        <v>66</v>
      </c>
      <c r="R665">
        <v>14.63</v>
      </c>
    </row>
    <row r="666" spans="1:18" x14ac:dyDescent="0.25">
      <c r="A666" s="1" t="s">
        <v>103</v>
      </c>
      <c r="B666" s="3">
        <v>470</v>
      </c>
      <c r="C666" s="19">
        <v>47</v>
      </c>
      <c r="D666" s="3" t="s">
        <v>495</v>
      </c>
      <c r="E666" s="3" t="s">
        <v>500</v>
      </c>
      <c r="F666" s="23">
        <v>299900</v>
      </c>
      <c r="G666" s="15">
        <v>2009</v>
      </c>
      <c r="H666" s="15">
        <f>Table_7[[#This Row],[Listing Price (USD)]]/10000</f>
        <v>29.99</v>
      </c>
      <c r="I666" s="28">
        <f>Table_7[[#This Row],[Length 
(ft)]]</f>
        <v>47</v>
      </c>
      <c r="J666" s="28">
        <f>2020-Table_7[[#This Row],[Year]]</f>
        <v>11</v>
      </c>
      <c r="K666">
        <v>3007188000000</v>
      </c>
      <c r="L666">
        <v>76131.839999999997</v>
      </c>
      <c r="M666">
        <v>1.23</v>
      </c>
      <c r="N666">
        <v>2.7</v>
      </c>
      <c r="O666">
        <v>41.34</v>
      </c>
      <c r="P666">
        <v>1186</v>
      </c>
      <c r="Q666">
        <v>66</v>
      </c>
      <c r="R666">
        <v>14.63</v>
      </c>
    </row>
    <row r="667" spans="1:18" x14ac:dyDescent="0.25">
      <c r="A667" s="1" t="s">
        <v>128</v>
      </c>
      <c r="B667" s="2">
        <v>485</v>
      </c>
      <c r="C667" s="19">
        <v>48</v>
      </c>
      <c r="D667" s="3" t="s">
        <v>496</v>
      </c>
      <c r="E667" s="3" t="s">
        <v>56</v>
      </c>
      <c r="F667" s="23">
        <v>242939</v>
      </c>
      <c r="G667" s="15">
        <v>2008</v>
      </c>
      <c r="H667" s="15">
        <f>Table_7[[#This Row],[Listing Price (USD)]]/10000</f>
        <v>24.293900000000001</v>
      </c>
      <c r="I667" s="28">
        <f>Table_7[[#This Row],[Length 
(ft)]]</f>
        <v>48</v>
      </c>
      <c r="J667" s="28">
        <f>2020-Table_7[[#This Row],[Year]]</f>
        <v>12</v>
      </c>
      <c r="K667">
        <v>14933066818.9606</v>
      </c>
      <c r="L667">
        <v>28977.565567363599</v>
      </c>
      <c r="M667">
        <v>0.63854495677665302</v>
      </c>
      <c r="N667">
        <v>-8.3242832319722009</v>
      </c>
      <c r="O667">
        <v>41.34</v>
      </c>
      <c r="P667">
        <v>1186</v>
      </c>
      <c r="Q667">
        <v>66</v>
      </c>
      <c r="R667">
        <v>14.63</v>
      </c>
    </row>
    <row r="668" spans="1:18" x14ac:dyDescent="0.25">
      <c r="A668" s="1" t="s">
        <v>128</v>
      </c>
      <c r="B668" s="2" t="s">
        <v>563</v>
      </c>
      <c r="C668" s="19">
        <v>44</v>
      </c>
      <c r="D668" s="3" t="s">
        <v>496</v>
      </c>
      <c r="E668" s="3" t="s">
        <v>31</v>
      </c>
      <c r="F668" s="23">
        <v>139726</v>
      </c>
      <c r="G668" s="15">
        <v>2013</v>
      </c>
      <c r="H668" s="15">
        <f>Table_7[[#This Row],[Listing Price (USD)]]/10000</f>
        <v>13.9726</v>
      </c>
      <c r="I668" s="28">
        <f>Table_7[[#This Row],[Length 
(ft)]]</f>
        <v>44</v>
      </c>
      <c r="J668" s="28">
        <f>2020-Table_7[[#This Row],[Year]]</f>
        <v>7</v>
      </c>
      <c r="K668">
        <v>57472012426.685303</v>
      </c>
      <c r="L668">
        <v>14198.753959474399</v>
      </c>
      <c r="M668">
        <v>0.15481137456202801</v>
      </c>
      <c r="N668">
        <v>-8.5803430210621805</v>
      </c>
      <c r="O668">
        <v>38.33</v>
      </c>
      <c r="P668">
        <v>856.00199999999995</v>
      </c>
      <c r="Q668">
        <v>66</v>
      </c>
      <c r="R668">
        <v>13.58</v>
      </c>
    </row>
    <row r="669" spans="1:18" x14ac:dyDescent="0.25">
      <c r="A669" s="1" t="s">
        <v>128</v>
      </c>
      <c r="B669" s="2" t="s">
        <v>563</v>
      </c>
      <c r="C669" s="19">
        <v>44</v>
      </c>
      <c r="D669" s="3" t="s">
        <v>496</v>
      </c>
      <c r="E669" s="3" t="s">
        <v>31</v>
      </c>
      <c r="F669" s="23">
        <v>151837</v>
      </c>
      <c r="G669" s="15">
        <v>2013</v>
      </c>
      <c r="H669" s="15">
        <f>Table_7[[#This Row],[Listing Price (USD)]]/10000</f>
        <v>15.1837</v>
      </c>
      <c r="I669" s="28">
        <f>Table_7[[#This Row],[Length 
(ft)]]</f>
        <v>44</v>
      </c>
      <c r="J669" s="28">
        <f>2020-Table_7[[#This Row],[Year]]</f>
        <v>7</v>
      </c>
      <c r="K669">
        <v>57472012426.685303</v>
      </c>
      <c r="L669">
        <v>14198.753959474399</v>
      </c>
      <c r="M669">
        <v>0.15481137456202801</v>
      </c>
      <c r="N669">
        <v>-8.5803430210621805</v>
      </c>
      <c r="O669">
        <v>38.33</v>
      </c>
      <c r="P669">
        <v>856.00199999999995</v>
      </c>
      <c r="Q669">
        <v>66</v>
      </c>
      <c r="R669">
        <v>13.58</v>
      </c>
    </row>
    <row r="670" spans="1:18" x14ac:dyDescent="0.25">
      <c r="A670" s="1" t="s">
        <v>128</v>
      </c>
      <c r="B670" s="2" t="s">
        <v>563</v>
      </c>
      <c r="C670" s="19">
        <v>44</v>
      </c>
      <c r="D670" s="3" t="s">
        <v>496</v>
      </c>
      <c r="E670" s="3" t="s">
        <v>31</v>
      </c>
      <c r="F670" s="23">
        <v>151876</v>
      </c>
      <c r="G670" s="15">
        <v>2013</v>
      </c>
      <c r="H670" s="15">
        <f>Table_7[[#This Row],[Listing Price (USD)]]/10000</f>
        <v>15.1876</v>
      </c>
      <c r="I670" s="28">
        <f>Table_7[[#This Row],[Length 
(ft)]]</f>
        <v>44</v>
      </c>
      <c r="J670" s="28">
        <f>2020-Table_7[[#This Row],[Year]]</f>
        <v>7</v>
      </c>
      <c r="K670">
        <v>57472012426.685303</v>
      </c>
      <c r="L670">
        <v>14198.753959474399</v>
      </c>
      <c r="M670">
        <v>0.15481137456202801</v>
      </c>
      <c r="N670">
        <v>-8.5803430210621805</v>
      </c>
      <c r="O670">
        <v>38.33</v>
      </c>
      <c r="P670">
        <v>856.00199999999995</v>
      </c>
      <c r="Q670">
        <v>66</v>
      </c>
      <c r="R670">
        <v>13.58</v>
      </c>
    </row>
    <row r="671" spans="1:18" x14ac:dyDescent="0.25">
      <c r="A671" s="1" t="s">
        <v>128</v>
      </c>
      <c r="B671" s="2" t="s">
        <v>563</v>
      </c>
      <c r="C671" s="19">
        <v>44</v>
      </c>
      <c r="D671" s="3" t="s">
        <v>496</v>
      </c>
      <c r="E671" s="3" t="s">
        <v>9</v>
      </c>
      <c r="F671" s="23">
        <v>217431</v>
      </c>
      <c r="G671" s="15">
        <v>2013</v>
      </c>
      <c r="H671" s="15">
        <f>Table_7[[#This Row],[Listing Price (USD)]]/10000</f>
        <v>21.743099999999998</v>
      </c>
      <c r="I671" s="28">
        <f>Table_7[[#This Row],[Length 
(ft)]]</f>
        <v>44</v>
      </c>
      <c r="J671" s="28">
        <f>2020-Table_7[[#This Row],[Year]]</f>
        <v>7</v>
      </c>
      <c r="K671">
        <v>1276962685648.25</v>
      </c>
      <c r="L671">
        <v>26959.675436732599</v>
      </c>
      <c r="M671">
        <v>-0.32275301729970501</v>
      </c>
      <c r="N671">
        <v>-11.3254383222864</v>
      </c>
      <c r="O671">
        <v>38.33</v>
      </c>
      <c r="P671">
        <v>856.00199999999995</v>
      </c>
      <c r="Q671">
        <v>66</v>
      </c>
      <c r="R671">
        <v>13.58</v>
      </c>
    </row>
    <row r="672" spans="1:18" x14ac:dyDescent="0.25">
      <c r="A672" s="1" t="s">
        <v>128</v>
      </c>
      <c r="B672" s="2" t="s">
        <v>563</v>
      </c>
      <c r="C672" s="19">
        <v>44</v>
      </c>
      <c r="D672" s="3" t="s">
        <v>496</v>
      </c>
      <c r="E672" s="3" t="s">
        <v>3</v>
      </c>
      <c r="F672" s="23">
        <v>236926</v>
      </c>
      <c r="G672" s="15">
        <v>2011</v>
      </c>
      <c r="H672" s="15">
        <f>Table_7[[#This Row],[Listing Price (USD)]]/10000</f>
        <v>23.692599999999999</v>
      </c>
      <c r="I672" s="28">
        <f>Table_7[[#This Row],[Length 
(ft)]]</f>
        <v>44</v>
      </c>
      <c r="J672" s="28">
        <f>2020-Table_7[[#This Row],[Year]]</f>
        <v>9</v>
      </c>
      <c r="K672">
        <v>2639008701648.2598</v>
      </c>
      <c r="L672">
        <v>39055.282928075401</v>
      </c>
      <c r="M672">
        <v>0.47649885272508302</v>
      </c>
      <c r="N672">
        <v>-7.7845864916787102</v>
      </c>
      <c r="O672">
        <v>38.33</v>
      </c>
      <c r="P672">
        <v>856.00199999999995</v>
      </c>
      <c r="Q672">
        <v>66</v>
      </c>
      <c r="R672">
        <v>13.58</v>
      </c>
    </row>
    <row r="673" spans="1:18" x14ac:dyDescent="0.25">
      <c r="A673" s="1" t="s">
        <v>128</v>
      </c>
      <c r="B673" s="2" t="s">
        <v>563</v>
      </c>
      <c r="C673" s="19">
        <v>44</v>
      </c>
      <c r="D673" s="3" t="s">
        <v>496</v>
      </c>
      <c r="E673" s="3" t="s">
        <v>9</v>
      </c>
      <c r="F673" s="23">
        <v>240477</v>
      </c>
      <c r="G673" s="15">
        <v>2013</v>
      </c>
      <c r="H673" s="15">
        <f>Table_7[[#This Row],[Listing Price (USD)]]/10000</f>
        <v>24.047699999999999</v>
      </c>
      <c r="I673" s="28">
        <f>Table_7[[#This Row],[Length 
(ft)]]</f>
        <v>44</v>
      </c>
      <c r="J673" s="28">
        <f>2020-Table_7[[#This Row],[Year]]</f>
        <v>7</v>
      </c>
      <c r="K673">
        <v>1276962685648.25</v>
      </c>
      <c r="L673">
        <v>26959.675436732599</v>
      </c>
      <c r="M673">
        <v>-0.32275301729970501</v>
      </c>
      <c r="N673">
        <v>-11.3254383222864</v>
      </c>
      <c r="O673">
        <v>38.33</v>
      </c>
      <c r="P673">
        <v>856.00199999999995</v>
      </c>
      <c r="Q673">
        <v>66</v>
      </c>
      <c r="R673">
        <v>13.58</v>
      </c>
    </row>
    <row r="674" spans="1:18" x14ac:dyDescent="0.25">
      <c r="A674" s="1" t="s">
        <v>187</v>
      </c>
      <c r="B674" s="3" t="s">
        <v>246</v>
      </c>
      <c r="C674" s="19">
        <v>45</v>
      </c>
      <c r="D674" s="3" t="s">
        <v>495</v>
      </c>
      <c r="E674" s="3" t="s">
        <v>333</v>
      </c>
      <c r="F674" s="23">
        <v>189900</v>
      </c>
      <c r="G674" s="15">
        <v>2012</v>
      </c>
      <c r="H674" s="15">
        <f>Table_7[[#This Row],[Listing Price (USD)]]/10000</f>
        <v>18.989999999999998</v>
      </c>
      <c r="I674" s="28">
        <f>Table_7[[#This Row],[Length 
(ft)]]</f>
        <v>45</v>
      </c>
      <c r="J674" s="28">
        <f>2020-Table_7[[#This Row],[Year]]</f>
        <v>8</v>
      </c>
      <c r="K674">
        <v>1106036000000</v>
      </c>
      <c r="L674">
        <v>51276.72</v>
      </c>
      <c r="M674">
        <v>1.23</v>
      </c>
      <c r="N674">
        <v>2.9</v>
      </c>
      <c r="O674">
        <v>39.17</v>
      </c>
      <c r="P674">
        <v>833.00199999999995</v>
      </c>
      <c r="Q674">
        <v>66</v>
      </c>
      <c r="R674">
        <v>14.5</v>
      </c>
    </row>
    <row r="675" spans="1:18" x14ac:dyDescent="0.25">
      <c r="A675" s="1" t="s">
        <v>187</v>
      </c>
      <c r="B675" s="3" t="s">
        <v>246</v>
      </c>
      <c r="C675" s="19">
        <v>45</v>
      </c>
      <c r="D675" s="3" t="s">
        <v>495</v>
      </c>
      <c r="E675" s="3" t="s">
        <v>545</v>
      </c>
      <c r="F675" s="23">
        <v>210000</v>
      </c>
      <c r="G675" s="15">
        <v>2008</v>
      </c>
      <c r="H675" s="15">
        <f>Table_7[[#This Row],[Listing Price (USD)]]/10000</f>
        <v>21</v>
      </c>
      <c r="I675" s="28">
        <f>Table_7[[#This Row],[Length 
(ft)]]</f>
        <v>45</v>
      </c>
      <c r="J675" s="28">
        <f>2020-Table_7[[#This Row],[Year]]</f>
        <v>12</v>
      </c>
      <c r="K675">
        <v>515120000000</v>
      </c>
      <c r="L675">
        <v>51165.75</v>
      </c>
      <c r="M675">
        <v>1.23</v>
      </c>
      <c r="N675">
        <v>2.6</v>
      </c>
      <c r="O675">
        <v>39.17</v>
      </c>
      <c r="P675">
        <v>833.00199999999995</v>
      </c>
      <c r="Q675">
        <v>66</v>
      </c>
      <c r="R675">
        <v>14.5</v>
      </c>
    </row>
    <row r="676" spans="1:18" x14ac:dyDescent="0.25">
      <c r="A676" s="1" t="s">
        <v>244</v>
      </c>
      <c r="B676" s="2" t="s">
        <v>246</v>
      </c>
      <c r="C676" s="19">
        <v>45</v>
      </c>
      <c r="D676" s="3" t="s">
        <v>496</v>
      </c>
      <c r="E676" s="3" t="s">
        <v>9</v>
      </c>
      <c r="F676" s="23">
        <v>386305</v>
      </c>
      <c r="G676" s="15">
        <v>2011</v>
      </c>
      <c r="H676" s="15">
        <f>Table_7[[#This Row],[Listing Price (USD)]]/10000</f>
        <v>38.630499999999998</v>
      </c>
      <c r="I676" s="28">
        <f>Table_7[[#This Row],[Length 
(ft)]]</f>
        <v>45</v>
      </c>
      <c r="J676" s="28">
        <f>2020-Table_7[[#This Row],[Year]]</f>
        <v>9</v>
      </c>
      <c r="K676">
        <v>1276962685648.25</v>
      </c>
      <c r="L676">
        <v>26959.675436732599</v>
      </c>
      <c r="M676">
        <v>-0.32275301729970501</v>
      </c>
      <c r="N676">
        <v>-11.3254383222864</v>
      </c>
      <c r="O676">
        <v>39.17</v>
      </c>
      <c r="P676">
        <v>833.00199999999995</v>
      </c>
      <c r="Q676">
        <v>66</v>
      </c>
      <c r="R676">
        <v>14.5</v>
      </c>
    </row>
    <row r="677" spans="1:18" x14ac:dyDescent="0.25">
      <c r="A677" s="1" t="s">
        <v>244</v>
      </c>
      <c r="B677" s="2" t="s">
        <v>246</v>
      </c>
      <c r="C677" s="19">
        <v>45</v>
      </c>
      <c r="D677" s="3" t="s">
        <v>496</v>
      </c>
      <c r="E677" s="3" t="s">
        <v>18</v>
      </c>
      <c r="F677" s="23">
        <v>394776</v>
      </c>
      <c r="G677" s="15">
        <v>2009</v>
      </c>
      <c r="H677" s="15">
        <f>Table_7[[#This Row],[Listing Price (USD)]]/10000</f>
        <v>39.477600000000002</v>
      </c>
      <c r="I677" s="28">
        <f>Table_7[[#This Row],[Length 
(ft)]]</f>
        <v>45</v>
      </c>
      <c r="J677" s="28">
        <f>2020-Table_7[[#This Row],[Year]]</f>
        <v>11</v>
      </c>
      <c r="K677">
        <v>188925995936.80701</v>
      </c>
      <c r="L677">
        <v>17658.947301119199</v>
      </c>
      <c r="M677">
        <v>-1.2479835558140799</v>
      </c>
      <c r="N677">
        <v>-9.0040436420214593</v>
      </c>
      <c r="O677">
        <v>39.17</v>
      </c>
      <c r="P677">
        <v>833.00199999999995</v>
      </c>
      <c r="Q677">
        <v>66</v>
      </c>
      <c r="R677">
        <v>14.5</v>
      </c>
    </row>
    <row r="678" spans="1:18" x14ac:dyDescent="0.25">
      <c r="A678" s="1" t="s">
        <v>244</v>
      </c>
      <c r="B678" s="2" t="s">
        <v>246</v>
      </c>
      <c r="C678" s="19">
        <v>45</v>
      </c>
      <c r="D678" s="3" t="s">
        <v>496</v>
      </c>
      <c r="E678" s="3" t="s">
        <v>9</v>
      </c>
      <c r="F678" s="23">
        <v>437291</v>
      </c>
      <c r="G678" s="15">
        <v>2010</v>
      </c>
      <c r="H678" s="15">
        <f>Table_7[[#This Row],[Listing Price (USD)]]/10000</f>
        <v>43.729100000000003</v>
      </c>
      <c r="I678" s="28">
        <f>Table_7[[#This Row],[Length 
(ft)]]</f>
        <v>45</v>
      </c>
      <c r="J678" s="28">
        <f>2020-Table_7[[#This Row],[Year]]</f>
        <v>10</v>
      </c>
      <c r="K678">
        <v>1276962685648.25</v>
      </c>
      <c r="L678">
        <v>26959.675436732599</v>
      </c>
      <c r="M678">
        <v>-0.32275301729970501</v>
      </c>
      <c r="N678">
        <v>-11.3254383222864</v>
      </c>
      <c r="O678">
        <v>39.17</v>
      </c>
      <c r="P678">
        <v>833.00199999999995</v>
      </c>
      <c r="Q678">
        <v>66</v>
      </c>
      <c r="R678">
        <v>14.5</v>
      </c>
    </row>
    <row r="679" spans="1:18" x14ac:dyDescent="0.25">
      <c r="A679" s="1" t="s">
        <v>244</v>
      </c>
      <c r="B679" s="2" t="s">
        <v>247</v>
      </c>
      <c r="C679" s="19">
        <v>45</v>
      </c>
      <c r="D679" s="3" t="s">
        <v>496</v>
      </c>
      <c r="E679" s="3" t="s">
        <v>18</v>
      </c>
      <c r="F679" s="23">
        <v>394776</v>
      </c>
      <c r="G679" s="15">
        <v>2010</v>
      </c>
      <c r="H679" s="15">
        <f>Table_7[[#This Row],[Listing Price (USD)]]/10000</f>
        <v>39.477600000000002</v>
      </c>
      <c r="I679" s="28">
        <f>Table_7[[#This Row],[Length 
(ft)]]</f>
        <v>45</v>
      </c>
      <c r="J679" s="28">
        <f>2020-Table_7[[#This Row],[Year]]</f>
        <v>10</v>
      </c>
      <c r="K679">
        <v>188925995936.80701</v>
      </c>
      <c r="L679">
        <v>17658.947301119199</v>
      </c>
      <c r="M679">
        <v>-1.2479835558140799</v>
      </c>
      <c r="N679">
        <v>-9.0040436420214593</v>
      </c>
      <c r="O679">
        <v>39.17</v>
      </c>
      <c r="P679">
        <v>833.00199999999995</v>
      </c>
      <c r="Q679">
        <v>66</v>
      </c>
      <c r="R679">
        <v>14.5</v>
      </c>
    </row>
    <row r="680" spans="1:18" x14ac:dyDescent="0.25">
      <c r="A680" s="1" t="s">
        <v>128</v>
      </c>
      <c r="B680" s="2" t="s">
        <v>567</v>
      </c>
      <c r="C680" s="19">
        <v>48</v>
      </c>
      <c r="D680" s="3" t="s">
        <v>496</v>
      </c>
      <c r="E680" s="3" t="s">
        <v>9</v>
      </c>
      <c r="F680" s="23">
        <v>188285</v>
      </c>
      <c r="G680" s="15">
        <v>2007</v>
      </c>
      <c r="H680" s="15">
        <f>Table_7[[#This Row],[Listing Price (USD)]]/10000</f>
        <v>18.828499999999998</v>
      </c>
      <c r="I680" s="28">
        <f>Table_7[[#This Row],[Length 
(ft)]]</f>
        <v>48</v>
      </c>
      <c r="J680" s="28">
        <f>2020-Table_7[[#This Row],[Year]]</f>
        <v>13</v>
      </c>
      <c r="K680">
        <v>1276962685648.25</v>
      </c>
      <c r="L680">
        <v>26959.675436732599</v>
      </c>
      <c r="M680">
        <v>-0.32275301729970501</v>
      </c>
      <c r="N680">
        <v>-11.3254383222864</v>
      </c>
      <c r="O680">
        <v>42.65</v>
      </c>
      <c r="P680">
        <v>1172.002</v>
      </c>
      <c r="Q680">
        <v>66</v>
      </c>
      <c r="R680">
        <v>15.42</v>
      </c>
    </row>
    <row r="681" spans="1:18" x14ac:dyDescent="0.25">
      <c r="A681" s="1" t="s">
        <v>128</v>
      </c>
      <c r="B681" s="2" t="s">
        <v>567</v>
      </c>
      <c r="C681" s="19">
        <v>48</v>
      </c>
      <c r="D681" s="3" t="s">
        <v>496</v>
      </c>
      <c r="E681" s="3" t="s">
        <v>24</v>
      </c>
      <c r="F681" s="23">
        <v>200433</v>
      </c>
      <c r="G681" s="15">
        <v>2007</v>
      </c>
      <c r="H681" s="15">
        <f>Table_7[[#This Row],[Listing Price (USD)]]/10000</f>
        <v>20.043299999999999</v>
      </c>
      <c r="I681" s="28">
        <f>Table_7[[#This Row],[Length 
(ft)]]</f>
        <v>48</v>
      </c>
      <c r="J681" s="28">
        <f>2020-Table_7[[#This Row],[Year]]</f>
        <v>13</v>
      </c>
      <c r="K681">
        <v>1896755301518.1399</v>
      </c>
      <c r="L681">
        <v>31911.0357890017</v>
      </c>
      <c r="M681">
        <v>-0.13770757391656999</v>
      </c>
      <c r="N681">
        <v>-9.0399534112288507</v>
      </c>
      <c r="O681">
        <v>42.65</v>
      </c>
      <c r="P681">
        <v>1172.002</v>
      </c>
      <c r="Q681">
        <v>66</v>
      </c>
      <c r="R681">
        <v>15.42</v>
      </c>
    </row>
    <row r="682" spans="1:18" x14ac:dyDescent="0.25">
      <c r="A682" s="1" t="s">
        <v>128</v>
      </c>
      <c r="B682" s="2" t="s">
        <v>567</v>
      </c>
      <c r="C682" s="19">
        <v>48</v>
      </c>
      <c r="D682" s="3" t="s">
        <v>496</v>
      </c>
      <c r="E682" s="3" t="s">
        <v>9</v>
      </c>
      <c r="F682" s="23">
        <v>204069</v>
      </c>
      <c r="G682" s="15">
        <v>2007</v>
      </c>
      <c r="H682" s="15">
        <f>Table_7[[#This Row],[Listing Price (USD)]]/10000</f>
        <v>20.4069</v>
      </c>
      <c r="I682" s="28">
        <f>Table_7[[#This Row],[Length 
(ft)]]</f>
        <v>48</v>
      </c>
      <c r="J682" s="28">
        <f>2020-Table_7[[#This Row],[Year]]</f>
        <v>13</v>
      </c>
      <c r="K682">
        <v>1276962685648.25</v>
      </c>
      <c r="L682">
        <v>26959.675436732599</v>
      </c>
      <c r="M682">
        <v>-0.32275301729970501</v>
      </c>
      <c r="N682">
        <v>-11.3254383222864</v>
      </c>
      <c r="O682">
        <v>42.65</v>
      </c>
      <c r="P682">
        <v>1172.002</v>
      </c>
      <c r="Q682">
        <v>66</v>
      </c>
      <c r="R682">
        <v>15.42</v>
      </c>
    </row>
    <row r="683" spans="1:18" x14ac:dyDescent="0.25">
      <c r="A683" s="1" t="s">
        <v>128</v>
      </c>
      <c r="B683" s="2" t="s">
        <v>567</v>
      </c>
      <c r="C683" s="19">
        <v>48</v>
      </c>
      <c r="D683" s="3" t="s">
        <v>496</v>
      </c>
      <c r="E683" s="3" t="s">
        <v>24</v>
      </c>
      <c r="F683" s="23">
        <v>212580</v>
      </c>
      <c r="G683" s="15">
        <v>2007</v>
      </c>
      <c r="H683" s="15">
        <f>Table_7[[#This Row],[Listing Price (USD)]]/10000</f>
        <v>21.257999999999999</v>
      </c>
      <c r="I683" s="28">
        <f>Table_7[[#This Row],[Length 
(ft)]]</f>
        <v>48</v>
      </c>
      <c r="J683" s="28">
        <f>2020-Table_7[[#This Row],[Year]]</f>
        <v>13</v>
      </c>
      <c r="K683">
        <v>1896755301518.1399</v>
      </c>
      <c r="L683">
        <v>31911.0357890017</v>
      </c>
      <c r="M683">
        <v>-0.13770757391656999</v>
      </c>
      <c r="N683">
        <v>-9.0399534112288507</v>
      </c>
      <c r="O683">
        <v>42.65</v>
      </c>
      <c r="P683">
        <v>1172.002</v>
      </c>
      <c r="Q683">
        <v>66</v>
      </c>
      <c r="R683">
        <v>15.42</v>
      </c>
    </row>
    <row r="684" spans="1:18" x14ac:dyDescent="0.25">
      <c r="A684" s="1" t="s">
        <v>128</v>
      </c>
      <c r="B684" s="2" t="s">
        <v>567</v>
      </c>
      <c r="C684" s="19">
        <v>48</v>
      </c>
      <c r="D684" s="3" t="s">
        <v>496</v>
      </c>
      <c r="E684" s="3" t="s">
        <v>24</v>
      </c>
      <c r="F684" s="23">
        <v>230802</v>
      </c>
      <c r="G684" s="15">
        <v>2008</v>
      </c>
      <c r="H684" s="15">
        <f>Table_7[[#This Row],[Listing Price (USD)]]/10000</f>
        <v>23.080200000000001</v>
      </c>
      <c r="I684" s="28">
        <f>Table_7[[#This Row],[Length 
(ft)]]</f>
        <v>48</v>
      </c>
      <c r="J684" s="28">
        <f>2020-Table_7[[#This Row],[Year]]</f>
        <v>12</v>
      </c>
      <c r="K684">
        <v>1896755301518.1399</v>
      </c>
      <c r="L684">
        <v>31911.0357890017</v>
      </c>
      <c r="M684">
        <v>-0.13770757391656999</v>
      </c>
      <c r="N684">
        <v>-9.0399534112288507</v>
      </c>
      <c r="O684">
        <v>42.65</v>
      </c>
      <c r="P684">
        <v>1172.002</v>
      </c>
      <c r="Q684">
        <v>66</v>
      </c>
      <c r="R684">
        <v>15.42</v>
      </c>
    </row>
    <row r="685" spans="1:18" x14ac:dyDescent="0.25">
      <c r="A685" s="1" t="s">
        <v>128</v>
      </c>
      <c r="B685" s="2" t="s">
        <v>571</v>
      </c>
      <c r="C685" s="19">
        <v>50</v>
      </c>
      <c r="D685" s="3" t="s">
        <v>496</v>
      </c>
      <c r="E685" s="3" t="s">
        <v>3</v>
      </c>
      <c r="F685" s="23">
        <v>229578</v>
      </c>
      <c r="G685" s="15">
        <v>2008</v>
      </c>
      <c r="H685" s="15">
        <f>Table_7[[#This Row],[Listing Price (USD)]]/10000</f>
        <v>22.957799999999999</v>
      </c>
      <c r="I685" s="28">
        <f>Table_7[[#This Row],[Length 
(ft)]]</f>
        <v>50</v>
      </c>
      <c r="J685" s="28">
        <f>2020-Table_7[[#This Row],[Year]]</f>
        <v>12</v>
      </c>
      <c r="K685">
        <v>2639008701648.2598</v>
      </c>
      <c r="L685">
        <v>39055.282928075401</v>
      </c>
      <c r="M685">
        <v>0.47649885272508302</v>
      </c>
      <c r="N685">
        <v>-7.7845864916787102</v>
      </c>
      <c r="O685">
        <v>45.08</v>
      </c>
      <c r="P685">
        <v>1065.002</v>
      </c>
      <c r="Q685">
        <v>66</v>
      </c>
      <c r="R685">
        <v>16.079999999999998</v>
      </c>
    </row>
    <row r="686" spans="1:18" x14ac:dyDescent="0.25">
      <c r="A686" s="1" t="s">
        <v>128</v>
      </c>
      <c r="B686" s="2" t="s">
        <v>571</v>
      </c>
      <c r="C686" s="19">
        <v>50</v>
      </c>
      <c r="D686" s="3" t="s">
        <v>496</v>
      </c>
      <c r="E686" s="3" t="s">
        <v>3</v>
      </c>
      <c r="F686" s="23">
        <v>229587</v>
      </c>
      <c r="G686" s="15">
        <v>2008</v>
      </c>
      <c r="H686" s="15">
        <f>Table_7[[#This Row],[Listing Price (USD)]]/10000</f>
        <v>22.9587</v>
      </c>
      <c r="I686" s="28">
        <f>Table_7[[#This Row],[Length 
(ft)]]</f>
        <v>50</v>
      </c>
      <c r="J686" s="28">
        <f>2020-Table_7[[#This Row],[Year]]</f>
        <v>12</v>
      </c>
      <c r="K686">
        <v>2639008701648.2598</v>
      </c>
      <c r="L686">
        <v>39055.282928075401</v>
      </c>
      <c r="M686">
        <v>0.47649885272508302</v>
      </c>
      <c r="N686">
        <v>-7.7845864916787102</v>
      </c>
      <c r="O686">
        <v>45.08</v>
      </c>
      <c r="P686">
        <v>1065.002</v>
      </c>
      <c r="Q686">
        <v>66</v>
      </c>
      <c r="R686">
        <v>16.079999999999998</v>
      </c>
    </row>
    <row r="687" spans="1:18" x14ac:dyDescent="0.25">
      <c r="A687" s="1" t="s">
        <v>128</v>
      </c>
      <c r="B687" s="2" t="s">
        <v>571</v>
      </c>
      <c r="C687" s="19">
        <v>50</v>
      </c>
      <c r="D687" s="3" t="s">
        <v>496</v>
      </c>
      <c r="E687" s="3" t="s">
        <v>9</v>
      </c>
      <c r="F687" s="23">
        <v>261160</v>
      </c>
      <c r="G687" s="15">
        <v>2007</v>
      </c>
      <c r="H687" s="15">
        <f>Table_7[[#This Row],[Listing Price (USD)]]/10000</f>
        <v>26.116</v>
      </c>
      <c r="I687" s="28">
        <f>Table_7[[#This Row],[Length 
(ft)]]</f>
        <v>50</v>
      </c>
      <c r="J687" s="28">
        <f>2020-Table_7[[#This Row],[Year]]</f>
        <v>13</v>
      </c>
      <c r="K687">
        <v>1276962685648.25</v>
      </c>
      <c r="L687">
        <v>26959.675436732599</v>
      </c>
      <c r="M687">
        <v>-0.32275301729970501</v>
      </c>
      <c r="N687">
        <v>-11.3254383222864</v>
      </c>
      <c r="O687">
        <v>45.08</v>
      </c>
      <c r="P687">
        <v>1065.002</v>
      </c>
      <c r="Q687">
        <v>66</v>
      </c>
      <c r="R687">
        <v>16.079999999999998</v>
      </c>
    </row>
    <row r="688" spans="1:18" x14ac:dyDescent="0.25">
      <c r="A688" s="1" t="s">
        <v>128</v>
      </c>
      <c r="B688" s="2" t="s">
        <v>571</v>
      </c>
      <c r="C688" s="19">
        <v>50</v>
      </c>
      <c r="D688" s="3" t="s">
        <v>496</v>
      </c>
      <c r="E688" s="3" t="s">
        <v>3</v>
      </c>
      <c r="F688" s="23">
        <v>285454</v>
      </c>
      <c r="G688" s="15">
        <v>2010</v>
      </c>
      <c r="H688" s="15">
        <f>Table_7[[#This Row],[Listing Price (USD)]]/10000</f>
        <v>28.545400000000001</v>
      </c>
      <c r="I688" s="28">
        <f>Table_7[[#This Row],[Length 
(ft)]]</f>
        <v>50</v>
      </c>
      <c r="J688" s="28">
        <f>2020-Table_7[[#This Row],[Year]]</f>
        <v>10</v>
      </c>
      <c r="K688">
        <v>2639008701648.2598</v>
      </c>
      <c r="L688">
        <v>39055.282928075401</v>
      </c>
      <c r="M688">
        <v>0.47649885272508302</v>
      </c>
      <c r="N688">
        <v>-7.7845864916787102</v>
      </c>
      <c r="O688">
        <v>45.08</v>
      </c>
      <c r="P688">
        <v>1065.002</v>
      </c>
      <c r="Q688">
        <v>66</v>
      </c>
      <c r="R688">
        <v>16.079999999999998</v>
      </c>
    </row>
    <row r="689" spans="1:18" x14ac:dyDescent="0.25">
      <c r="A689" s="1" t="s">
        <v>128</v>
      </c>
      <c r="B689" s="2" t="s">
        <v>571</v>
      </c>
      <c r="C689" s="19">
        <v>50</v>
      </c>
      <c r="D689" s="3" t="s">
        <v>496</v>
      </c>
      <c r="E689" s="3" t="s">
        <v>24</v>
      </c>
      <c r="F689" s="23">
        <v>291527</v>
      </c>
      <c r="G689" s="15">
        <v>2008</v>
      </c>
      <c r="H689" s="15">
        <f>Table_7[[#This Row],[Listing Price (USD)]]/10000</f>
        <v>29.152699999999999</v>
      </c>
      <c r="I689" s="28">
        <f>Table_7[[#This Row],[Length 
(ft)]]</f>
        <v>50</v>
      </c>
      <c r="J689" s="28">
        <f>2020-Table_7[[#This Row],[Year]]</f>
        <v>12</v>
      </c>
      <c r="K689">
        <v>1896755301518.1399</v>
      </c>
      <c r="L689">
        <v>31911.0357890017</v>
      </c>
      <c r="M689">
        <v>-0.13770757391656999</v>
      </c>
      <c r="N689">
        <v>-9.0399534112288507</v>
      </c>
      <c r="O689">
        <v>45.08</v>
      </c>
      <c r="P689">
        <v>1065.002</v>
      </c>
      <c r="Q689">
        <v>66</v>
      </c>
      <c r="R689">
        <v>16.079999999999998</v>
      </c>
    </row>
    <row r="690" spans="1:18" x14ac:dyDescent="0.25">
      <c r="A690" s="1" t="s">
        <v>128</v>
      </c>
      <c r="B690" s="2" t="s">
        <v>571</v>
      </c>
      <c r="C690" s="19">
        <v>50</v>
      </c>
      <c r="D690" s="3" t="s">
        <v>496</v>
      </c>
      <c r="E690" s="3" t="s">
        <v>18</v>
      </c>
      <c r="F690" s="23">
        <v>302459</v>
      </c>
      <c r="G690" s="15">
        <v>2011</v>
      </c>
      <c r="H690" s="15">
        <f>Table_7[[#This Row],[Listing Price (USD)]]/10000</f>
        <v>30.245899999999999</v>
      </c>
      <c r="I690" s="28">
        <f>Table_7[[#This Row],[Length 
(ft)]]</f>
        <v>50</v>
      </c>
      <c r="J690" s="28">
        <f>2020-Table_7[[#This Row],[Year]]</f>
        <v>9</v>
      </c>
      <c r="K690">
        <v>188925995936.80701</v>
      </c>
      <c r="L690">
        <v>17658.947301119199</v>
      </c>
      <c r="M690">
        <v>-1.2479835558140799</v>
      </c>
      <c r="N690">
        <v>-9.0040436420214593</v>
      </c>
      <c r="O690">
        <v>45.08</v>
      </c>
      <c r="P690">
        <v>1065.002</v>
      </c>
      <c r="Q690">
        <v>66</v>
      </c>
      <c r="R690">
        <v>16.079999999999998</v>
      </c>
    </row>
    <row r="691" spans="1:18" x14ac:dyDescent="0.25">
      <c r="A691" s="1" t="s">
        <v>128</v>
      </c>
      <c r="B691" s="2" t="s">
        <v>571</v>
      </c>
      <c r="C691" s="19">
        <v>50</v>
      </c>
      <c r="D691" s="3" t="s">
        <v>496</v>
      </c>
      <c r="E691" s="3" t="s">
        <v>9</v>
      </c>
      <c r="F691" s="23">
        <v>394776</v>
      </c>
      <c r="G691" s="15">
        <v>2012</v>
      </c>
      <c r="H691" s="15">
        <f>Table_7[[#This Row],[Listing Price (USD)]]/10000</f>
        <v>39.477600000000002</v>
      </c>
      <c r="I691" s="28">
        <f>Table_7[[#This Row],[Length 
(ft)]]</f>
        <v>50</v>
      </c>
      <c r="J691" s="28">
        <f>2020-Table_7[[#This Row],[Year]]</f>
        <v>8</v>
      </c>
      <c r="K691">
        <v>1276962685648.25</v>
      </c>
      <c r="L691">
        <v>26959.675436732599</v>
      </c>
      <c r="M691">
        <v>-0.32275301729970501</v>
      </c>
      <c r="N691">
        <v>-11.3254383222864</v>
      </c>
      <c r="O691">
        <v>45.08</v>
      </c>
      <c r="P691">
        <v>1065.002</v>
      </c>
      <c r="Q691">
        <v>66</v>
      </c>
      <c r="R691">
        <v>16.079999999999998</v>
      </c>
    </row>
    <row r="692" spans="1:18" x14ac:dyDescent="0.25">
      <c r="A692" s="1" t="s">
        <v>128</v>
      </c>
      <c r="B692" s="2" t="s">
        <v>571</v>
      </c>
      <c r="C692" s="19">
        <v>50</v>
      </c>
      <c r="D692" s="3" t="s">
        <v>496</v>
      </c>
      <c r="E692" s="3" t="s">
        <v>141</v>
      </c>
      <c r="F692" s="23">
        <v>510172</v>
      </c>
      <c r="G692" s="15">
        <v>2012</v>
      </c>
      <c r="H692" s="15">
        <f>Table_7[[#This Row],[Listing Price (USD)]]/10000</f>
        <v>51.017200000000003</v>
      </c>
      <c r="I692" s="28">
        <f>Table_7[[#This Row],[Length 
(ft)]]</f>
        <v>50</v>
      </c>
      <c r="J692" s="28">
        <f>2020-Table_7[[#This Row],[Year]]</f>
        <v>8</v>
      </c>
      <c r="K692">
        <v>31370395572.7658</v>
      </c>
      <c r="L692">
        <v>23595.243683644101</v>
      </c>
      <c r="M692">
        <v>-0.44453109767985899</v>
      </c>
      <c r="N692">
        <v>-0.55100125774716002</v>
      </c>
      <c r="O692">
        <v>45.08</v>
      </c>
      <c r="P692">
        <v>1065.002</v>
      </c>
      <c r="Q692">
        <v>66</v>
      </c>
      <c r="R692">
        <v>16.079999999999998</v>
      </c>
    </row>
    <row r="693" spans="1:18" x14ac:dyDescent="0.25">
      <c r="A693" s="1" t="s">
        <v>14</v>
      </c>
      <c r="B693" s="2" t="s">
        <v>32</v>
      </c>
      <c r="C693" s="19">
        <v>45</v>
      </c>
      <c r="D693" s="3" t="s">
        <v>496</v>
      </c>
      <c r="E693" s="3" t="s">
        <v>22</v>
      </c>
      <c r="F693" s="23">
        <v>301321</v>
      </c>
      <c r="G693" s="15">
        <v>2019</v>
      </c>
      <c r="H693" s="15">
        <f>Table_7[[#This Row],[Listing Price (USD)]]/10000</f>
        <v>30.132100000000001</v>
      </c>
      <c r="I693" s="28">
        <f>Table_7[[#This Row],[Length 
(ft)]]</f>
        <v>45</v>
      </c>
      <c r="J693" s="28">
        <f>2020-Table_7[[#This Row],[Year]]</f>
        <v>1</v>
      </c>
      <c r="K693">
        <v>3889668895299.6201</v>
      </c>
      <c r="L693">
        <v>46772.825350754501</v>
      </c>
      <c r="M693">
        <v>0.50668988995327402</v>
      </c>
      <c r="N693">
        <v>-3.6967887053804298</v>
      </c>
      <c r="O693">
        <v>42.22</v>
      </c>
      <c r="P693">
        <v>1227.0920000000001</v>
      </c>
      <c r="Q693">
        <v>66</v>
      </c>
      <c r="R693">
        <v>14.73</v>
      </c>
    </row>
    <row r="694" spans="1:18" x14ac:dyDescent="0.25">
      <c r="A694" s="1" t="s">
        <v>14</v>
      </c>
      <c r="B694" s="2" t="s">
        <v>32</v>
      </c>
      <c r="C694" s="19">
        <v>45</v>
      </c>
      <c r="D694" s="3" t="s">
        <v>496</v>
      </c>
      <c r="E694" s="3" t="s">
        <v>22</v>
      </c>
      <c r="F694" s="23">
        <v>320761</v>
      </c>
      <c r="G694" s="15">
        <v>2019</v>
      </c>
      <c r="H694" s="15">
        <f>Table_7[[#This Row],[Listing Price (USD)]]/10000</f>
        <v>32.076099999999997</v>
      </c>
      <c r="I694" s="28">
        <f>Table_7[[#This Row],[Length 
(ft)]]</f>
        <v>45</v>
      </c>
      <c r="J694" s="28">
        <f>2020-Table_7[[#This Row],[Year]]</f>
        <v>1</v>
      </c>
      <c r="K694">
        <v>3889668895299.6201</v>
      </c>
      <c r="L694">
        <v>46772.825350754501</v>
      </c>
      <c r="M694">
        <v>0.50668988995327402</v>
      </c>
      <c r="N694">
        <v>-3.6967887053804298</v>
      </c>
      <c r="O694">
        <v>42.22</v>
      </c>
      <c r="P694">
        <v>1227.0920000000001</v>
      </c>
      <c r="Q694">
        <v>66</v>
      </c>
      <c r="R694">
        <v>14.73</v>
      </c>
    </row>
    <row r="695" spans="1:18" x14ac:dyDescent="0.25">
      <c r="A695" s="1" t="s">
        <v>14</v>
      </c>
      <c r="B695" s="2" t="s">
        <v>32</v>
      </c>
      <c r="C695" s="19">
        <v>45</v>
      </c>
      <c r="D695" s="3" t="s">
        <v>496</v>
      </c>
      <c r="E695" s="3" t="s">
        <v>31</v>
      </c>
      <c r="F695" s="23">
        <v>334126</v>
      </c>
      <c r="G695" s="15">
        <v>2018</v>
      </c>
      <c r="H695" s="15">
        <f>Table_7[[#This Row],[Listing Price (USD)]]/10000</f>
        <v>33.412599999999998</v>
      </c>
      <c r="I695" s="28">
        <f>Table_7[[#This Row],[Length 
(ft)]]</f>
        <v>45</v>
      </c>
      <c r="J695" s="28">
        <f>2020-Table_7[[#This Row],[Year]]</f>
        <v>2</v>
      </c>
      <c r="K695">
        <v>57472012426.685303</v>
      </c>
      <c r="L695">
        <v>14198.753959474399</v>
      </c>
      <c r="M695">
        <v>0.15481137456202801</v>
      </c>
      <c r="N695">
        <v>-8.5803430210621805</v>
      </c>
      <c r="O695">
        <v>42.22</v>
      </c>
      <c r="P695">
        <v>1227.0920000000001</v>
      </c>
      <c r="Q695">
        <v>66</v>
      </c>
      <c r="R695">
        <v>14.73</v>
      </c>
    </row>
    <row r="696" spans="1:18" x14ac:dyDescent="0.25">
      <c r="A696" s="1" t="s">
        <v>45</v>
      </c>
      <c r="B696" s="2" t="s">
        <v>74</v>
      </c>
      <c r="C696" s="19">
        <v>47</v>
      </c>
      <c r="D696" s="3" t="s">
        <v>496</v>
      </c>
      <c r="E696" s="3" t="s">
        <v>24</v>
      </c>
      <c r="F696" s="23">
        <v>127543</v>
      </c>
      <c r="G696" s="15">
        <v>2005</v>
      </c>
      <c r="H696" s="15">
        <f>Table_7[[#This Row],[Listing Price (USD)]]/10000</f>
        <v>12.754300000000001</v>
      </c>
      <c r="I696" s="28">
        <f>Table_7[[#This Row],[Length 
(ft)]]</f>
        <v>47</v>
      </c>
      <c r="J696" s="28">
        <f>2020-Table_7[[#This Row],[Year]]</f>
        <v>15</v>
      </c>
      <c r="K696">
        <v>1896755301518.1399</v>
      </c>
      <c r="L696">
        <v>31911.0357890017</v>
      </c>
      <c r="M696">
        <v>-0.13770757391656999</v>
      </c>
      <c r="N696">
        <v>-9.0399534112288507</v>
      </c>
      <c r="O696">
        <v>41.34</v>
      </c>
      <c r="P696">
        <v>1186</v>
      </c>
      <c r="Q696">
        <v>66</v>
      </c>
      <c r="R696">
        <v>14.63</v>
      </c>
    </row>
    <row r="697" spans="1:18" x14ac:dyDescent="0.25">
      <c r="A697" s="1" t="s">
        <v>45</v>
      </c>
      <c r="B697" s="2" t="s">
        <v>73</v>
      </c>
      <c r="C697" s="19">
        <v>47</v>
      </c>
      <c r="D697" s="3" t="s">
        <v>496</v>
      </c>
      <c r="E697" s="3" t="s">
        <v>31</v>
      </c>
      <c r="F697" s="23">
        <v>102034</v>
      </c>
      <c r="G697" s="15">
        <v>2005</v>
      </c>
      <c r="H697" s="15">
        <f>Table_7[[#This Row],[Listing Price (USD)]]/10000</f>
        <v>10.2034</v>
      </c>
      <c r="I697" s="28">
        <f>Table_7[[#This Row],[Length 
(ft)]]</f>
        <v>47</v>
      </c>
      <c r="J697" s="28">
        <f>2020-Table_7[[#This Row],[Year]]</f>
        <v>15</v>
      </c>
      <c r="K697">
        <v>57472012426.685303</v>
      </c>
      <c r="L697">
        <v>14198.753959474399</v>
      </c>
      <c r="M697">
        <v>0.15481137456202801</v>
      </c>
      <c r="N697">
        <v>-8.5803430210621805</v>
      </c>
      <c r="O697">
        <v>41.34</v>
      </c>
      <c r="P697">
        <v>1186</v>
      </c>
      <c r="Q697">
        <v>66</v>
      </c>
      <c r="R697">
        <v>14.63</v>
      </c>
    </row>
    <row r="698" spans="1:18" x14ac:dyDescent="0.25">
      <c r="A698" s="1" t="s">
        <v>45</v>
      </c>
      <c r="B698" s="2" t="s">
        <v>73</v>
      </c>
      <c r="C698" s="19">
        <v>47</v>
      </c>
      <c r="D698" s="3" t="s">
        <v>496</v>
      </c>
      <c r="E698" s="3" t="s">
        <v>31</v>
      </c>
      <c r="F698" s="23">
        <v>151837</v>
      </c>
      <c r="G698" s="15">
        <v>2006</v>
      </c>
      <c r="H698" s="15">
        <f>Table_7[[#This Row],[Listing Price (USD)]]/10000</f>
        <v>15.1837</v>
      </c>
      <c r="I698" s="28">
        <f>Table_7[[#This Row],[Length 
(ft)]]</f>
        <v>47</v>
      </c>
      <c r="J698" s="28">
        <f>2020-Table_7[[#This Row],[Year]]</f>
        <v>14</v>
      </c>
      <c r="K698">
        <v>57472012426.685303</v>
      </c>
      <c r="L698">
        <v>14198.753959474399</v>
      </c>
      <c r="M698">
        <v>0.15481137456202801</v>
      </c>
      <c r="N698">
        <v>-8.5803430210621805</v>
      </c>
      <c r="O698">
        <v>41.34</v>
      </c>
      <c r="P698">
        <v>1186</v>
      </c>
      <c r="Q698">
        <v>66</v>
      </c>
      <c r="R698">
        <v>14.63</v>
      </c>
    </row>
    <row r="699" spans="1:18" x14ac:dyDescent="0.25">
      <c r="A699" s="1" t="s">
        <v>45</v>
      </c>
      <c r="B699" s="2" t="s">
        <v>73</v>
      </c>
      <c r="C699" s="19">
        <v>47</v>
      </c>
      <c r="D699" s="3" t="s">
        <v>496</v>
      </c>
      <c r="E699" s="3" t="s">
        <v>9</v>
      </c>
      <c r="F699" s="23">
        <v>151876</v>
      </c>
      <c r="G699" s="15">
        <v>2006</v>
      </c>
      <c r="H699" s="15">
        <f>Table_7[[#This Row],[Listing Price (USD)]]/10000</f>
        <v>15.1876</v>
      </c>
      <c r="I699" s="28">
        <f>Table_7[[#This Row],[Length 
(ft)]]</f>
        <v>47</v>
      </c>
      <c r="J699" s="28">
        <f>2020-Table_7[[#This Row],[Year]]</f>
        <v>14</v>
      </c>
      <c r="K699">
        <v>1276962685648.25</v>
      </c>
      <c r="L699">
        <v>26959.675436732599</v>
      </c>
      <c r="M699">
        <v>-0.32275301729970501</v>
      </c>
      <c r="N699">
        <v>-11.3254383222864</v>
      </c>
      <c r="O699">
        <v>41.34</v>
      </c>
      <c r="P699">
        <v>1186</v>
      </c>
      <c r="Q699">
        <v>66</v>
      </c>
      <c r="R699">
        <v>14.63</v>
      </c>
    </row>
    <row r="700" spans="1:18" x14ac:dyDescent="0.25">
      <c r="A700" s="1" t="s">
        <v>45</v>
      </c>
      <c r="B700" s="2" t="s">
        <v>73</v>
      </c>
      <c r="C700" s="19">
        <v>47</v>
      </c>
      <c r="D700" s="3" t="s">
        <v>496</v>
      </c>
      <c r="E700" s="3" t="s">
        <v>9</v>
      </c>
      <c r="F700" s="23">
        <v>151876</v>
      </c>
      <c r="G700" s="15">
        <v>2006</v>
      </c>
      <c r="H700" s="15">
        <f>Table_7[[#This Row],[Listing Price (USD)]]/10000</f>
        <v>15.1876</v>
      </c>
      <c r="I700" s="28">
        <f>Table_7[[#This Row],[Length 
(ft)]]</f>
        <v>47</v>
      </c>
      <c r="J700" s="28">
        <f>2020-Table_7[[#This Row],[Year]]</f>
        <v>14</v>
      </c>
      <c r="K700">
        <v>1276962685648.25</v>
      </c>
      <c r="L700">
        <v>26959.675436732599</v>
      </c>
      <c r="M700">
        <v>-0.32275301729970501</v>
      </c>
      <c r="N700">
        <v>-11.3254383222864</v>
      </c>
      <c r="O700">
        <v>41.34</v>
      </c>
      <c r="P700">
        <v>1186</v>
      </c>
      <c r="Q700">
        <v>66</v>
      </c>
      <c r="R700">
        <v>14.63</v>
      </c>
    </row>
    <row r="701" spans="1:18" x14ac:dyDescent="0.25">
      <c r="A701" s="1" t="s">
        <v>45</v>
      </c>
      <c r="B701" s="2" t="s">
        <v>73</v>
      </c>
      <c r="C701" s="19">
        <v>47</v>
      </c>
      <c r="D701" s="3" t="s">
        <v>496</v>
      </c>
      <c r="E701" s="3" t="s">
        <v>9</v>
      </c>
      <c r="F701" s="23">
        <v>151876</v>
      </c>
      <c r="G701" s="15">
        <v>2006</v>
      </c>
      <c r="H701" s="15">
        <f>Table_7[[#This Row],[Listing Price (USD)]]/10000</f>
        <v>15.1876</v>
      </c>
      <c r="I701" s="28">
        <f>Table_7[[#This Row],[Length 
(ft)]]</f>
        <v>47</v>
      </c>
      <c r="J701" s="28">
        <f>2020-Table_7[[#This Row],[Year]]</f>
        <v>14</v>
      </c>
      <c r="K701">
        <v>1276962685648.25</v>
      </c>
      <c r="L701">
        <v>26959.675436732599</v>
      </c>
      <c r="M701">
        <v>-0.32275301729970501</v>
      </c>
      <c r="N701">
        <v>-11.3254383222864</v>
      </c>
      <c r="O701">
        <v>41.34</v>
      </c>
      <c r="P701">
        <v>1186</v>
      </c>
      <c r="Q701">
        <v>66</v>
      </c>
      <c r="R701">
        <v>14.63</v>
      </c>
    </row>
    <row r="702" spans="1:18" x14ac:dyDescent="0.25">
      <c r="A702" s="1" t="s">
        <v>45</v>
      </c>
      <c r="B702" s="3" t="s">
        <v>73</v>
      </c>
      <c r="C702" s="19">
        <v>47</v>
      </c>
      <c r="D702" s="3" t="s">
        <v>495</v>
      </c>
      <c r="E702" s="3" t="s">
        <v>519</v>
      </c>
      <c r="F702" s="23">
        <v>185000</v>
      </c>
      <c r="G702" s="15">
        <v>2005</v>
      </c>
      <c r="H702" s="15">
        <f>Table_7[[#This Row],[Listing Price (USD)]]/10000</f>
        <v>18.5</v>
      </c>
      <c r="I702" s="28">
        <f>Table_7[[#This Row],[Length 
(ft)]]</f>
        <v>47</v>
      </c>
      <c r="J702" s="28">
        <f>2020-Table_7[[#This Row],[Year]]</f>
        <v>15</v>
      </c>
      <c r="K702">
        <v>589829000000</v>
      </c>
      <c r="L702">
        <v>56404.23</v>
      </c>
      <c r="M702">
        <v>1.23</v>
      </c>
      <c r="N702">
        <v>2.8</v>
      </c>
      <c r="O702">
        <v>41.34</v>
      </c>
      <c r="P702">
        <v>1186</v>
      </c>
      <c r="Q702">
        <v>66</v>
      </c>
      <c r="R702">
        <v>14.63</v>
      </c>
    </row>
    <row r="703" spans="1:18" x14ac:dyDescent="0.25">
      <c r="A703" s="1" t="s">
        <v>45</v>
      </c>
      <c r="B703" s="3" t="s">
        <v>73</v>
      </c>
      <c r="C703" s="19">
        <v>47</v>
      </c>
      <c r="D703" s="3" t="s">
        <v>495</v>
      </c>
      <c r="E703" s="3" t="s">
        <v>515</v>
      </c>
      <c r="F703" s="23">
        <v>195000</v>
      </c>
      <c r="G703" s="15">
        <v>2005</v>
      </c>
      <c r="H703" s="15">
        <f>Table_7[[#This Row],[Listing Price (USD)]]/10000</f>
        <v>19.5</v>
      </c>
      <c r="I703" s="28">
        <f>Table_7[[#This Row],[Length 
(ft)]]</f>
        <v>47</v>
      </c>
      <c r="J703" s="28">
        <f>2020-Table_7[[#This Row],[Year]]</f>
        <v>15</v>
      </c>
      <c r="K703">
        <v>410675000000</v>
      </c>
      <c r="L703">
        <v>66531.03</v>
      </c>
      <c r="M703">
        <v>1.23</v>
      </c>
      <c r="N703">
        <v>1.8</v>
      </c>
      <c r="O703">
        <v>41.34</v>
      </c>
      <c r="P703">
        <v>1186</v>
      </c>
      <c r="Q703">
        <v>66</v>
      </c>
      <c r="R703">
        <v>14.63</v>
      </c>
    </row>
    <row r="704" spans="1:18" x14ac:dyDescent="0.25">
      <c r="A704" s="1" t="s">
        <v>45</v>
      </c>
      <c r="B704" s="3" t="s">
        <v>73</v>
      </c>
      <c r="C704" s="19">
        <v>47</v>
      </c>
      <c r="D704" s="3" t="s">
        <v>495</v>
      </c>
      <c r="E704" s="3" t="s">
        <v>500</v>
      </c>
      <c r="F704" s="23">
        <v>229000</v>
      </c>
      <c r="G704" s="15">
        <v>2006</v>
      </c>
      <c r="H704" s="15">
        <f>Table_7[[#This Row],[Listing Price (USD)]]/10000</f>
        <v>22.9</v>
      </c>
      <c r="I704" s="28">
        <f>Table_7[[#This Row],[Length 
(ft)]]</f>
        <v>47</v>
      </c>
      <c r="J704" s="28">
        <f>2020-Table_7[[#This Row],[Year]]</f>
        <v>14</v>
      </c>
      <c r="K704">
        <v>3007188000000</v>
      </c>
      <c r="L704">
        <v>76131.839999999997</v>
      </c>
      <c r="M704">
        <v>1.23</v>
      </c>
      <c r="N704">
        <v>2.7</v>
      </c>
      <c r="O704">
        <v>41.34</v>
      </c>
      <c r="P704">
        <v>1186</v>
      </c>
      <c r="Q704">
        <v>66</v>
      </c>
      <c r="R704">
        <v>14.63</v>
      </c>
    </row>
    <row r="705" spans="1:18" x14ac:dyDescent="0.25">
      <c r="A705" s="1" t="s">
        <v>45</v>
      </c>
      <c r="B705" s="3" t="s">
        <v>73</v>
      </c>
      <c r="C705" s="19">
        <v>47</v>
      </c>
      <c r="D705" s="3" t="s">
        <v>495</v>
      </c>
      <c r="E705" s="3" t="s">
        <v>326</v>
      </c>
      <c r="F705" s="23">
        <v>299000</v>
      </c>
      <c r="G705" s="15">
        <v>2006</v>
      </c>
      <c r="H705" s="15">
        <f>Table_7[[#This Row],[Listing Price (USD)]]/10000</f>
        <v>29.9</v>
      </c>
      <c r="I705" s="28">
        <f>Table_7[[#This Row],[Length 
(ft)]]</f>
        <v>47</v>
      </c>
      <c r="J705" s="28">
        <f>2020-Table_7[[#This Row],[Year]]</f>
        <v>14</v>
      </c>
      <c r="K705">
        <v>243777000000</v>
      </c>
      <c r="L705">
        <v>57466.28</v>
      </c>
      <c r="M705">
        <v>1.23</v>
      </c>
      <c r="N705">
        <v>3.1</v>
      </c>
      <c r="O705">
        <v>41.34</v>
      </c>
      <c r="P705">
        <v>1186</v>
      </c>
      <c r="Q705">
        <v>66</v>
      </c>
      <c r="R705">
        <v>14.63</v>
      </c>
    </row>
    <row r="706" spans="1:18" x14ac:dyDescent="0.25">
      <c r="A706" s="1" t="s">
        <v>45</v>
      </c>
      <c r="B706" s="2" t="s">
        <v>75</v>
      </c>
      <c r="C706" s="19">
        <v>47</v>
      </c>
      <c r="D706" s="3" t="s">
        <v>496</v>
      </c>
      <c r="E706" s="3" t="s">
        <v>56</v>
      </c>
      <c r="F706" s="23">
        <v>133611</v>
      </c>
      <c r="G706" s="15">
        <v>2005</v>
      </c>
      <c r="H706" s="15">
        <f>Table_7[[#This Row],[Listing Price (USD)]]/10000</f>
        <v>13.3611</v>
      </c>
      <c r="I706" s="28">
        <f>Table_7[[#This Row],[Length 
(ft)]]</f>
        <v>47</v>
      </c>
      <c r="J706" s="28">
        <f>2020-Table_7[[#This Row],[Year]]</f>
        <v>15</v>
      </c>
      <c r="K706">
        <v>14933066818.9606</v>
      </c>
      <c r="L706">
        <v>28977.565567363599</v>
      </c>
      <c r="M706">
        <v>0.63854495677665302</v>
      </c>
      <c r="N706">
        <v>-8.3242832319722009</v>
      </c>
      <c r="O706">
        <v>41.34</v>
      </c>
      <c r="P706">
        <v>1186</v>
      </c>
      <c r="Q706">
        <v>66</v>
      </c>
      <c r="R706">
        <v>14.63</v>
      </c>
    </row>
    <row r="707" spans="1:18" x14ac:dyDescent="0.25">
      <c r="A707" s="1" t="s">
        <v>45</v>
      </c>
      <c r="B707" s="2" t="s">
        <v>75</v>
      </c>
      <c r="C707" s="19">
        <v>47</v>
      </c>
      <c r="D707" s="3" t="s">
        <v>496</v>
      </c>
      <c r="E707" s="3" t="s">
        <v>31</v>
      </c>
      <c r="F707" s="23">
        <v>144549</v>
      </c>
      <c r="G707" s="15">
        <v>2005</v>
      </c>
      <c r="H707" s="15">
        <f>Table_7[[#This Row],[Listing Price (USD)]]/10000</f>
        <v>14.4549</v>
      </c>
      <c r="I707" s="28">
        <f>Table_7[[#This Row],[Length 
(ft)]]</f>
        <v>47</v>
      </c>
      <c r="J707" s="28">
        <f>2020-Table_7[[#This Row],[Year]]</f>
        <v>15</v>
      </c>
      <c r="K707">
        <v>57472012426.685303</v>
      </c>
      <c r="L707">
        <v>14198.753959474399</v>
      </c>
      <c r="M707">
        <v>0.15481137456202801</v>
      </c>
      <c r="N707">
        <v>-8.5803430210621805</v>
      </c>
      <c r="O707">
        <v>41.34</v>
      </c>
      <c r="P707">
        <v>1186</v>
      </c>
      <c r="Q707">
        <v>66</v>
      </c>
      <c r="R707">
        <v>14.63</v>
      </c>
    </row>
    <row r="708" spans="1:18" x14ac:dyDescent="0.25">
      <c r="A708" s="1" t="s">
        <v>45</v>
      </c>
      <c r="B708" s="2" t="s">
        <v>75</v>
      </c>
      <c r="C708" s="19">
        <v>47</v>
      </c>
      <c r="D708" s="3" t="s">
        <v>496</v>
      </c>
      <c r="E708" s="3" t="s">
        <v>9</v>
      </c>
      <c r="F708" s="23">
        <v>144586</v>
      </c>
      <c r="G708" s="15">
        <v>2006</v>
      </c>
      <c r="H708" s="15">
        <f>Table_7[[#This Row],[Listing Price (USD)]]/10000</f>
        <v>14.458600000000001</v>
      </c>
      <c r="I708" s="28">
        <f>Table_7[[#This Row],[Length 
(ft)]]</f>
        <v>47</v>
      </c>
      <c r="J708" s="28">
        <f>2020-Table_7[[#This Row],[Year]]</f>
        <v>14</v>
      </c>
      <c r="K708">
        <v>1276962685648.25</v>
      </c>
      <c r="L708">
        <v>26959.675436732599</v>
      </c>
      <c r="M708">
        <v>-0.32275301729970501</v>
      </c>
      <c r="N708">
        <v>-11.3254383222864</v>
      </c>
      <c r="O708">
        <v>41.34</v>
      </c>
      <c r="P708">
        <v>1186</v>
      </c>
      <c r="Q708">
        <v>66</v>
      </c>
      <c r="R708">
        <v>14.63</v>
      </c>
    </row>
    <row r="709" spans="1:18" x14ac:dyDescent="0.25">
      <c r="A709" s="1" t="s">
        <v>45</v>
      </c>
      <c r="B709" s="2" t="s">
        <v>75</v>
      </c>
      <c r="C709" s="19">
        <v>47</v>
      </c>
      <c r="D709" s="3" t="s">
        <v>496</v>
      </c>
      <c r="E709" s="3" t="s">
        <v>9</v>
      </c>
      <c r="F709" s="23">
        <v>144586</v>
      </c>
      <c r="G709" s="15">
        <v>2006</v>
      </c>
      <c r="H709" s="15">
        <f>Table_7[[#This Row],[Listing Price (USD)]]/10000</f>
        <v>14.458600000000001</v>
      </c>
      <c r="I709" s="28">
        <f>Table_7[[#This Row],[Length 
(ft)]]</f>
        <v>47</v>
      </c>
      <c r="J709" s="28">
        <f>2020-Table_7[[#This Row],[Year]]</f>
        <v>14</v>
      </c>
      <c r="K709">
        <v>1276962685648.25</v>
      </c>
      <c r="L709">
        <v>26959.675436732599</v>
      </c>
      <c r="M709">
        <v>-0.32275301729970501</v>
      </c>
      <c r="N709">
        <v>-11.3254383222864</v>
      </c>
      <c r="O709">
        <v>41.34</v>
      </c>
      <c r="P709">
        <v>1186</v>
      </c>
      <c r="Q709">
        <v>66</v>
      </c>
      <c r="R709">
        <v>14.63</v>
      </c>
    </row>
    <row r="710" spans="1:18" x14ac:dyDescent="0.25">
      <c r="A710" s="1" t="s">
        <v>6</v>
      </c>
      <c r="B710" s="2" t="s">
        <v>7</v>
      </c>
      <c r="C710" s="19">
        <v>41</v>
      </c>
      <c r="D710" s="3" t="s">
        <v>496</v>
      </c>
      <c r="E710" s="3" t="s">
        <v>24</v>
      </c>
      <c r="F710" s="23">
        <v>194351</v>
      </c>
      <c r="G710" s="15">
        <v>2007</v>
      </c>
      <c r="H710" s="15">
        <f>Table_7[[#This Row],[Listing Price (USD)]]/10000</f>
        <v>19.435099999999998</v>
      </c>
      <c r="I710" s="28">
        <f>Table_7[[#This Row],[Length 
(ft)]]</f>
        <v>41</v>
      </c>
      <c r="J710" s="28">
        <f>2020-Table_7[[#This Row],[Year]]</f>
        <v>13</v>
      </c>
      <c r="K710">
        <v>1896755301518.1399</v>
      </c>
      <c r="L710">
        <v>31911.0357890017</v>
      </c>
      <c r="M710">
        <v>-0.13770757391656999</v>
      </c>
      <c r="N710">
        <v>-9.0399534112288507</v>
      </c>
      <c r="O710">
        <v>36.71</v>
      </c>
      <c r="P710">
        <v>894.50199999999995</v>
      </c>
      <c r="Q710">
        <v>66</v>
      </c>
      <c r="R710">
        <v>13.48</v>
      </c>
    </row>
    <row r="711" spans="1:18" x14ac:dyDescent="0.25">
      <c r="A711" s="1" t="s">
        <v>6</v>
      </c>
      <c r="B711" s="2" t="s">
        <v>7</v>
      </c>
      <c r="C711" s="19">
        <v>41</v>
      </c>
      <c r="D711" s="3" t="s">
        <v>496</v>
      </c>
      <c r="E711" s="3" t="s">
        <v>3</v>
      </c>
      <c r="F711" s="23">
        <v>267233</v>
      </c>
      <c r="G711" s="15">
        <v>2005</v>
      </c>
      <c r="H711" s="15">
        <f>Table_7[[#This Row],[Listing Price (USD)]]/10000</f>
        <v>26.723299999999998</v>
      </c>
      <c r="I711" s="28">
        <f>Table_7[[#This Row],[Length 
(ft)]]</f>
        <v>41</v>
      </c>
      <c r="J711" s="28">
        <f>2020-Table_7[[#This Row],[Year]]</f>
        <v>15</v>
      </c>
      <c r="K711">
        <v>2639008701648.2598</v>
      </c>
      <c r="L711">
        <v>39055.282928075401</v>
      </c>
      <c r="M711">
        <v>0.47649885272508302</v>
      </c>
      <c r="N711">
        <v>-7.7845864916787102</v>
      </c>
      <c r="O711">
        <v>36.71</v>
      </c>
      <c r="P711">
        <v>894.50199999999995</v>
      </c>
      <c r="Q711">
        <v>66</v>
      </c>
      <c r="R711">
        <v>13.48</v>
      </c>
    </row>
    <row r="712" spans="1:18" x14ac:dyDescent="0.25">
      <c r="A712" s="1" t="s">
        <v>6</v>
      </c>
      <c r="B712" s="2" t="s">
        <v>7</v>
      </c>
      <c r="C712" s="19">
        <v>41</v>
      </c>
      <c r="D712" s="3" t="s">
        <v>496</v>
      </c>
      <c r="E712" s="3" t="s">
        <v>3</v>
      </c>
      <c r="F712" s="23">
        <v>412941</v>
      </c>
      <c r="G712" s="15">
        <v>2017</v>
      </c>
      <c r="H712" s="15">
        <f>Table_7[[#This Row],[Listing Price (USD)]]/10000</f>
        <v>41.2941</v>
      </c>
      <c r="I712" s="28">
        <f>Table_7[[#This Row],[Length 
(ft)]]</f>
        <v>41</v>
      </c>
      <c r="J712" s="28">
        <f>2020-Table_7[[#This Row],[Year]]</f>
        <v>3</v>
      </c>
      <c r="K712">
        <v>2639008701648.2598</v>
      </c>
      <c r="L712">
        <v>39055.282928075401</v>
      </c>
      <c r="M712">
        <v>0.47649885272508302</v>
      </c>
      <c r="N712">
        <v>-7.7845864916787102</v>
      </c>
      <c r="O712">
        <v>36.71</v>
      </c>
      <c r="P712">
        <v>894.50199999999995</v>
      </c>
      <c r="Q712">
        <v>66</v>
      </c>
      <c r="R712">
        <v>13.48</v>
      </c>
    </row>
    <row r="713" spans="1:18" x14ac:dyDescent="0.25">
      <c r="A713" s="1" t="s">
        <v>304</v>
      </c>
      <c r="B713" s="2" t="s">
        <v>308</v>
      </c>
      <c r="C713" s="19">
        <v>42</v>
      </c>
      <c r="D713" s="3" t="s">
        <v>496</v>
      </c>
      <c r="E713" s="3" t="s">
        <v>22</v>
      </c>
      <c r="F713" s="23">
        <v>419070</v>
      </c>
      <c r="G713" s="15">
        <v>2010</v>
      </c>
      <c r="H713" s="15">
        <f>Table_7[[#This Row],[Listing Price (USD)]]/10000</f>
        <v>41.906999999999996</v>
      </c>
      <c r="I713" s="28">
        <f>Table_7[[#This Row],[Length 
(ft)]]</f>
        <v>42</v>
      </c>
      <c r="J713" s="28">
        <f>2020-Table_7[[#This Row],[Year]]</f>
        <v>10</v>
      </c>
      <c r="K713">
        <v>930371009830.08838</v>
      </c>
      <c r="L713">
        <v>32045.28833705237</v>
      </c>
      <c r="M713">
        <v>0.810222564232847</v>
      </c>
      <c r="N713">
        <v>-6.18704127562025</v>
      </c>
      <c r="O713">
        <v>37.630000000000003</v>
      </c>
      <c r="P713">
        <v>966.60199999999998</v>
      </c>
      <c r="Q713">
        <v>66</v>
      </c>
      <c r="R713">
        <v>13.45</v>
      </c>
    </row>
    <row r="714" spans="1:18" x14ac:dyDescent="0.25">
      <c r="A714" s="1" t="s">
        <v>304</v>
      </c>
      <c r="B714" s="2" t="s">
        <v>308</v>
      </c>
      <c r="C714" s="19">
        <v>42</v>
      </c>
      <c r="D714" s="3" t="s">
        <v>496</v>
      </c>
      <c r="E714" s="3" t="s">
        <v>536</v>
      </c>
      <c r="F714" s="23">
        <v>423539</v>
      </c>
      <c r="G714" s="15">
        <v>2009</v>
      </c>
      <c r="H714" s="15">
        <f>Table_7[[#This Row],[Listing Price (USD)]]/10000</f>
        <v>42.353900000000003</v>
      </c>
      <c r="I714" s="28">
        <f>Table_7[[#This Row],[Length 
(ft)]]</f>
        <v>42</v>
      </c>
      <c r="J714" s="28">
        <f>2020-Table_7[[#This Row],[Year]]</f>
        <v>11</v>
      </c>
      <c r="K714">
        <v>355222449505.211</v>
      </c>
      <c r="L714">
        <v>60915.424399546202</v>
      </c>
      <c r="M714">
        <v>0.42071197411002598</v>
      </c>
      <c r="N714">
        <v>-1.99460756850381</v>
      </c>
      <c r="O714">
        <v>37.630000000000003</v>
      </c>
      <c r="P714">
        <v>966.60199999999998</v>
      </c>
      <c r="Q714">
        <v>66</v>
      </c>
      <c r="R714">
        <v>13.45</v>
      </c>
    </row>
    <row r="715" spans="1:18" x14ac:dyDescent="0.25">
      <c r="A715" s="1" t="s">
        <v>283</v>
      </c>
      <c r="B715" s="2">
        <v>16</v>
      </c>
      <c r="C715" s="19">
        <v>52</v>
      </c>
      <c r="D715" s="3" t="s">
        <v>496</v>
      </c>
      <c r="E715" s="3" t="s">
        <v>9</v>
      </c>
      <c r="F715" s="23">
        <v>485879</v>
      </c>
      <c r="G715" s="15">
        <v>2013</v>
      </c>
      <c r="H715" s="15">
        <f>Table_7[[#This Row],[Listing Price (USD)]]/10000</f>
        <v>48.587899999999998</v>
      </c>
      <c r="I715" s="28">
        <f>Table_7[[#This Row],[Length 
(ft)]]</f>
        <v>52</v>
      </c>
      <c r="J715" s="28">
        <f>2020-Table_7[[#This Row],[Year]]</f>
        <v>7</v>
      </c>
      <c r="K715">
        <v>1276962685648.25</v>
      </c>
      <c r="L715">
        <v>26959.675436732599</v>
      </c>
      <c r="M715">
        <v>-0.32275301729970501</v>
      </c>
      <c r="N715">
        <v>-11.3254383222864</v>
      </c>
      <c r="O715">
        <v>45.8</v>
      </c>
      <c r="P715">
        <v>1420</v>
      </c>
      <c r="Q715">
        <v>63</v>
      </c>
      <c r="R715">
        <v>15.65</v>
      </c>
    </row>
    <row r="716" spans="1:18" x14ac:dyDescent="0.25">
      <c r="A716" s="1" t="s">
        <v>283</v>
      </c>
      <c r="B716" s="2">
        <v>16</v>
      </c>
      <c r="C716" s="19">
        <v>52</v>
      </c>
      <c r="D716" s="3" t="s">
        <v>496</v>
      </c>
      <c r="E716" s="3" t="s">
        <v>9</v>
      </c>
      <c r="F716" s="23">
        <v>485898</v>
      </c>
      <c r="G716" s="15">
        <v>2012</v>
      </c>
      <c r="H716" s="15">
        <f>Table_7[[#This Row],[Listing Price (USD)]]/10000</f>
        <v>48.589799999999997</v>
      </c>
      <c r="I716" s="28">
        <f>Table_7[[#This Row],[Length 
(ft)]]</f>
        <v>52</v>
      </c>
      <c r="J716" s="28">
        <f>2020-Table_7[[#This Row],[Year]]</f>
        <v>8</v>
      </c>
      <c r="K716">
        <v>1276962685648.25</v>
      </c>
      <c r="L716">
        <v>26959.675436732599</v>
      </c>
      <c r="M716">
        <v>-0.32275301729970501</v>
      </c>
      <c r="N716">
        <v>-11.3254383222864</v>
      </c>
      <c r="O716">
        <v>45.77</v>
      </c>
      <c r="P716">
        <v>1191</v>
      </c>
      <c r="Q716">
        <v>63</v>
      </c>
      <c r="R716">
        <v>15.42</v>
      </c>
    </row>
    <row r="717" spans="1:18" x14ac:dyDescent="0.25">
      <c r="A717" s="1" t="s">
        <v>164</v>
      </c>
      <c r="B717" s="2">
        <v>46</v>
      </c>
      <c r="C717" s="19">
        <v>47</v>
      </c>
      <c r="D717" s="3" t="s">
        <v>496</v>
      </c>
      <c r="E717" s="3" t="s">
        <v>24</v>
      </c>
      <c r="F717" s="23">
        <v>267233</v>
      </c>
      <c r="G717" s="15">
        <v>2011</v>
      </c>
      <c r="H717" s="15">
        <f>Table_7[[#This Row],[Listing Price (USD)]]/10000</f>
        <v>26.723299999999998</v>
      </c>
      <c r="I717" s="28">
        <f>Table_7[[#This Row],[Length 
(ft)]]</f>
        <v>47</v>
      </c>
      <c r="J717" s="28">
        <f>2020-Table_7[[#This Row],[Year]]</f>
        <v>9</v>
      </c>
      <c r="K717">
        <v>1896755301518.1399</v>
      </c>
      <c r="L717">
        <v>31911.0357890017</v>
      </c>
      <c r="M717">
        <v>-0.13770757391656999</v>
      </c>
      <c r="N717">
        <v>-9.0399534112288507</v>
      </c>
      <c r="O717">
        <v>33.25</v>
      </c>
      <c r="P717">
        <v>843.00199999999995</v>
      </c>
      <c r="Q717">
        <v>63</v>
      </c>
      <c r="R717">
        <v>12.25</v>
      </c>
    </row>
    <row r="718" spans="1:18" x14ac:dyDescent="0.25">
      <c r="A718" s="1" t="s">
        <v>117</v>
      </c>
      <c r="B718" s="2">
        <v>46</v>
      </c>
      <c r="C718" s="19">
        <v>47</v>
      </c>
      <c r="D718" s="3" t="s">
        <v>496</v>
      </c>
      <c r="E718" s="3" t="s">
        <v>24</v>
      </c>
      <c r="F718" s="23">
        <v>363209</v>
      </c>
      <c r="G718" s="15">
        <v>2015</v>
      </c>
      <c r="H718" s="15">
        <f>Table_7[[#This Row],[Listing Price (USD)]]/10000</f>
        <v>36.320900000000002</v>
      </c>
      <c r="I718" s="28">
        <f>Table_7[[#This Row],[Length 
(ft)]]</f>
        <v>47</v>
      </c>
      <c r="J718" s="28">
        <f>2020-Table_7[[#This Row],[Year]]</f>
        <v>5</v>
      </c>
      <c r="K718">
        <v>1896755301518.1399</v>
      </c>
      <c r="L718">
        <v>31911.0357890017</v>
      </c>
      <c r="M718">
        <v>-0.13770757391656999</v>
      </c>
      <c r="N718">
        <v>-9.0399534112288507</v>
      </c>
      <c r="O718">
        <v>33.25</v>
      </c>
      <c r="P718">
        <v>843.00199999999995</v>
      </c>
      <c r="Q718">
        <v>63</v>
      </c>
      <c r="R718">
        <v>12.25</v>
      </c>
    </row>
    <row r="719" spans="1:18" x14ac:dyDescent="0.25">
      <c r="A719" s="1" t="s">
        <v>117</v>
      </c>
      <c r="B719" s="2" t="s">
        <v>579</v>
      </c>
      <c r="C719" s="19">
        <v>46</v>
      </c>
      <c r="D719" s="3" t="s">
        <v>496</v>
      </c>
      <c r="E719" s="3" t="s">
        <v>31</v>
      </c>
      <c r="F719" s="23">
        <v>498045</v>
      </c>
      <c r="G719" s="15">
        <v>2019</v>
      </c>
      <c r="H719" s="15">
        <f>Table_7[[#This Row],[Listing Price (USD)]]/10000</f>
        <v>49.804499999999997</v>
      </c>
      <c r="I719" s="28">
        <f>Table_7[[#This Row],[Length 
(ft)]]</f>
        <v>46</v>
      </c>
      <c r="J719" s="28">
        <f>2020-Table_7[[#This Row],[Year]]</f>
        <v>1</v>
      </c>
      <c r="K719">
        <v>57472012426.685303</v>
      </c>
      <c r="L719">
        <v>14198.753959474399</v>
      </c>
      <c r="M719">
        <v>0.15481137456202801</v>
      </c>
      <c r="N719">
        <v>-8.5803430210621805</v>
      </c>
      <c r="O719">
        <v>33.25</v>
      </c>
      <c r="P719">
        <v>843.00199999999995</v>
      </c>
      <c r="Q719">
        <v>63</v>
      </c>
      <c r="R719">
        <v>12.25</v>
      </c>
    </row>
    <row r="720" spans="1:18" x14ac:dyDescent="0.25">
      <c r="A720" s="1" t="s">
        <v>164</v>
      </c>
      <c r="B720" s="3">
        <v>50</v>
      </c>
      <c r="C720" s="19">
        <v>49</v>
      </c>
      <c r="D720" s="3" t="s">
        <v>497</v>
      </c>
      <c r="E720" s="3" t="s">
        <v>506</v>
      </c>
      <c r="F720" s="23">
        <v>273182</v>
      </c>
      <c r="G720" s="15">
        <v>2006</v>
      </c>
      <c r="H720" s="15">
        <f>Table_7[[#This Row],[Listing Price (USD)]]/10000</f>
        <v>27.318200000000001</v>
      </c>
      <c r="I720" s="28">
        <f>Table_7[[#This Row],[Length 
(ft)]]</f>
        <v>49</v>
      </c>
      <c r="J720" s="28">
        <f>2020-Table_7[[#This Row],[Year]]</f>
        <v>14</v>
      </c>
      <c r="K720">
        <v>1370281481.4814799</v>
      </c>
      <c r="L720">
        <v>14787.6357752901</v>
      </c>
      <c r="M720">
        <v>0.62598970704669799</v>
      </c>
      <c r="N720">
        <v>-20.1923705722071</v>
      </c>
      <c r="O720">
        <v>42.32</v>
      </c>
      <c r="P720">
        <v>977</v>
      </c>
      <c r="Q720">
        <v>63</v>
      </c>
      <c r="R720">
        <v>16.37</v>
      </c>
    </row>
    <row r="721" spans="1:18" x14ac:dyDescent="0.25">
      <c r="A721" s="1" t="s">
        <v>164</v>
      </c>
      <c r="B721" s="2">
        <v>50</v>
      </c>
      <c r="C721" s="19">
        <v>49</v>
      </c>
      <c r="D721" s="3" t="s">
        <v>496</v>
      </c>
      <c r="E721" s="3" t="s">
        <v>18</v>
      </c>
      <c r="F721" s="23">
        <v>281810</v>
      </c>
      <c r="G721" s="15">
        <v>2007</v>
      </c>
      <c r="H721" s="15">
        <f>Table_7[[#This Row],[Listing Price (USD)]]/10000</f>
        <v>28.181000000000001</v>
      </c>
      <c r="I721" s="28">
        <f>Table_7[[#This Row],[Length 
(ft)]]</f>
        <v>49</v>
      </c>
      <c r="J721" s="28">
        <f>2020-Table_7[[#This Row],[Year]]</f>
        <v>13</v>
      </c>
      <c r="K721">
        <v>188925995936.80701</v>
      </c>
      <c r="L721">
        <v>17658.947301119199</v>
      </c>
      <c r="M721">
        <v>-1.2479835558140799</v>
      </c>
      <c r="N721">
        <v>-9.0040436420214593</v>
      </c>
      <c r="O721">
        <v>42.32</v>
      </c>
      <c r="P721">
        <v>977</v>
      </c>
      <c r="Q721">
        <v>63</v>
      </c>
      <c r="R721">
        <v>16.37</v>
      </c>
    </row>
    <row r="722" spans="1:18" x14ac:dyDescent="0.25">
      <c r="A722" s="1" t="s">
        <v>195</v>
      </c>
      <c r="B722" s="2">
        <v>51</v>
      </c>
      <c r="C722" s="19">
        <v>51</v>
      </c>
      <c r="D722" s="3" t="s">
        <v>496</v>
      </c>
      <c r="E722" s="3" t="s">
        <v>3</v>
      </c>
      <c r="F722" s="23">
        <v>406923</v>
      </c>
      <c r="G722" s="15">
        <v>2017</v>
      </c>
      <c r="H722" s="15">
        <f>Table_7[[#This Row],[Listing Price (USD)]]/10000</f>
        <v>40.692300000000003</v>
      </c>
      <c r="I722" s="28">
        <f>Table_7[[#This Row],[Length 
(ft)]]</f>
        <v>51</v>
      </c>
      <c r="J722" s="28">
        <f>2020-Table_7[[#This Row],[Year]]</f>
        <v>3</v>
      </c>
      <c r="K722">
        <v>2639008701648.2598</v>
      </c>
      <c r="L722">
        <v>39055.282928075401</v>
      </c>
      <c r="M722">
        <v>0.47649885272508302</v>
      </c>
      <c r="N722">
        <v>-7.7845864916787102</v>
      </c>
      <c r="O722">
        <v>45.77</v>
      </c>
      <c r="P722">
        <v>1191</v>
      </c>
      <c r="Q722">
        <v>63</v>
      </c>
      <c r="R722">
        <v>15.42</v>
      </c>
    </row>
    <row r="723" spans="1:18" x14ac:dyDescent="0.25">
      <c r="A723" s="1" t="s">
        <v>195</v>
      </c>
      <c r="B723" s="2">
        <v>51</v>
      </c>
      <c r="C723" s="19">
        <v>51</v>
      </c>
      <c r="D723" s="3" t="s">
        <v>496</v>
      </c>
      <c r="E723" s="3" t="s">
        <v>63</v>
      </c>
      <c r="F723" s="23">
        <v>423929</v>
      </c>
      <c r="G723" s="15">
        <v>2018</v>
      </c>
      <c r="H723" s="15">
        <f>Table_7[[#This Row],[Listing Price (USD)]]/10000</f>
        <v>42.392899999999997</v>
      </c>
      <c r="I723" s="28">
        <f>Table_7[[#This Row],[Length 
(ft)]]</f>
        <v>51</v>
      </c>
      <c r="J723" s="28">
        <f>2020-Table_7[[#This Row],[Year]]</f>
        <v>2</v>
      </c>
      <c r="K723">
        <v>720290000000</v>
      </c>
      <c r="L723">
        <v>13341.6</v>
      </c>
      <c r="M723">
        <v>13</v>
      </c>
      <c r="N723">
        <v>-3</v>
      </c>
      <c r="O723">
        <v>45.77</v>
      </c>
      <c r="P723">
        <v>1191</v>
      </c>
      <c r="Q723">
        <v>63</v>
      </c>
      <c r="R723">
        <v>15.42</v>
      </c>
    </row>
    <row r="724" spans="1:18" x14ac:dyDescent="0.25">
      <c r="A724" s="1" t="s">
        <v>195</v>
      </c>
      <c r="B724" s="2">
        <v>51</v>
      </c>
      <c r="C724" s="19">
        <v>51</v>
      </c>
      <c r="D724" s="3" t="s">
        <v>496</v>
      </c>
      <c r="E724" s="3" t="s">
        <v>19</v>
      </c>
      <c r="F724" s="23">
        <v>433003</v>
      </c>
      <c r="G724" s="15">
        <v>2017</v>
      </c>
      <c r="H724" s="15">
        <f>Table_7[[#This Row],[Listing Price (USD)]]/10000</f>
        <v>43.3003</v>
      </c>
      <c r="I724" s="28">
        <f>Table_7[[#This Row],[Length 
(ft)]]</f>
        <v>51</v>
      </c>
      <c r="J724" s="28">
        <f>2020-Table_7[[#This Row],[Year]]</f>
        <v>3</v>
      </c>
      <c r="K724">
        <v>4200000000</v>
      </c>
      <c r="L724">
        <v>39553.199999999997</v>
      </c>
      <c r="M724">
        <v>4.0999999999999996</v>
      </c>
      <c r="N724">
        <v>-2.1</v>
      </c>
      <c r="O724">
        <v>45.77</v>
      </c>
      <c r="P724">
        <v>1191</v>
      </c>
      <c r="Q724">
        <v>63</v>
      </c>
      <c r="R724">
        <v>15.42</v>
      </c>
    </row>
    <row r="725" spans="1:18" x14ac:dyDescent="0.25">
      <c r="A725" s="1" t="s">
        <v>195</v>
      </c>
      <c r="B725" s="2">
        <v>51</v>
      </c>
      <c r="C725" s="19">
        <v>51</v>
      </c>
      <c r="D725" s="3" t="s">
        <v>496</v>
      </c>
      <c r="E725" s="3" t="s">
        <v>24</v>
      </c>
      <c r="F725" s="23">
        <v>499619</v>
      </c>
      <c r="G725" s="15">
        <v>2017</v>
      </c>
      <c r="H725" s="15">
        <f>Table_7[[#This Row],[Listing Price (USD)]]/10000</f>
        <v>49.9619</v>
      </c>
      <c r="I725" s="28">
        <f>Table_7[[#This Row],[Length 
(ft)]]</f>
        <v>51</v>
      </c>
      <c r="J725" s="28">
        <f>2020-Table_7[[#This Row],[Year]]</f>
        <v>3</v>
      </c>
      <c r="K725">
        <v>1896755301518.1399</v>
      </c>
      <c r="L725">
        <v>31911.0357890017</v>
      </c>
      <c r="M725">
        <v>-0.13770757391656999</v>
      </c>
      <c r="N725">
        <v>-9.0399534112288507</v>
      </c>
      <c r="O725">
        <v>45.77</v>
      </c>
      <c r="P725">
        <v>1191</v>
      </c>
      <c r="Q725">
        <v>63</v>
      </c>
      <c r="R725">
        <v>15.42</v>
      </c>
    </row>
    <row r="726" spans="1:18" x14ac:dyDescent="0.25">
      <c r="A726" s="1" t="s">
        <v>195</v>
      </c>
      <c r="B726" s="2">
        <v>53</v>
      </c>
      <c r="C726" s="19">
        <v>53</v>
      </c>
      <c r="D726" s="3" t="s">
        <v>496</v>
      </c>
      <c r="E726" s="3" t="s">
        <v>31</v>
      </c>
      <c r="F726" s="23">
        <v>168850</v>
      </c>
      <c r="G726" s="15">
        <v>2011</v>
      </c>
      <c r="H726" s="15">
        <f>Table_7[[#This Row],[Listing Price (USD)]]/10000</f>
        <v>16.885000000000002</v>
      </c>
      <c r="I726" s="28">
        <f>Table_7[[#This Row],[Length 
(ft)]]</f>
        <v>53</v>
      </c>
      <c r="J726" s="28">
        <f>2020-Table_7[[#This Row],[Year]]</f>
        <v>9</v>
      </c>
      <c r="K726">
        <v>57472012426.685303</v>
      </c>
      <c r="L726">
        <v>14198.753959474399</v>
      </c>
      <c r="M726">
        <v>0.15481137456202801</v>
      </c>
      <c r="N726">
        <v>-8.5803430210621805</v>
      </c>
      <c r="O726">
        <v>45.8</v>
      </c>
      <c r="P726">
        <v>1420</v>
      </c>
      <c r="Q726">
        <v>63</v>
      </c>
      <c r="R726">
        <v>15.65</v>
      </c>
    </row>
    <row r="727" spans="1:18" x14ac:dyDescent="0.25">
      <c r="A727" s="1" t="s">
        <v>195</v>
      </c>
      <c r="B727" s="2">
        <v>53</v>
      </c>
      <c r="C727" s="19">
        <v>53</v>
      </c>
      <c r="D727" s="3" t="s">
        <v>496</v>
      </c>
      <c r="E727" s="3" t="s">
        <v>18</v>
      </c>
      <c r="F727" s="23">
        <v>176138</v>
      </c>
      <c r="G727" s="15">
        <v>2011</v>
      </c>
      <c r="H727" s="15">
        <f>Table_7[[#This Row],[Listing Price (USD)]]/10000</f>
        <v>17.613800000000001</v>
      </c>
      <c r="I727" s="28">
        <f>Table_7[[#This Row],[Length 
(ft)]]</f>
        <v>53</v>
      </c>
      <c r="J727" s="28">
        <f>2020-Table_7[[#This Row],[Year]]</f>
        <v>9</v>
      </c>
      <c r="K727">
        <v>188925995936.80701</v>
      </c>
      <c r="L727">
        <v>17658.947301119199</v>
      </c>
      <c r="M727">
        <v>-1.2479835558140799</v>
      </c>
      <c r="N727">
        <v>-9.0040436420214593</v>
      </c>
      <c r="O727">
        <v>45.8</v>
      </c>
      <c r="P727">
        <v>1420</v>
      </c>
      <c r="Q727">
        <v>63</v>
      </c>
      <c r="R727">
        <v>15.65</v>
      </c>
    </row>
    <row r="728" spans="1:18" x14ac:dyDescent="0.25">
      <c r="A728" s="1" t="s">
        <v>195</v>
      </c>
      <c r="B728" s="2">
        <v>53</v>
      </c>
      <c r="C728" s="19">
        <v>53</v>
      </c>
      <c r="D728" s="3" t="s">
        <v>496</v>
      </c>
      <c r="E728" s="3" t="s">
        <v>18</v>
      </c>
      <c r="F728" s="23">
        <v>188278</v>
      </c>
      <c r="G728" s="15">
        <v>2010</v>
      </c>
      <c r="H728" s="15">
        <f>Table_7[[#This Row],[Listing Price (USD)]]/10000</f>
        <v>18.8278</v>
      </c>
      <c r="I728" s="28">
        <f>Table_7[[#This Row],[Length 
(ft)]]</f>
        <v>53</v>
      </c>
      <c r="J728" s="28">
        <f>2020-Table_7[[#This Row],[Year]]</f>
        <v>10</v>
      </c>
      <c r="K728">
        <v>188925995936.80701</v>
      </c>
      <c r="L728">
        <v>17658.947301119199</v>
      </c>
      <c r="M728">
        <v>-1.2479835558140799</v>
      </c>
      <c r="N728">
        <v>-9.0040436420214593</v>
      </c>
      <c r="O728">
        <v>45.8</v>
      </c>
      <c r="P728">
        <v>1420</v>
      </c>
      <c r="Q728">
        <v>63</v>
      </c>
      <c r="R728">
        <v>15.65</v>
      </c>
    </row>
    <row r="729" spans="1:18" x14ac:dyDescent="0.25">
      <c r="A729" s="1" t="s">
        <v>195</v>
      </c>
      <c r="B729" s="2">
        <v>53</v>
      </c>
      <c r="C729" s="19">
        <v>53</v>
      </c>
      <c r="D729" s="3" t="s">
        <v>496</v>
      </c>
      <c r="E729" s="3" t="s">
        <v>31</v>
      </c>
      <c r="F729" s="23">
        <v>191930</v>
      </c>
      <c r="G729" s="15">
        <v>2012</v>
      </c>
      <c r="H729" s="15">
        <f>Table_7[[#This Row],[Listing Price (USD)]]/10000</f>
        <v>19.193000000000001</v>
      </c>
      <c r="I729" s="28">
        <f>Table_7[[#This Row],[Length 
(ft)]]</f>
        <v>53</v>
      </c>
      <c r="J729" s="28">
        <f>2020-Table_7[[#This Row],[Year]]</f>
        <v>8</v>
      </c>
      <c r="K729">
        <v>57472012426.685303</v>
      </c>
      <c r="L729">
        <v>14198.753959474399</v>
      </c>
      <c r="M729">
        <v>0.15481137456202801</v>
      </c>
      <c r="N729">
        <v>-8.5803430210621805</v>
      </c>
      <c r="O729">
        <v>45.8</v>
      </c>
      <c r="P729">
        <v>1420</v>
      </c>
      <c r="Q729">
        <v>63</v>
      </c>
      <c r="R729">
        <v>15.65</v>
      </c>
    </row>
    <row r="730" spans="1:18" x14ac:dyDescent="0.25">
      <c r="A730" s="1" t="s">
        <v>195</v>
      </c>
      <c r="B730" s="2">
        <v>53</v>
      </c>
      <c r="C730" s="19">
        <v>53</v>
      </c>
      <c r="D730" s="3" t="s">
        <v>496</v>
      </c>
      <c r="E730" s="3" t="s">
        <v>31</v>
      </c>
      <c r="F730" s="23">
        <v>193144</v>
      </c>
      <c r="G730" s="15">
        <v>2010</v>
      </c>
      <c r="H730" s="15">
        <f>Table_7[[#This Row],[Listing Price (USD)]]/10000</f>
        <v>19.314399999999999</v>
      </c>
      <c r="I730" s="28">
        <f>Table_7[[#This Row],[Length 
(ft)]]</f>
        <v>53</v>
      </c>
      <c r="J730" s="28">
        <f>2020-Table_7[[#This Row],[Year]]</f>
        <v>10</v>
      </c>
      <c r="K730">
        <v>57472012426.685303</v>
      </c>
      <c r="L730">
        <v>14198.753959474399</v>
      </c>
      <c r="M730">
        <v>0.15481137456202801</v>
      </c>
      <c r="N730">
        <v>-8.5803430210621805</v>
      </c>
      <c r="O730">
        <v>45.8</v>
      </c>
      <c r="P730">
        <v>1420</v>
      </c>
      <c r="Q730">
        <v>63</v>
      </c>
      <c r="R730">
        <v>15.65</v>
      </c>
    </row>
    <row r="731" spans="1:18" x14ac:dyDescent="0.25">
      <c r="A731" s="1" t="s">
        <v>195</v>
      </c>
      <c r="B731" s="2">
        <v>53</v>
      </c>
      <c r="C731" s="19">
        <v>53</v>
      </c>
      <c r="D731" s="3" t="s">
        <v>496</v>
      </c>
      <c r="E731" s="3" t="s">
        <v>18</v>
      </c>
      <c r="F731" s="23">
        <v>194351</v>
      </c>
      <c r="G731" s="15">
        <v>2010</v>
      </c>
      <c r="H731" s="15">
        <f>Table_7[[#This Row],[Listing Price (USD)]]/10000</f>
        <v>19.435099999999998</v>
      </c>
      <c r="I731" s="28">
        <f>Table_7[[#This Row],[Length 
(ft)]]</f>
        <v>53</v>
      </c>
      <c r="J731" s="28">
        <f>2020-Table_7[[#This Row],[Year]]</f>
        <v>10</v>
      </c>
      <c r="K731">
        <v>188925995936.80701</v>
      </c>
      <c r="L731">
        <v>17658.947301119199</v>
      </c>
      <c r="M731">
        <v>-1.2479835558140799</v>
      </c>
      <c r="N731">
        <v>-9.0040436420214593</v>
      </c>
      <c r="O731">
        <v>45.8</v>
      </c>
      <c r="P731">
        <v>1420</v>
      </c>
      <c r="Q731">
        <v>63</v>
      </c>
      <c r="R731">
        <v>15.65</v>
      </c>
    </row>
    <row r="732" spans="1:18" x14ac:dyDescent="0.25">
      <c r="A732" s="1" t="s">
        <v>195</v>
      </c>
      <c r="B732" s="2">
        <v>53</v>
      </c>
      <c r="C732" s="19">
        <v>53</v>
      </c>
      <c r="D732" s="3" t="s">
        <v>496</v>
      </c>
      <c r="E732" s="3" t="s">
        <v>18</v>
      </c>
      <c r="F732" s="23">
        <v>194359</v>
      </c>
      <c r="G732" s="15">
        <v>2010</v>
      </c>
      <c r="H732" s="15">
        <f>Table_7[[#This Row],[Listing Price (USD)]]/10000</f>
        <v>19.4359</v>
      </c>
      <c r="I732" s="28">
        <f>Table_7[[#This Row],[Length 
(ft)]]</f>
        <v>53</v>
      </c>
      <c r="J732" s="28">
        <f>2020-Table_7[[#This Row],[Year]]</f>
        <v>10</v>
      </c>
      <c r="K732">
        <v>188925995936.80701</v>
      </c>
      <c r="L732">
        <v>17658.947301119199</v>
      </c>
      <c r="M732">
        <v>-1.2479835558140799</v>
      </c>
      <c r="N732">
        <v>-9.0040436420214593</v>
      </c>
      <c r="O732">
        <v>45.8</v>
      </c>
      <c r="P732">
        <v>1420</v>
      </c>
      <c r="Q732">
        <v>63</v>
      </c>
      <c r="R732">
        <v>15.65</v>
      </c>
    </row>
    <row r="733" spans="1:18" x14ac:dyDescent="0.25">
      <c r="A733" s="1" t="s">
        <v>195</v>
      </c>
      <c r="B733" s="2">
        <v>53</v>
      </c>
      <c r="C733" s="19">
        <v>53</v>
      </c>
      <c r="D733" s="3" t="s">
        <v>496</v>
      </c>
      <c r="E733" s="3" t="s">
        <v>18</v>
      </c>
      <c r="F733" s="23">
        <v>199210</v>
      </c>
      <c r="G733" s="15">
        <v>2010</v>
      </c>
      <c r="H733" s="15">
        <f>Table_7[[#This Row],[Listing Price (USD)]]/10000</f>
        <v>19.920999999999999</v>
      </c>
      <c r="I733" s="28">
        <f>Table_7[[#This Row],[Length 
(ft)]]</f>
        <v>53</v>
      </c>
      <c r="J733" s="28">
        <f>2020-Table_7[[#This Row],[Year]]</f>
        <v>10</v>
      </c>
      <c r="K733">
        <v>188925995936.80701</v>
      </c>
      <c r="L733">
        <v>17658.947301119199</v>
      </c>
      <c r="M733">
        <v>-1.2479835558140799</v>
      </c>
      <c r="N733">
        <v>-9.0040436420214593</v>
      </c>
      <c r="O733">
        <v>45.8</v>
      </c>
      <c r="P733">
        <v>1420</v>
      </c>
      <c r="Q733">
        <v>63</v>
      </c>
      <c r="R733">
        <v>15.65</v>
      </c>
    </row>
    <row r="734" spans="1:18" x14ac:dyDescent="0.25">
      <c r="A734" s="1" t="s">
        <v>195</v>
      </c>
      <c r="B734" s="2">
        <v>53</v>
      </c>
      <c r="C734" s="19">
        <v>53</v>
      </c>
      <c r="D734" s="3" t="s">
        <v>496</v>
      </c>
      <c r="E734" s="3" t="s">
        <v>18</v>
      </c>
      <c r="F734" s="23">
        <v>199218</v>
      </c>
      <c r="G734" s="15">
        <v>2010</v>
      </c>
      <c r="H734" s="15">
        <f>Table_7[[#This Row],[Listing Price (USD)]]/10000</f>
        <v>19.921800000000001</v>
      </c>
      <c r="I734" s="28">
        <f>Table_7[[#This Row],[Length 
(ft)]]</f>
        <v>53</v>
      </c>
      <c r="J734" s="28">
        <f>2020-Table_7[[#This Row],[Year]]</f>
        <v>10</v>
      </c>
      <c r="K734">
        <v>188925995936.80701</v>
      </c>
      <c r="L734">
        <v>17658.947301119199</v>
      </c>
      <c r="M734">
        <v>-1.2479835558140799</v>
      </c>
      <c r="N734">
        <v>-9.0040436420214593</v>
      </c>
      <c r="O734">
        <v>45.8</v>
      </c>
      <c r="P734">
        <v>1420</v>
      </c>
      <c r="Q734">
        <v>63</v>
      </c>
      <c r="R734">
        <v>15.65</v>
      </c>
    </row>
    <row r="735" spans="1:18" x14ac:dyDescent="0.25">
      <c r="A735" s="1" t="s">
        <v>195</v>
      </c>
      <c r="B735" s="2">
        <v>53</v>
      </c>
      <c r="C735" s="19">
        <v>53</v>
      </c>
      <c r="D735" s="3" t="s">
        <v>496</v>
      </c>
      <c r="E735" s="3" t="s">
        <v>31</v>
      </c>
      <c r="F735" s="23">
        <v>199818</v>
      </c>
      <c r="G735" s="15">
        <v>2011</v>
      </c>
      <c r="H735" s="15">
        <f>Table_7[[#This Row],[Listing Price (USD)]]/10000</f>
        <v>19.9818</v>
      </c>
      <c r="I735" s="28">
        <f>Table_7[[#This Row],[Length 
(ft)]]</f>
        <v>53</v>
      </c>
      <c r="J735" s="28">
        <f>2020-Table_7[[#This Row],[Year]]</f>
        <v>9</v>
      </c>
      <c r="K735">
        <v>57472012426.685303</v>
      </c>
      <c r="L735">
        <v>14198.753959474399</v>
      </c>
      <c r="M735">
        <v>0.15481137456202801</v>
      </c>
      <c r="N735">
        <v>-8.5803430210621805</v>
      </c>
      <c r="O735">
        <v>45.8</v>
      </c>
      <c r="P735">
        <v>1420</v>
      </c>
      <c r="Q735">
        <v>63</v>
      </c>
      <c r="R735">
        <v>15.65</v>
      </c>
    </row>
    <row r="736" spans="1:18" x14ac:dyDescent="0.25">
      <c r="A736" s="1" t="s">
        <v>195</v>
      </c>
      <c r="B736" s="2">
        <v>53</v>
      </c>
      <c r="C736" s="19">
        <v>53</v>
      </c>
      <c r="D736" s="3" t="s">
        <v>496</v>
      </c>
      <c r="E736" s="3" t="s">
        <v>31</v>
      </c>
      <c r="F736" s="23">
        <v>199818</v>
      </c>
      <c r="G736" s="15">
        <v>2010</v>
      </c>
      <c r="H736" s="15">
        <f>Table_7[[#This Row],[Listing Price (USD)]]/10000</f>
        <v>19.9818</v>
      </c>
      <c r="I736" s="28">
        <f>Table_7[[#This Row],[Length 
(ft)]]</f>
        <v>53</v>
      </c>
      <c r="J736" s="28">
        <f>2020-Table_7[[#This Row],[Year]]</f>
        <v>10</v>
      </c>
      <c r="K736">
        <v>57472012426.685303</v>
      </c>
      <c r="L736">
        <v>14198.753959474399</v>
      </c>
      <c r="M736">
        <v>0.15481137456202801</v>
      </c>
      <c r="N736">
        <v>-8.5803430210621805</v>
      </c>
      <c r="O736">
        <v>45.8</v>
      </c>
      <c r="P736">
        <v>1420</v>
      </c>
      <c r="Q736">
        <v>63</v>
      </c>
      <c r="R736">
        <v>15.65</v>
      </c>
    </row>
    <row r="737" spans="1:18" x14ac:dyDescent="0.25">
      <c r="A737" s="1" t="s">
        <v>195</v>
      </c>
      <c r="B737" s="2">
        <v>53</v>
      </c>
      <c r="C737" s="19">
        <v>53</v>
      </c>
      <c r="D737" s="3" t="s">
        <v>496</v>
      </c>
      <c r="E737" s="3" t="s">
        <v>31</v>
      </c>
      <c r="F737" s="23">
        <v>200425</v>
      </c>
      <c r="G737" s="15">
        <v>2011</v>
      </c>
      <c r="H737" s="15">
        <f>Table_7[[#This Row],[Listing Price (USD)]]/10000</f>
        <v>20.0425</v>
      </c>
      <c r="I737" s="28">
        <f>Table_7[[#This Row],[Length 
(ft)]]</f>
        <v>53</v>
      </c>
      <c r="J737" s="28">
        <f>2020-Table_7[[#This Row],[Year]]</f>
        <v>9</v>
      </c>
      <c r="K737">
        <v>57472012426.685303</v>
      </c>
      <c r="L737">
        <v>14198.753959474399</v>
      </c>
      <c r="M737">
        <v>0.15481137456202801</v>
      </c>
      <c r="N737">
        <v>-8.5803430210621805</v>
      </c>
      <c r="O737">
        <v>45.8</v>
      </c>
      <c r="P737">
        <v>1420</v>
      </c>
      <c r="Q737">
        <v>63</v>
      </c>
      <c r="R737">
        <v>15.65</v>
      </c>
    </row>
    <row r="738" spans="1:18" x14ac:dyDescent="0.25">
      <c r="A738" s="1" t="s">
        <v>195</v>
      </c>
      <c r="B738" s="2">
        <v>53</v>
      </c>
      <c r="C738" s="19">
        <v>53</v>
      </c>
      <c r="D738" s="3" t="s">
        <v>496</v>
      </c>
      <c r="E738" s="3" t="s">
        <v>31</v>
      </c>
      <c r="F738" s="23">
        <v>200433</v>
      </c>
      <c r="G738" s="15">
        <v>2011</v>
      </c>
      <c r="H738" s="15">
        <f>Table_7[[#This Row],[Listing Price (USD)]]/10000</f>
        <v>20.043299999999999</v>
      </c>
      <c r="I738" s="28">
        <f>Table_7[[#This Row],[Length 
(ft)]]</f>
        <v>53</v>
      </c>
      <c r="J738" s="28">
        <f>2020-Table_7[[#This Row],[Year]]</f>
        <v>9</v>
      </c>
      <c r="K738">
        <v>57472012426.685303</v>
      </c>
      <c r="L738">
        <v>14198.753959474399</v>
      </c>
      <c r="M738">
        <v>0.15481137456202801</v>
      </c>
      <c r="N738">
        <v>-8.5803430210621805</v>
      </c>
      <c r="O738">
        <v>45.8</v>
      </c>
      <c r="P738">
        <v>1420</v>
      </c>
      <c r="Q738">
        <v>63</v>
      </c>
      <c r="R738">
        <v>15.65</v>
      </c>
    </row>
    <row r="739" spans="1:18" x14ac:dyDescent="0.25">
      <c r="A739" s="1" t="s">
        <v>195</v>
      </c>
      <c r="B739" s="2">
        <v>53</v>
      </c>
      <c r="C739" s="19">
        <v>53</v>
      </c>
      <c r="D739" s="3" t="s">
        <v>496</v>
      </c>
      <c r="E739" s="3" t="s">
        <v>31</v>
      </c>
      <c r="F739" s="23">
        <v>212572</v>
      </c>
      <c r="G739" s="15">
        <v>2011</v>
      </c>
      <c r="H739" s="15">
        <f>Table_7[[#This Row],[Listing Price (USD)]]/10000</f>
        <v>21.257200000000001</v>
      </c>
      <c r="I739" s="28">
        <f>Table_7[[#This Row],[Length 
(ft)]]</f>
        <v>53</v>
      </c>
      <c r="J739" s="28">
        <f>2020-Table_7[[#This Row],[Year]]</f>
        <v>9</v>
      </c>
      <c r="K739">
        <v>57472012426.685303</v>
      </c>
      <c r="L739">
        <v>14198.753959474399</v>
      </c>
      <c r="M739">
        <v>0.15481137456202801</v>
      </c>
      <c r="N739">
        <v>-8.5803430210621805</v>
      </c>
      <c r="O739">
        <v>45.8</v>
      </c>
      <c r="P739">
        <v>1420</v>
      </c>
      <c r="Q739">
        <v>63</v>
      </c>
      <c r="R739">
        <v>15.65</v>
      </c>
    </row>
    <row r="740" spans="1:18" x14ac:dyDescent="0.25">
      <c r="A740" s="1" t="s">
        <v>195</v>
      </c>
      <c r="B740" s="2">
        <v>53</v>
      </c>
      <c r="C740" s="19">
        <v>53</v>
      </c>
      <c r="D740" s="3" t="s">
        <v>496</v>
      </c>
      <c r="E740" s="3" t="s">
        <v>63</v>
      </c>
      <c r="F740" s="23">
        <v>212572</v>
      </c>
      <c r="G740" s="15">
        <v>2010</v>
      </c>
      <c r="H740" s="15">
        <f>Table_7[[#This Row],[Listing Price (USD)]]/10000</f>
        <v>21.257200000000001</v>
      </c>
      <c r="I740" s="28">
        <f>Table_7[[#This Row],[Length 
(ft)]]</f>
        <v>53</v>
      </c>
      <c r="J740" s="28">
        <f>2020-Table_7[[#This Row],[Year]]</f>
        <v>10</v>
      </c>
      <c r="K740">
        <v>720290000030</v>
      </c>
      <c r="L740">
        <v>13341.6</v>
      </c>
      <c r="M740">
        <v>13</v>
      </c>
      <c r="N740">
        <v>-3</v>
      </c>
      <c r="O740">
        <v>45.8</v>
      </c>
      <c r="P740">
        <v>1420</v>
      </c>
      <c r="Q740">
        <v>63</v>
      </c>
      <c r="R740">
        <v>15.65</v>
      </c>
    </row>
    <row r="741" spans="1:18" x14ac:dyDescent="0.25">
      <c r="A741" s="1" t="s">
        <v>195</v>
      </c>
      <c r="B741" s="2">
        <v>53</v>
      </c>
      <c r="C741" s="19">
        <v>53</v>
      </c>
      <c r="D741" s="3" t="s">
        <v>496</v>
      </c>
      <c r="E741" s="3" t="s">
        <v>63</v>
      </c>
      <c r="F741" s="23">
        <v>212580</v>
      </c>
      <c r="G741" s="15">
        <v>2010</v>
      </c>
      <c r="H741" s="15">
        <f>Table_7[[#This Row],[Listing Price (USD)]]/10000</f>
        <v>21.257999999999999</v>
      </c>
      <c r="I741" s="28">
        <f>Table_7[[#This Row],[Length 
(ft)]]</f>
        <v>53</v>
      </c>
      <c r="J741" s="28">
        <f>2020-Table_7[[#This Row],[Year]]</f>
        <v>10</v>
      </c>
      <c r="K741">
        <v>720290000000</v>
      </c>
      <c r="L741">
        <v>13341.6</v>
      </c>
      <c r="M741">
        <v>13</v>
      </c>
      <c r="N741">
        <v>-3</v>
      </c>
      <c r="O741">
        <v>45.8</v>
      </c>
      <c r="P741">
        <v>1420</v>
      </c>
      <c r="Q741">
        <v>63</v>
      </c>
      <c r="R741">
        <v>15.65</v>
      </c>
    </row>
    <row r="742" spans="1:18" x14ac:dyDescent="0.25">
      <c r="A742" s="1" t="s">
        <v>195</v>
      </c>
      <c r="B742" s="2">
        <v>53</v>
      </c>
      <c r="C742" s="19">
        <v>53</v>
      </c>
      <c r="D742" s="3" t="s">
        <v>496</v>
      </c>
      <c r="E742" s="3" t="s">
        <v>31</v>
      </c>
      <c r="F742" s="23">
        <v>218645</v>
      </c>
      <c r="G742" s="15">
        <v>2013</v>
      </c>
      <c r="H742" s="15">
        <f>Table_7[[#This Row],[Listing Price (USD)]]/10000</f>
        <v>21.8645</v>
      </c>
      <c r="I742" s="28">
        <f>Table_7[[#This Row],[Length 
(ft)]]</f>
        <v>53</v>
      </c>
      <c r="J742" s="28">
        <f>2020-Table_7[[#This Row],[Year]]</f>
        <v>7</v>
      </c>
      <c r="K742">
        <v>57472012426.685303</v>
      </c>
      <c r="L742">
        <v>14198.753959474399</v>
      </c>
      <c r="M742">
        <v>0.15481137456202801</v>
      </c>
      <c r="N742">
        <v>-8.5803430210621805</v>
      </c>
      <c r="O742">
        <v>45.8</v>
      </c>
      <c r="P742">
        <v>1420</v>
      </c>
      <c r="Q742">
        <v>63</v>
      </c>
      <c r="R742">
        <v>15.65</v>
      </c>
    </row>
    <row r="743" spans="1:18" x14ac:dyDescent="0.25">
      <c r="A743" s="1" t="s">
        <v>195</v>
      </c>
      <c r="B743" s="2">
        <v>53</v>
      </c>
      <c r="C743" s="19">
        <v>53</v>
      </c>
      <c r="D743" s="3" t="s">
        <v>496</v>
      </c>
      <c r="E743" s="3" t="s">
        <v>3</v>
      </c>
      <c r="F743" s="23">
        <v>218645</v>
      </c>
      <c r="G743" s="15">
        <v>2010</v>
      </c>
      <c r="H743" s="15">
        <f>Table_7[[#This Row],[Listing Price (USD)]]/10000</f>
        <v>21.8645</v>
      </c>
      <c r="I743" s="28">
        <f>Table_7[[#This Row],[Length 
(ft)]]</f>
        <v>53</v>
      </c>
      <c r="J743" s="28">
        <f>2020-Table_7[[#This Row],[Year]]</f>
        <v>10</v>
      </c>
      <c r="K743">
        <v>2639008701648.2598</v>
      </c>
      <c r="L743">
        <v>39055.282928075401</v>
      </c>
      <c r="M743">
        <v>0.47649885272508302</v>
      </c>
      <c r="N743">
        <v>-7.7845864916787102</v>
      </c>
      <c r="O743">
        <v>45.8</v>
      </c>
      <c r="P743">
        <v>1420</v>
      </c>
      <c r="Q743">
        <v>63</v>
      </c>
      <c r="R743">
        <v>15.65</v>
      </c>
    </row>
    <row r="744" spans="1:18" x14ac:dyDescent="0.25">
      <c r="A744" s="1" t="s">
        <v>195</v>
      </c>
      <c r="B744" s="2">
        <v>53</v>
      </c>
      <c r="C744" s="19">
        <v>53</v>
      </c>
      <c r="D744" s="3" t="s">
        <v>496</v>
      </c>
      <c r="E744" s="3" t="s">
        <v>18</v>
      </c>
      <c r="F744" s="23">
        <v>224719</v>
      </c>
      <c r="G744" s="15">
        <v>2010</v>
      </c>
      <c r="H744" s="15">
        <f>Table_7[[#This Row],[Listing Price (USD)]]/10000</f>
        <v>22.471900000000002</v>
      </c>
      <c r="I744" s="28">
        <f>Table_7[[#This Row],[Length 
(ft)]]</f>
        <v>53</v>
      </c>
      <c r="J744" s="28">
        <f>2020-Table_7[[#This Row],[Year]]</f>
        <v>10</v>
      </c>
      <c r="K744">
        <v>188925995936.80701</v>
      </c>
      <c r="L744">
        <v>17658.947301119199</v>
      </c>
      <c r="M744">
        <v>-1.2479835558140799</v>
      </c>
      <c r="N744">
        <v>-9.0040436420214593</v>
      </c>
      <c r="O744">
        <v>45.8</v>
      </c>
      <c r="P744">
        <v>1420</v>
      </c>
      <c r="Q744">
        <v>63</v>
      </c>
      <c r="R744">
        <v>15.65</v>
      </c>
    </row>
    <row r="745" spans="1:18" x14ac:dyDescent="0.25">
      <c r="A745" s="1" t="s">
        <v>195</v>
      </c>
      <c r="B745" s="2">
        <v>53</v>
      </c>
      <c r="C745" s="19">
        <v>53</v>
      </c>
      <c r="D745" s="3" t="s">
        <v>496</v>
      </c>
      <c r="E745" s="3" t="s">
        <v>31</v>
      </c>
      <c r="F745" s="23">
        <v>229578</v>
      </c>
      <c r="G745" s="15">
        <v>2011</v>
      </c>
      <c r="H745" s="15">
        <f>Table_7[[#This Row],[Listing Price (USD)]]/10000</f>
        <v>22.957799999999999</v>
      </c>
      <c r="I745" s="28">
        <f>Table_7[[#This Row],[Length 
(ft)]]</f>
        <v>53</v>
      </c>
      <c r="J745" s="28">
        <f>2020-Table_7[[#This Row],[Year]]</f>
        <v>9</v>
      </c>
      <c r="K745">
        <v>57472012426.685303</v>
      </c>
      <c r="L745">
        <v>14198.753959474399</v>
      </c>
      <c r="M745">
        <v>0.15481137456202801</v>
      </c>
      <c r="N745">
        <v>-8.5803430210621805</v>
      </c>
      <c r="O745">
        <v>45.8</v>
      </c>
      <c r="P745">
        <v>1420</v>
      </c>
      <c r="Q745">
        <v>63</v>
      </c>
      <c r="R745">
        <v>15.65</v>
      </c>
    </row>
    <row r="746" spans="1:18" x14ac:dyDescent="0.25">
      <c r="A746" s="1" t="s">
        <v>195</v>
      </c>
      <c r="B746" s="2">
        <v>53</v>
      </c>
      <c r="C746" s="19">
        <v>53</v>
      </c>
      <c r="D746" s="3" t="s">
        <v>496</v>
      </c>
      <c r="E746" s="3" t="s">
        <v>31</v>
      </c>
      <c r="F746" s="23">
        <v>230761</v>
      </c>
      <c r="G746" s="15">
        <v>2012</v>
      </c>
      <c r="H746" s="15">
        <f>Table_7[[#This Row],[Listing Price (USD)]]/10000</f>
        <v>23.0761</v>
      </c>
      <c r="I746" s="28">
        <f>Table_7[[#This Row],[Length 
(ft)]]</f>
        <v>53</v>
      </c>
      <c r="J746" s="28">
        <f>2020-Table_7[[#This Row],[Year]]</f>
        <v>8</v>
      </c>
      <c r="K746">
        <v>57472012426.685303</v>
      </c>
      <c r="L746">
        <v>14198.753959474399</v>
      </c>
      <c r="M746">
        <v>0.15481137456202801</v>
      </c>
      <c r="N746">
        <v>-8.5803430210621805</v>
      </c>
      <c r="O746">
        <v>45.8</v>
      </c>
      <c r="P746">
        <v>1420</v>
      </c>
      <c r="Q746">
        <v>63</v>
      </c>
      <c r="R746">
        <v>15.65</v>
      </c>
    </row>
    <row r="747" spans="1:18" x14ac:dyDescent="0.25">
      <c r="A747" s="1" t="s">
        <v>195</v>
      </c>
      <c r="B747" s="2">
        <v>53</v>
      </c>
      <c r="C747" s="19">
        <v>53</v>
      </c>
      <c r="D747" s="3" t="s">
        <v>496</v>
      </c>
      <c r="E747" s="3" t="s">
        <v>31</v>
      </c>
      <c r="F747" s="23">
        <v>236866</v>
      </c>
      <c r="G747" s="15">
        <v>2011</v>
      </c>
      <c r="H747" s="15">
        <f>Table_7[[#This Row],[Listing Price (USD)]]/10000</f>
        <v>23.686599999999999</v>
      </c>
      <c r="I747" s="28">
        <f>Table_7[[#This Row],[Length 
(ft)]]</f>
        <v>53</v>
      </c>
      <c r="J747" s="28">
        <f>2020-Table_7[[#This Row],[Year]]</f>
        <v>9</v>
      </c>
      <c r="K747">
        <v>57472012426.685303</v>
      </c>
      <c r="L747">
        <v>14198.753959474399</v>
      </c>
      <c r="M747">
        <v>0.15481137456202801</v>
      </c>
      <c r="N747">
        <v>-8.5803430210621805</v>
      </c>
      <c r="O747">
        <v>45.8</v>
      </c>
      <c r="P747">
        <v>1420</v>
      </c>
      <c r="Q747">
        <v>63</v>
      </c>
      <c r="R747">
        <v>15.65</v>
      </c>
    </row>
    <row r="748" spans="1:18" x14ac:dyDescent="0.25">
      <c r="A748" s="1" t="s">
        <v>195</v>
      </c>
      <c r="B748" s="2">
        <v>53</v>
      </c>
      <c r="C748" s="19">
        <v>53</v>
      </c>
      <c r="D748" s="3" t="s">
        <v>496</v>
      </c>
      <c r="E748" s="3" t="s">
        <v>18</v>
      </c>
      <c r="F748" s="23">
        <v>236866</v>
      </c>
      <c r="G748" s="15">
        <v>2013</v>
      </c>
      <c r="H748" s="15">
        <f>Table_7[[#This Row],[Listing Price (USD)]]/10000</f>
        <v>23.686599999999999</v>
      </c>
      <c r="I748" s="28">
        <f>Table_7[[#This Row],[Length 
(ft)]]</f>
        <v>53</v>
      </c>
      <c r="J748" s="28">
        <f>2020-Table_7[[#This Row],[Year]]</f>
        <v>7</v>
      </c>
      <c r="K748">
        <v>188925995936.80701</v>
      </c>
      <c r="L748">
        <v>17658.947301119199</v>
      </c>
      <c r="M748">
        <v>-1.2479835558140799</v>
      </c>
      <c r="N748">
        <v>-9.0040436420214593</v>
      </c>
      <c r="O748">
        <v>45.8</v>
      </c>
      <c r="P748">
        <v>1420</v>
      </c>
      <c r="Q748">
        <v>63</v>
      </c>
      <c r="R748">
        <v>15.65</v>
      </c>
    </row>
    <row r="749" spans="1:18" x14ac:dyDescent="0.25">
      <c r="A749" s="1" t="s">
        <v>195</v>
      </c>
      <c r="B749" s="2">
        <v>53</v>
      </c>
      <c r="C749" s="19">
        <v>53</v>
      </c>
      <c r="D749" s="3" t="s">
        <v>496</v>
      </c>
      <c r="E749" s="3" t="s">
        <v>31</v>
      </c>
      <c r="F749" s="23">
        <v>236875</v>
      </c>
      <c r="G749" s="15">
        <v>2011</v>
      </c>
      <c r="H749" s="15">
        <f>Table_7[[#This Row],[Listing Price (USD)]]/10000</f>
        <v>23.6875</v>
      </c>
      <c r="I749" s="28">
        <f>Table_7[[#This Row],[Length 
(ft)]]</f>
        <v>53</v>
      </c>
      <c r="J749" s="28">
        <f>2020-Table_7[[#This Row],[Year]]</f>
        <v>9</v>
      </c>
      <c r="K749">
        <v>57472012426.685303</v>
      </c>
      <c r="L749">
        <v>14198.753959474399</v>
      </c>
      <c r="M749">
        <v>0.15481137456202801</v>
      </c>
      <c r="N749">
        <v>-8.5803430210621805</v>
      </c>
      <c r="O749">
        <v>45.8</v>
      </c>
      <c r="P749">
        <v>1420</v>
      </c>
      <c r="Q749">
        <v>63</v>
      </c>
      <c r="R749">
        <v>15.65</v>
      </c>
    </row>
    <row r="750" spans="1:18" x14ac:dyDescent="0.25">
      <c r="A750" s="1" t="s">
        <v>195</v>
      </c>
      <c r="B750" s="2">
        <v>53</v>
      </c>
      <c r="C750" s="19">
        <v>53</v>
      </c>
      <c r="D750" s="3" t="s">
        <v>496</v>
      </c>
      <c r="E750" s="3" t="s">
        <v>63</v>
      </c>
      <c r="F750" s="23">
        <v>241725</v>
      </c>
      <c r="G750" s="15">
        <v>2011</v>
      </c>
      <c r="H750" s="15">
        <f>Table_7[[#This Row],[Listing Price (USD)]]/10000</f>
        <v>24.172499999999999</v>
      </c>
      <c r="I750" s="28">
        <f>Table_7[[#This Row],[Length 
(ft)]]</f>
        <v>53</v>
      </c>
      <c r="J750" s="28">
        <f>2020-Table_7[[#This Row],[Year]]</f>
        <v>9</v>
      </c>
      <c r="K750">
        <v>720290000000</v>
      </c>
      <c r="L750">
        <v>13341.6</v>
      </c>
      <c r="M750">
        <v>13</v>
      </c>
      <c r="N750">
        <v>-3</v>
      </c>
      <c r="O750">
        <v>45.8</v>
      </c>
      <c r="P750">
        <v>1420</v>
      </c>
      <c r="Q750">
        <v>63</v>
      </c>
      <c r="R750">
        <v>15.65</v>
      </c>
    </row>
    <row r="751" spans="1:18" x14ac:dyDescent="0.25">
      <c r="A751" s="1" t="s">
        <v>195</v>
      </c>
      <c r="B751" s="2">
        <v>53</v>
      </c>
      <c r="C751" s="19">
        <v>53</v>
      </c>
      <c r="D751" s="3" t="s">
        <v>496</v>
      </c>
      <c r="E751" s="3" t="s">
        <v>31</v>
      </c>
      <c r="F751" s="23">
        <v>249023</v>
      </c>
      <c r="G751" s="15">
        <v>2012</v>
      </c>
      <c r="H751" s="15">
        <f>Table_7[[#This Row],[Listing Price (USD)]]/10000</f>
        <v>24.9023</v>
      </c>
      <c r="I751" s="28">
        <f>Table_7[[#This Row],[Length 
(ft)]]</f>
        <v>53</v>
      </c>
      <c r="J751" s="28">
        <f>2020-Table_7[[#This Row],[Year]]</f>
        <v>8</v>
      </c>
      <c r="K751">
        <v>57472012426.685303</v>
      </c>
      <c r="L751">
        <v>14198.753959474399</v>
      </c>
      <c r="M751">
        <v>0.15481137456202801</v>
      </c>
      <c r="N751">
        <v>-8.5803430210621805</v>
      </c>
      <c r="O751">
        <v>45.8</v>
      </c>
      <c r="P751">
        <v>1420</v>
      </c>
      <c r="Q751">
        <v>63</v>
      </c>
      <c r="R751">
        <v>15.65</v>
      </c>
    </row>
    <row r="752" spans="1:18" x14ac:dyDescent="0.25">
      <c r="A752" s="1" t="s">
        <v>195</v>
      </c>
      <c r="B752" s="2">
        <v>53</v>
      </c>
      <c r="C752" s="19">
        <v>53</v>
      </c>
      <c r="D752" s="3" t="s">
        <v>496</v>
      </c>
      <c r="E752" s="3" t="s">
        <v>31</v>
      </c>
      <c r="F752" s="23">
        <v>249782</v>
      </c>
      <c r="G752" s="15">
        <v>2011</v>
      </c>
      <c r="H752" s="15">
        <f>Table_7[[#This Row],[Listing Price (USD)]]/10000</f>
        <v>24.978200000000001</v>
      </c>
      <c r="I752" s="28">
        <f>Table_7[[#This Row],[Length 
(ft)]]</f>
        <v>53</v>
      </c>
      <c r="J752" s="28">
        <f>2020-Table_7[[#This Row],[Year]]</f>
        <v>9</v>
      </c>
      <c r="K752">
        <v>57472012426.685303</v>
      </c>
      <c r="L752">
        <v>14198.753959474399</v>
      </c>
      <c r="M752">
        <v>0.15481137456202801</v>
      </c>
      <c r="N752">
        <v>-8.5803430210621805</v>
      </c>
      <c r="O752">
        <v>45.8</v>
      </c>
      <c r="P752">
        <v>1420</v>
      </c>
      <c r="Q752">
        <v>63</v>
      </c>
      <c r="R752">
        <v>15.65</v>
      </c>
    </row>
    <row r="753" spans="1:18" x14ac:dyDescent="0.25">
      <c r="A753" s="1" t="s">
        <v>195</v>
      </c>
      <c r="B753" s="2">
        <v>53</v>
      </c>
      <c r="C753" s="19">
        <v>53</v>
      </c>
      <c r="D753" s="3" t="s">
        <v>496</v>
      </c>
      <c r="E753" s="3" t="s">
        <v>237</v>
      </c>
      <c r="F753" s="23">
        <v>255086</v>
      </c>
      <c r="G753" s="15">
        <v>2010</v>
      </c>
      <c r="H753" s="15">
        <f>Table_7[[#This Row],[Listing Price (USD)]]/10000</f>
        <v>25.508600000000001</v>
      </c>
      <c r="I753" s="28">
        <f>Table_7[[#This Row],[Length 
(ft)]]</f>
        <v>53</v>
      </c>
      <c r="J753" s="28">
        <f>2020-Table_7[[#This Row],[Year]]</f>
        <v>10</v>
      </c>
      <c r="K753">
        <v>229031860520.77701</v>
      </c>
      <c r="L753">
        <v>22242.406417972001</v>
      </c>
      <c r="M753">
        <v>-1.2438329957616699E-2</v>
      </c>
      <c r="N753">
        <v>-8.3005160422115107</v>
      </c>
      <c r="O753">
        <v>45.8</v>
      </c>
      <c r="P753">
        <v>1420</v>
      </c>
      <c r="Q753">
        <v>63</v>
      </c>
      <c r="R753">
        <v>15.65</v>
      </c>
    </row>
    <row r="754" spans="1:18" x14ac:dyDescent="0.25">
      <c r="A754" s="1" t="s">
        <v>195</v>
      </c>
      <c r="B754" s="2">
        <v>53</v>
      </c>
      <c r="C754" s="19">
        <v>53</v>
      </c>
      <c r="D754" s="3" t="s">
        <v>496</v>
      </c>
      <c r="E754" s="3" t="s">
        <v>31</v>
      </c>
      <c r="F754" s="23">
        <v>261160</v>
      </c>
      <c r="G754" s="15">
        <v>2011</v>
      </c>
      <c r="H754" s="15">
        <f>Table_7[[#This Row],[Listing Price (USD)]]/10000</f>
        <v>26.116</v>
      </c>
      <c r="I754" s="28">
        <f>Table_7[[#This Row],[Length 
(ft)]]</f>
        <v>53</v>
      </c>
      <c r="J754" s="28">
        <f>2020-Table_7[[#This Row],[Year]]</f>
        <v>9</v>
      </c>
      <c r="K754">
        <v>57472012426.685303</v>
      </c>
      <c r="L754">
        <v>14198.753959474399</v>
      </c>
      <c r="M754">
        <v>0.15481137456202801</v>
      </c>
      <c r="N754">
        <v>-8.5803430210621805</v>
      </c>
      <c r="O754">
        <v>45.8</v>
      </c>
      <c r="P754">
        <v>1420</v>
      </c>
      <c r="Q754">
        <v>63</v>
      </c>
      <c r="R754">
        <v>15.65</v>
      </c>
    </row>
    <row r="755" spans="1:18" x14ac:dyDescent="0.25">
      <c r="A755" s="1" t="s">
        <v>195</v>
      </c>
      <c r="B755" s="2">
        <v>53</v>
      </c>
      <c r="C755" s="19">
        <v>53</v>
      </c>
      <c r="D755" s="3" t="s">
        <v>496</v>
      </c>
      <c r="E755" s="3" t="s">
        <v>3</v>
      </c>
      <c r="F755" s="23">
        <v>267233</v>
      </c>
      <c r="G755" s="15">
        <v>2011</v>
      </c>
      <c r="H755" s="15">
        <f>Table_7[[#This Row],[Listing Price (USD)]]/10000</f>
        <v>26.723299999999998</v>
      </c>
      <c r="I755" s="28">
        <f>Table_7[[#This Row],[Length 
(ft)]]</f>
        <v>53</v>
      </c>
      <c r="J755" s="28">
        <f>2020-Table_7[[#This Row],[Year]]</f>
        <v>9</v>
      </c>
      <c r="K755">
        <v>2639008701648.2598</v>
      </c>
      <c r="L755">
        <v>39055.282928075401</v>
      </c>
      <c r="M755">
        <v>0.47649885272508302</v>
      </c>
      <c r="N755">
        <v>-7.7845864916787102</v>
      </c>
      <c r="O755">
        <v>45.8</v>
      </c>
      <c r="P755">
        <v>1420</v>
      </c>
      <c r="Q755">
        <v>63</v>
      </c>
      <c r="R755">
        <v>15.65</v>
      </c>
    </row>
    <row r="756" spans="1:18" x14ac:dyDescent="0.25">
      <c r="A756" s="1" t="s">
        <v>195</v>
      </c>
      <c r="B756" s="2">
        <v>53</v>
      </c>
      <c r="C756" s="19">
        <v>53</v>
      </c>
      <c r="D756" s="3" t="s">
        <v>496</v>
      </c>
      <c r="E756" s="3" t="s">
        <v>9</v>
      </c>
      <c r="F756" s="23">
        <v>291406</v>
      </c>
      <c r="G756" s="15">
        <v>2011</v>
      </c>
      <c r="H756" s="15">
        <f>Table_7[[#This Row],[Listing Price (USD)]]/10000</f>
        <v>29.140599999999999</v>
      </c>
      <c r="I756" s="28">
        <f>Table_7[[#This Row],[Length 
(ft)]]</f>
        <v>53</v>
      </c>
      <c r="J756" s="28">
        <f>2020-Table_7[[#This Row],[Year]]</f>
        <v>9</v>
      </c>
      <c r="K756">
        <v>1276962685648.25</v>
      </c>
      <c r="L756">
        <v>26959.675436732599</v>
      </c>
      <c r="M756">
        <v>-0.32275301729970501</v>
      </c>
      <c r="N756">
        <v>-11.3254383222864</v>
      </c>
      <c r="O756">
        <v>45.8</v>
      </c>
      <c r="P756">
        <v>1420</v>
      </c>
      <c r="Q756">
        <v>63</v>
      </c>
      <c r="R756">
        <v>15.65</v>
      </c>
    </row>
    <row r="757" spans="1:18" x14ac:dyDescent="0.25">
      <c r="A757" s="1" t="s">
        <v>273</v>
      </c>
      <c r="B757" s="2">
        <v>53</v>
      </c>
      <c r="C757" s="19">
        <v>53</v>
      </c>
      <c r="D757" s="3" t="s">
        <v>496</v>
      </c>
      <c r="E757" s="3" t="s">
        <v>63</v>
      </c>
      <c r="F757" s="23">
        <v>297601</v>
      </c>
      <c r="G757" s="15">
        <v>2008</v>
      </c>
      <c r="H757" s="15">
        <f>Table_7[[#This Row],[Listing Price (USD)]]/10000</f>
        <v>29.760100000000001</v>
      </c>
      <c r="I757" s="28">
        <f>Table_7[[#This Row],[Length 
(ft)]]</f>
        <v>53</v>
      </c>
      <c r="J757" s="28">
        <f>2020-Table_7[[#This Row],[Year]]</f>
        <v>12</v>
      </c>
      <c r="K757">
        <v>720290000000</v>
      </c>
      <c r="L757">
        <v>13341.6</v>
      </c>
      <c r="M757">
        <v>13</v>
      </c>
      <c r="N757">
        <v>-3</v>
      </c>
      <c r="O757">
        <v>45.8</v>
      </c>
      <c r="P757">
        <v>1420</v>
      </c>
      <c r="Q757">
        <v>63</v>
      </c>
      <c r="R757">
        <v>15.65</v>
      </c>
    </row>
    <row r="758" spans="1:18" x14ac:dyDescent="0.25">
      <c r="A758" s="1" t="s">
        <v>195</v>
      </c>
      <c r="B758" s="2">
        <v>53</v>
      </c>
      <c r="C758" s="19">
        <v>53</v>
      </c>
      <c r="D758" s="3" t="s">
        <v>496</v>
      </c>
      <c r="E758" s="3" t="s">
        <v>18</v>
      </c>
      <c r="F758" s="23">
        <v>326766</v>
      </c>
      <c r="G758" s="15">
        <v>2011</v>
      </c>
      <c r="H758" s="15">
        <f>Table_7[[#This Row],[Listing Price (USD)]]/10000</f>
        <v>32.676600000000001</v>
      </c>
      <c r="I758" s="28">
        <f>Table_7[[#This Row],[Length 
(ft)]]</f>
        <v>53</v>
      </c>
      <c r="J758" s="28">
        <f>2020-Table_7[[#This Row],[Year]]</f>
        <v>9</v>
      </c>
      <c r="K758">
        <v>188925995936.80701</v>
      </c>
      <c r="L758">
        <v>17658.947301119199</v>
      </c>
      <c r="M758">
        <v>-1.2479835558140799</v>
      </c>
      <c r="N758">
        <v>-9.0040436420214593</v>
      </c>
      <c r="O758">
        <v>45.8</v>
      </c>
      <c r="P758">
        <v>1420</v>
      </c>
      <c r="Q758">
        <v>63</v>
      </c>
      <c r="R758">
        <v>15.65</v>
      </c>
    </row>
    <row r="759" spans="1:18" x14ac:dyDescent="0.25">
      <c r="A759" s="1" t="s">
        <v>195</v>
      </c>
      <c r="B759" s="2">
        <v>53</v>
      </c>
      <c r="C759" s="19">
        <v>53</v>
      </c>
      <c r="D759" s="3" t="s">
        <v>496</v>
      </c>
      <c r="E759" s="3" t="s">
        <v>176</v>
      </c>
      <c r="F759" s="23">
        <v>334055</v>
      </c>
      <c r="G759" s="15">
        <v>2014</v>
      </c>
      <c r="H759" s="15">
        <f>Table_7[[#This Row],[Listing Price (USD)]]/10000</f>
        <v>33.405500000000004</v>
      </c>
      <c r="I759" s="28">
        <f>Table_7[[#This Row],[Length 
(ft)]]</f>
        <v>53</v>
      </c>
      <c r="J759" s="28">
        <f>2020-Table_7[[#This Row],[Year]]</f>
        <v>6</v>
      </c>
      <c r="K759">
        <v>25008448886.3507</v>
      </c>
      <c r="L759">
        <v>28036.189453125</v>
      </c>
      <c r="M759">
        <v>-0.638422797978907</v>
      </c>
      <c r="N759">
        <v>-4.3724741857521501</v>
      </c>
      <c r="O759">
        <v>45.8</v>
      </c>
      <c r="P759">
        <v>1420</v>
      </c>
      <c r="Q759">
        <v>63</v>
      </c>
      <c r="R759">
        <v>15.65</v>
      </c>
    </row>
    <row r="760" spans="1:18" x14ac:dyDescent="0.25">
      <c r="A760" s="1" t="s">
        <v>195</v>
      </c>
      <c r="B760" s="2">
        <v>53</v>
      </c>
      <c r="C760" s="19">
        <v>53</v>
      </c>
      <c r="D760" s="3" t="s">
        <v>496</v>
      </c>
      <c r="E760" s="3" t="s">
        <v>24</v>
      </c>
      <c r="F760" s="23">
        <v>340069</v>
      </c>
      <c r="G760" s="15">
        <v>2010</v>
      </c>
      <c r="H760" s="15">
        <f>Table_7[[#This Row],[Listing Price (USD)]]/10000</f>
        <v>34.006900000000002</v>
      </c>
      <c r="I760" s="28">
        <f>Table_7[[#This Row],[Length 
(ft)]]</f>
        <v>53</v>
      </c>
      <c r="J760" s="28">
        <f>2020-Table_7[[#This Row],[Year]]</f>
        <v>10</v>
      </c>
      <c r="K760">
        <v>1896755301518.1399</v>
      </c>
      <c r="L760">
        <v>31911.0357890017</v>
      </c>
      <c r="M760">
        <v>-0.13770757391656999</v>
      </c>
      <c r="N760">
        <v>-9.0399534112288507</v>
      </c>
      <c r="O760">
        <v>45.8</v>
      </c>
      <c r="P760">
        <v>1420</v>
      </c>
      <c r="Q760">
        <v>63</v>
      </c>
      <c r="R760">
        <v>15.65</v>
      </c>
    </row>
    <row r="761" spans="1:18" x14ac:dyDescent="0.25">
      <c r="A761" s="1" t="s">
        <v>195</v>
      </c>
      <c r="B761" s="2">
        <v>53</v>
      </c>
      <c r="C761" s="19">
        <v>53</v>
      </c>
      <c r="D761" s="3" t="s">
        <v>496</v>
      </c>
      <c r="E761" s="3" t="s">
        <v>536</v>
      </c>
      <c r="F761" s="23">
        <v>341932</v>
      </c>
      <c r="G761" s="15">
        <v>2011</v>
      </c>
      <c r="H761" s="15">
        <f>Table_7[[#This Row],[Listing Price (USD)]]/10000</f>
        <v>34.193199999999997</v>
      </c>
      <c r="I761" s="28">
        <f>Table_7[[#This Row],[Length 
(ft)]]</f>
        <v>53</v>
      </c>
      <c r="J761" s="28">
        <f>2020-Table_7[[#This Row],[Year]]</f>
        <v>9</v>
      </c>
      <c r="K761">
        <v>355222449505.211</v>
      </c>
      <c r="L761">
        <v>60915.424399546202</v>
      </c>
      <c r="M761">
        <v>0.42071197411002598</v>
      </c>
      <c r="N761">
        <v>-1.99460756850381</v>
      </c>
      <c r="O761">
        <v>45.8</v>
      </c>
      <c r="P761">
        <v>1420</v>
      </c>
      <c r="Q761">
        <v>63</v>
      </c>
      <c r="R761">
        <v>15.65</v>
      </c>
    </row>
    <row r="762" spans="1:18" x14ac:dyDescent="0.25">
      <c r="A762" s="1" t="s">
        <v>273</v>
      </c>
      <c r="B762" s="2">
        <v>53</v>
      </c>
      <c r="C762" s="19">
        <v>53</v>
      </c>
      <c r="D762" s="3" t="s">
        <v>496</v>
      </c>
      <c r="E762" s="3" t="s">
        <v>63</v>
      </c>
      <c r="F762" s="23">
        <v>364424</v>
      </c>
      <c r="G762" s="15">
        <v>2008</v>
      </c>
      <c r="H762" s="15">
        <f>Table_7[[#This Row],[Listing Price (USD)]]/10000</f>
        <v>36.442399999999999</v>
      </c>
      <c r="I762" s="28">
        <f>Table_7[[#This Row],[Length 
(ft)]]</f>
        <v>53</v>
      </c>
      <c r="J762" s="28">
        <f>2020-Table_7[[#This Row],[Year]]</f>
        <v>12</v>
      </c>
      <c r="K762">
        <v>720290000033</v>
      </c>
      <c r="L762">
        <v>13341.6</v>
      </c>
      <c r="M762">
        <v>13</v>
      </c>
      <c r="N762">
        <v>-3</v>
      </c>
      <c r="O762">
        <v>45.8</v>
      </c>
      <c r="P762">
        <v>1420</v>
      </c>
      <c r="Q762">
        <v>63</v>
      </c>
      <c r="R762">
        <v>15.65</v>
      </c>
    </row>
    <row r="763" spans="1:18" x14ac:dyDescent="0.25">
      <c r="A763" s="1" t="s">
        <v>195</v>
      </c>
      <c r="B763" s="2">
        <v>53</v>
      </c>
      <c r="C763" s="19">
        <v>53</v>
      </c>
      <c r="D763" s="3" t="s">
        <v>496</v>
      </c>
      <c r="E763" s="3" t="s">
        <v>24</v>
      </c>
      <c r="F763" s="23">
        <v>370482</v>
      </c>
      <c r="G763" s="15">
        <v>2015</v>
      </c>
      <c r="H763" s="15">
        <f>Table_7[[#This Row],[Listing Price (USD)]]/10000</f>
        <v>37.048200000000001</v>
      </c>
      <c r="I763" s="28">
        <f>Table_7[[#This Row],[Length 
(ft)]]</f>
        <v>53</v>
      </c>
      <c r="J763" s="28">
        <f>2020-Table_7[[#This Row],[Year]]</f>
        <v>5</v>
      </c>
      <c r="K763">
        <v>1896755301518.1399</v>
      </c>
      <c r="L763">
        <v>31911.0357890017</v>
      </c>
      <c r="M763">
        <v>-0.13770757391656999</v>
      </c>
      <c r="N763">
        <v>-9.0399534112288507</v>
      </c>
      <c r="O763">
        <v>45.8</v>
      </c>
      <c r="P763">
        <v>1420</v>
      </c>
      <c r="Q763">
        <v>63</v>
      </c>
      <c r="R763">
        <v>15.65</v>
      </c>
    </row>
    <row r="764" spans="1:18" x14ac:dyDescent="0.25">
      <c r="A764" s="1" t="s">
        <v>273</v>
      </c>
      <c r="B764" s="2">
        <v>53</v>
      </c>
      <c r="C764" s="19">
        <v>53</v>
      </c>
      <c r="D764" s="3" t="s">
        <v>496</v>
      </c>
      <c r="E764" s="3" t="s">
        <v>3</v>
      </c>
      <c r="F764" s="23">
        <v>382629</v>
      </c>
      <c r="G764" s="15">
        <v>2008</v>
      </c>
      <c r="H764" s="15">
        <f>Table_7[[#This Row],[Listing Price (USD)]]/10000</f>
        <v>38.262900000000002</v>
      </c>
      <c r="I764" s="28">
        <f>Table_7[[#This Row],[Length 
(ft)]]</f>
        <v>53</v>
      </c>
      <c r="J764" s="28">
        <f>2020-Table_7[[#This Row],[Year]]</f>
        <v>12</v>
      </c>
      <c r="K764">
        <v>2639008701648.2598</v>
      </c>
      <c r="L764">
        <v>39055.282928075401</v>
      </c>
      <c r="M764">
        <v>0.47649885272508302</v>
      </c>
      <c r="N764">
        <v>-7.7845864916787102</v>
      </c>
      <c r="O764">
        <v>45.8</v>
      </c>
      <c r="P764">
        <v>1420</v>
      </c>
      <c r="Q764">
        <v>63</v>
      </c>
      <c r="R764">
        <v>15.65</v>
      </c>
    </row>
    <row r="765" spans="1:18" x14ac:dyDescent="0.25">
      <c r="A765" s="1" t="s">
        <v>273</v>
      </c>
      <c r="B765" s="2">
        <v>53</v>
      </c>
      <c r="C765" s="19">
        <v>53</v>
      </c>
      <c r="D765" s="3" t="s">
        <v>496</v>
      </c>
      <c r="E765" s="3" t="s">
        <v>24</v>
      </c>
      <c r="F765" s="23">
        <v>388703</v>
      </c>
      <c r="G765" s="15">
        <v>2007</v>
      </c>
      <c r="H765" s="15">
        <f>Table_7[[#This Row],[Listing Price (USD)]]/10000</f>
        <v>38.8703</v>
      </c>
      <c r="I765" s="28">
        <f>Table_7[[#This Row],[Length 
(ft)]]</f>
        <v>53</v>
      </c>
      <c r="J765" s="28">
        <f>2020-Table_7[[#This Row],[Year]]</f>
        <v>13</v>
      </c>
      <c r="K765">
        <v>1896755301518.1399</v>
      </c>
      <c r="L765">
        <v>31911.0357890017</v>
      </c>
      <c r="M765">
        <v>-0.13770757391656999</v>
      </c>
      <c r="N765">
        <v>-9.0399534112288507</v>
      </c>
      <c r="O765">
        <v>45.8</v>
      </c>
      <c r="P765">
        <v>1420</v>
      </c>
      <c r="Q765">
        <v>63</v>
      </c>
      <c r="R765">
        <v>15.65</v>
      </c>
    </row>
    <row r="766" spans="1:18" x14ac:dyDescent="0.25">
      <c r="A766" s="1" t="s">
        <v>195</v>
      </c>
      <c r="B766" s="2">
        <v>53</v>
      </c>
      <c r="C766" s="19">
        <v>53</v>
      </c>
      <c r="D766" s="3" t="s">
        <v>496</v>
      </c>
      <c r="E766" s="3" t="s">
        <v>198</v>
      </c>
      <c r="F766" s="23">
        <v>388703</v>
      </c>
      <c r="G766" s="15">
        <v>2012</v>
      </c>
      <c r="H766" s="15">
        <f>Table_7[[#This Row],[Listing Price (USD)]]/10000</f>
        <v>38.8703</v>
      </c>
      <c r="I766" s="28">
        <f>Table_7[[#This Row],[Length 
(ft)]]</f>
        <v>53</v>
      </c>
      <c r="J766" s="28">
        <f>2020-Table_7[[#This Row],[Year]]</f>
        <v>8</v>
      </c>
      <c r="K766">
        <v>53706800043.684196</v>
      </c>
      <c r="L766">
        <v>25545.241002713599</v>
      </c>
      <c r="M766">
        <v>-5.4856815760606699E-2</v>
      </c>
      <c r="N766">
        <v>-4.3213699045106999</v>
      </c>
      <c r="O766">
        <v>45.8</v>
      </c>
      <c r="P766">
        <v>1420</v>
      </c>
      <c r="Q766">
        <v>63</v>
      </c>
      <c r="R766">
        <v>15.65</v>
      </c>
    </row>
    <row r="767" spans="1:18" x14ac:dyDescent="0.25">
      <c r="A767" s="1" t="s">
        <v>195</v>
      </c>
      <c r="B767" s="2">
        <v>53</v>
      </c>
      <c r="C767" s="19">
        <v>53</v>
      </c>
      <c r="D767" s="3" t="s">
        <v>496</v>
      </c>
      <c r="E767" s="3" t="s">
        <v>198</v>
      </c>
      <c r="F767" s="23">
        <v>388718</v>
      </c>
      <c r="G767" s="15">
        <v>2012</v>
      </c>
      <c r="H767" s="15">
        <f>Table_7[[#This Row],[Listing Price (USD)]]/10000</f>
        <v>38.8718</v>
      </c>
      <c r="I767" s="28">
        <f>Table_7[[#This Row],[Length 
(ft)]]</f>
        <v>53</v>
      </c>
      <c r="J767" s="28">
        <f>2020-Table_7[[#This Row],[Year]]</f>
        <v>8</v>
      </c>
      <c r="K767">
        <v>53706800043.684196</v>
      </c>
      <c r="L767">
        <v>25545.241002713599</v>
      </c>
      <c r="M767">
        <v>-5.4856815760606699E-2</v>
      </c>
      <c r="N767">
        <v>-4.3213699045106999</v>
      </c>
      <c r="O767">
        <v>45.8</v>
      </c>
      <c r="P767">
        <v>1420</v>
      </c>
      <c r="Q767">
        <v>63</v>
      </c>
      <c r="R767">
        <v>15.65</v>
      </c>
    </row>
    <row r="768" spans="1:18" x14ac:dyDescent="0.25">
      <c r="A768" s="1" t="s">
        <v>280</v>
      </c>
      <c r="B768" s="2">
        <v>53</v>
      </c>
      <c r="C768" s="19">
        <v>53</v>
      </c>
      <c r="D768" s="3" t="s">
        <v>496</v>
      </c>
      <c r="E768" s="3" t="s">
        <v>9</v>
      </c>
      <c r="F768" s="23">
        <v>399651</v>
      </c>
      <c r="G768" s="15">
        <v>2005</v>
      </c>
      <c r="H768" s="15">
        <f>Table_7[[#This Row],[Listing Price (USD)]]/10000</f>
        <v>39.9651</v>
      </c>
      <c r="I768" s="28">
        <f>Table_7[[#This Row],[Length 
(ft)]]</f>
        <v>53</v>
      </c>
      <c r="J768" s="28">
        <f>2020-Table_7[[#This Row],[Year]]</f>
        <v>15</v>
      </c>
      <c r="K768">
        <v>1276962685648.25</v>
      </c>
      <c r="L768">
        <v>26959.675436732599</v>
      </c>
      <c r="M768">
        <v>-0.32275301729970501</v>
      </c>
      <c r="N768">
        <v>-11.3254383222864</v>
      </c>
      <c r="O768">
        <v>45.8</v>
      </c>
      <c r="P768">
        <v>1420</v>
      </c>
      <c r="Q768">
        <v>63</v>
      </c>
      <c r="R768">
        <v>15.65</v>
      </c>
    </row>
    <row r="769" spans="1:18" x14ac:dyDescent="0.25">
      <c r="A769" s="1" t="s">
        <v>195</v>
      </c>
      <c r="B769" s="2">
        <v>53</v>
      </c>
      <c r="C769" s="19">
        <v>53</v>
      </c>
      <c r="D769" s="3" t="s">
        <v>496</v>
      </c>
      <c r="E769" s="3" t="s">
        <v>31</v>
      </c>
      <c r="F769" s="23">
        <v>413013</v>
      </c>
      <c r="G769" s="15">
        <v>2012</v>
      </c>
      <c r="H769" s="15">
        <f>Table_7[[#This Row],[Listing Price (USD)]]/10000</f>
        <v>41.301299999999998</v>
      </c>
      <c r="I769" s="28">
        <f>Table_7[[#This Row],[Length 
(ft)]]</f>
        <v>53</v>
      </c>
      <c r="J769" s="28">
        <f>2020-Table_7[[#This Row],[Year]]</f>
        <v>8</v>
      </c>
      <c r="K769">
        <v>57472012426.685303</v>
      </c>
      <c r="L769">
        <v>14198.753959474399</v>
      </c>
      <c r="M769">
        <v>0.15481137456202801</v>
      </c>
      <c r="N769">
        <v>-8.5803430210621805</v>
      </c>
      <c r="O769">
        <v>45.8</v>
      </c>
      <c r="P769">
        <v>1420</v>
      </c>
      <c r="Q769">
        <v>63</v>
      </c>
      <c r="R769">
        <v>15.65</v>
      </c>
    </row>
    <row r="770" spans="1:18" x14ac:dyDescent="0.25">
      <c r="A770" s="1" t="s">
        <v>191</v>
      </c>
      <c r="B770" s="2">
        <v>485</v>
      </c>
      <c r="C770" s="19">
        <v>52</v>
      </c>
      <c r="D770" s="3" t="s">
        <v>496</v>
      </c>
      <c r="E770" s="3" t="s">
        <v>516</v>
      </c>
      <c r="F770" s="23">
        <v>533252</v>
      </c>
      <c r="G770" s="15">
        <v>2006</v>
      </c>
      <c r="H770" s="15">
        <f>Table_7[[#This Row],[Listing Price (USD)]]/10000</f>
        <v>53.325200000000002</v>
      </c>
      <c r="I770" s="28">
        <f>Table_7[[#This Row],[Length 
(ft)]]</f>
        <v>52</v>
      </c>
      <c r="J770" s="28">
        <f>2020-Table_7[[#This Row],[Year]]</f>
        <v>14</v>
      </c>
      <c r="K770">
        <v>909793466661.48096</v>
      </c>
      <c r="L770">
        <v>52162.570115040602</v>
      </c>
      <c r="M770">
        <v>1.2724603778917001</v>
      </c>
      <c r="N770">
        <v>-3.88608391819609</v>
      </c>
      <c r="O770">
        <v>45.8</v>
      </c>
      <c r="P770">
        <v>1420</v>
      </c>
      <c r="Q770">
        <v>63</v>
      </c>
      <c r="R770">
        <v>15.65</v>
      </c>
    </row>
    <row r="771" spans="1:18" x14ac:dyDescent="0.25">
      <c r="A771" s="1" t="s">
        <v>128</v>
      </c>
      <c r="B771" s="2">
        <v>500</v>
      </c>
      <c r="C771" s="19">
        <v>49</v>
      </c>
      <c r="D771" s="3" t="s">
        <v>496</v>
      </c>
      <c r="E771" s="3" t="s">
        <v>9</v>
      </c>
      <c r="F771" s="23">
        <v>206377</v>
      </c>
      <c r="G771" s="15">
        <v>2015</v>
      </c>
      <c r="H771" s="15">
        <f>Table_7[[#This Row],[Listing Price (USD)]]/10000</f>
        <v>20.637699999999999</v>
      </c>
      <c r="I771" s="28">
        <f>Table_7[[#This Row],[Length 
(ft)]]</f>
        <v>49</v>
      </c>
      <c r="J771" s="28">
        <f>2020-Table_7[[#This Row],[Year]]</f>
        <v>5</v>
      </c>
      <c r="K771">
        <v>1276962685648.25</v>
      </c>
      <c r="L771">
        <v>26959.675436732599</v>
      </c>
      <c r="M771">
        <v>-0.32275301729970501</v>
      </c>
      <c r="N771">
        <v>-11.3254383222864</v>
      </c>
      <c r="O771">
        <v>42.32</v>
      </c>
      <c r="P771">
        <v>977</v>
      </c>
      <c r="Q771">
        <v>63</v>
      </c>
      <c r="R771">
        <v>16.37</v>
      </c>
    </row>
    <row r="772" spans="1:18" x14ac:dyDescent="0.25">
      <c r="A772" s="1" t="s">
        <v>195</v>
      </c>
      <c r="B772" s="2" t="s">
        <v>229</v>
      </c>
      <c r="C772" s="19">
        <v>49</v>
      </c>
      <c r="D772" s="3" t="s">
        <v>496</v>
      </c>
      <c r="E772" s="3" t="s">
        <v>31</v>
      </c>
      <c r="F772" s="23">
        <v>230802</v>
      </c>
      <c r="G772" s="15">
        <v>2007</v>
      </c>
      <c r="H772" s="15">
        <f>Table_7[[#This Row],[Listing Price (USD)]]/10000</f>
        <v>23.080200000000001</v>
      </c>
      <c r="I772" s="28">
        <f>Table_7[[#This Row],[Length 
(ft)]]</f>
        <v>49</v>
      </c>
      <c r="J772" s="28">
        <f>2020-Table_7[[#This Row],[Year]]</f>
        <v>13</v>
      </c>
      <c r="K772">
        <v>57472012426.685303</v>
      </c>
      <c r="L772">
        <v>14198.753959474399</v>
      </c>
      <c r="M772">
        <v>0.15481137456202801</v>
      </c>
      <c r="N772">
        <v>-8.5803430210621805</v>
      </c>
      <c r="O772">
        <v>42.32</v>
      </c>
      <c r="P772">
        <v>977.00199999999995</v>
      </c>
      <c r="Q772">
        <v>63</v>
      </c>
      <c r="R772">
        <v>16.37</v>
      </c>
    </row>
    <row r="773" spans="1:18" x14ac:dyDescent="0.25">
      <c r="A773" s="1" t="s">
        <v>195</v>
      </c>
      <c r="B773" s="2" t="s">
        <v>220</v>
      </c>
      <c r="C773" s="19">
        <v>45</v>
      </c>
      <c r="D773" s="3" t="s">
        <v>496</v>
      </c>
      <c r="E773" s="3" t="s">
        <v>9</v>
      </c>
      <c r="F773" s="23">
        <v>145199</v>
      </c>
      <c r="G773" s="15">
        <v>2008</v>
      </c>
      <c r="H773" s="15">
        <f>Table_7[[#This Row],[Listing Price (USD)]]/10000</f>
        <v>14.5199</v>
      </c>
      <c r="I773" s="28">
        <f>Table_7[[#This Row],[Length 
(ft)]]</f>
        <v>45</v>
      </c>
      <c r="J773" s="28">
        <f>2020-Table_7[[#This Row],[Year]]</f>
        <v>12</v>
      </c>
      <c r="K773">
        <v>1276962685648.25</v>
      </c>
      <c r="L773">
        <v>26959.675436732599</v>
      </c>
      <c r="M773">
        <v>-0.32275301729970501</v>
      </c>
      <c r="N773">
        <v>-11.3254383222864</v>
      </c>
      <c r="O773">
        <v>38.090000000000003</v>
      </c>
      <c r="P773">
        <v>1121.6020000000001</v>
      </c>
      <c r="Q773">
        <v>63</v>
      </c>
      <c r="R773">
        <v>14.34</v>
      </c>
    </row>
    <row r="774" spans="1:18" x14ac:dyDescent="0.25">
      <c r="A774" s="1" t="s">
        <v>195</v>
      </c>
      <c r="B774" s="3" t="s">
        <v>351</v>
      </c>
      <c r="C774" s="19">
        <v>49</v>
      </c>
      <c r="D774" s="3" t="s">
        <v>495</v>
      </c>
      <c r="E774" s="3" t="s">
        <v>555</v>
      </c>
      <c r="F774" s="23">
        <v>199900</v>
      </c>
      <c r="G774" s="15">
        <v>2008</v>
      </c>
      <c r="H774" s="15">
        <f>Table_7[[#This Row],[Listing Price (USD)]]/10000</f>
        <v>19.989999999999998</v>
      </c>
      <c r="I774" s="28">
        <f>Table_7[[#This Row],[Length 
(ft)]]</f>
        <v>49</v>
      </c>
      <c r="J774" s="28">
        <f>2020-Table_7[[#This Row],[Year]]</f>
        <v>12</v>
      </c>
      <c r="K774">
        <v>4200000000</v>
      </c>
      <c r="L774">
        <v>39553.199999999997</v>
      </c>
      <c r="M774">
        <v>1.23</v>
      </c>
      <c r="N774">
        <v>-2.1</v>
      </c>
      <c r="O774">
        <v>42.58</v>
      </c>
      <c r="P774">
        <v>994.00199999999995</v>
      </c>
      <c r="Q774">
        <v>63</v>
      </c>
      <c r="R774">
        <v>14.73</v>
      </c>
    </row>
    <row r="775" spans="1:18" x14ac:dyDescent="0.25">
      <c r="A775" s="1" t="s">
        <v>14</v>
      </c>
      <c r="B775" s="2" t="s">
        <v>40</v>
      </c>
      <c r="C775" s="19">
        <v>49</v>
      </c>
      <c r="D775" s="3" t="s">
        <v>496</v>
      </c>
      <c r="E775" s="3" t="s">
        <v>31</v>
      </c>
      <c r="F775" s="23">
        <v>95354</v>
      </c>
      <c r="G775" s="15">
        <v>2009</v>
      </c>
      <c r="H775" s="15">
        <f>Table_7[[#This Row],[Listing Price (USD)]]/10000</f>
        <v>9.5353999999999992</v>
      </c>
      <c r="I775" s="28">
        <f>Table_7[[#This Row],[Length 
(ft)]]</f>
        <v>49</v>
      </c>
      <c r="J775" s="28">
        <f>2020-Table_7[[#This Row],[Year]]</f>
        <v>11</v>
      </c>
      <c r="K775">
        <v>57472012426.685303</v>
      </c>
      <c r="L775">
        <v>14198.753959474399</v>
      </c>
      <c r="M775">
        <v>0.15481137456202801</v>
      </c>
      <c r="N775">
        <v>-8.5803430210621805</v>
      </c>
      <c r="O775">
        <v>42.32</v>
      </c>
      <c r="P775">
        <v>977</v>
      </c>
      <c r="Q775">
        <v>63</v>
      </c>
      <c r="R775">
        <v>16.37</v>
      </c>
    </row>
    <row r="776" spans="1:18" x14ac:dyDescent="0.25">
      <c r="A776" s="1" t="s">
        <v>143</v>
      </c>
      <c r="B776" s="2" t="s">
        <v>163</v>
      </c>
      <c r="C776" s="19">
        <v>52</v>
      </c>
      <c r="D776" s="3" t="s">
        <v>496</v>
      </c>
      <c r="E776" s="3" t="s">
        <v>31</v>
      </c>
      <c r="F776" s="23">
        <v>133617</v>
      </c>
      <c r="G776" s="15">
        <v>2008</v>
      </c>
      <c r="H776" s="15">
        <f>Table_7[[#This Row],[Listing Price (USD)]]/10000</f>
        <v>13.361700000000001</v>
      </c>
      <c r="I776" s="28">
        <f>Table_7[[#This Row],[Length 
(ft)]]</f>
        <v>52</v>
      </c>
      <c r="J776" s="28">
        <f>2020-Table_7[[#This Row],[Year]]</f>
        <v>12</v>
      </c>
      <c r="K776">
        <v>57472012426.685303</v>
      </c>
      <c r="L776">
        <v>14198.753959474399</v>
      </c>
      <c r="M776">
        <v>0.15481137456202801</v>
      </c>
      <c r="N776">
        <v>-8.5803430210621805</v>
      </c>
      <c r="O776">
        <v>45.8</v>
      </c>
      <c r="P776">
        <v>1420</v>
      </c>
      <c r="Q776">
        <v>63</v>
      </c>
      <c r="R776">
        <v>15.65</v>
      </c>
    </row>
    <row r="777" spans="1:18" x14ac:dyDescent="0.25">
      <c r="A777" s="1" t="s">
        <v>143</v>
      </c>
      <c r="B777" s="2" t="s">
        <v>163</v>
      </c>
      <c r="C777" s="19">
        <v>52</v>
      </c>
      <c r="D777" s="3" t="s">
        <v>496</v>
      </c>
      <c r="E777" s="3" t="s">
        <v>31</v>
      </c>
      <c r="F777" s="23">
        <v>202854</v>
      </c>
      <c r="G777" s="15">
        <v>2007</v>
      </c>
      <c r="H777" s="15">
        <f>Table_7[[#This Row],[Listing Price (USD)]]/10000</f>
        <v>20.285399999999999</v>
      </c>
      <c r="I777" s="28">
        <f>Table_7[[#This Row],[Length 
(ft)]]</f>
        <v>52</v>
      </c>
      <c r="J777" s="28">
        <f>2020-Table_7[[#This Row],[Year]]</f>
        <v>13</v>
      </c>
      <c r="K777">
        <v>57472012426.685303</v>
      </c>
      <c r="L777">
        <v>14198.753959474399</v>
      </c>
      <c r="M777">
        <v>0.15481137456202801</v>
      </c>
      <c r="N777">
        <v>-8.5803430210621805</v>
      </c>
      <c r="O777">
        <v>45.8</v>
      </c>
      <c r="P777">
        <v>1420</v>
      </c>
      <c r="Q777">
        <v>63</v>
      </c>
      <c r="R777">
        <v>15.65</v>
      </c>
    </row>
    <row r="778" spans="1:18" x14ac:dyDescent="0.25">
      <c r="A778" s="1" t="s">
        <v>290</v>
      </c>
      <c r="B778" s="2" t="s">
        <v>294</v>
      </c>
      <c r="C778" s="19">
        <v>52</v>
      </c>
      <c r="D778" s="3" t="s">
        <v>496</v>
      </c>
      <c r="E778" s="3" t="s">
        <v>24</v>
      </c>
      <c r="F778" s="23">
        <v>422714</v>
      </c>
      <c r="G778" s="15">
        <v>2007</v>
      </c>
      <c r="H778" s="15">
        <f>Table_7[[#This Row],[Listing Price (USD)]]/10000</f>
        <v>42.2714</v>
      </c>
      <c r="I778" s="28">
        <f>Table_7[[#This Row],[Length 
(ft)]]</f>
        <v>52</v>
      </c>
      <c r="J778" s="28">
        <f>2020-Table_7[[#This Row],[Year]]</f>
        <v>13</v>
      </c>
      <c r="K778">
        <v>1896755301518.1399</v>
      </c>
      <c r="L778">
        <v>31911.0357890017</v>
      </c>
      <c r="M778">
        <v>-0.13770757391656999</v>
      </c>
      <c r="N778">
        <v>-9.0399534112288507</v>
      </c>
      <c r="O778">
        <v>45.8</v>
      </c>
      <c r="P778">
        <v>1420</v>
      </c>
      <c r="Q778">
        <v>63</v>
      </c>
      <c r="R778">
        <v>15.65</v>
      </c>
    </row>
    <row r="779" spans="1:18" x14ac:dyDescent="0.25">
      <c r="A779" s="1" t="s">
        <v>365</v>
      </c>
      <c r="B779" s="3" t="s">
        <v>367</v>
      </c>
      <c r="C779" s="19">
        <v>52</v>
      </c>
      <c r="D779" s="3" t="s">
        <v>495</v>
      </c>
      <c r="E779" s="3" t="s">
        <v>500</v>
      </c>
      <c r="F779" s="23">
        <v>365000</v>
      </c>
      <c r="G779" s="15">
        <v>2007</v>
      </c>
      <c r="H779" s="15">
        <f>Table_7[[#This Row],[Listing Price (USD)]]/10000</f>
        <v>36.5</v>
      </c>
      <c r="I779" s="28">
        <f>Table_7[[#This Row],[Length 
(ft)]]</f>
        <v>52</v>
      </c>
      <c r="J779" s="28">
        <f>2020-Table_7[[#This Row],[Year]]</f>
        <v>13</v>
      </c>
      <c r="K779">
        <v>3007188000000</v>
      </c>
      <c r="L779">
        <v>76131.839999999997</v>
      </c>
      <c r="M779">
        <v>1.23</v>
      </c>
      <c r="N779">
        <v>2.7</v>
      </c>
      <c r="O779">
        <v>45.8</v>
      </c>
      <c r="P779">
        <v>1420</v>
      </c>
      <c r="Q779">
        <v>63</v>
      </c>
      <c r="R779">
        <v>15.65</v>
      </c>
    </row>
    <row r="780" spans="1:18" x14ac:dyDescent="0.25">
      <c r="A780" s="1" t="s">
        <v>105</v>
      </c>
      <c r="B780" s="2" t="s">
        <v>110</v>
      </c>
      <c r="C780" s="19">
        <v>51</v>
      </c>
      <c r="D780" s="3" t="s">
        <v>496</v>
      </c>
      <c r="E780" s="3" t="s">
        <v>24</v>
      </c>
      <c r="F780" s="23">
        <v>200425</v>
      </c>
      <c r="G780" s="15">
        <v>2005</v>
      </c>
      <c r="H780" s="15">
        <f>Table_7[[#This Row],[Listing Price (USD)]]/10000</f>
        <v>20.0425</v>
      </c>
      <c r="I780" s="28">
        <f>Table_7[[#This Row],[Length 
(ft)]]</f>
        <v>51</v>
      </c>
      <c r="J780" s="28">
        <f>2020-Table_7[[#This Row],[Year]]</f>
        <v>15</v>
      </c>
      <c r="K780">
        <v>1896755301518.1399</v>
      </c>
      <c r="L780">
        <v>31911.0357890017</v>
      </c>
      <c r="M780">
        <v>-0.13770757391656999</v>
      </c>
      <c r="N780">
        <v>-9.0399534112288507</v>
      </c>
      <c r="O780">
        <v>45.77</v>
      </c>
      <c r="P780">
        <v>1191</v>
      </c>
      <c r="Q780">
        <v>63</v>
      </c>
      <c r="R780">
        <v>15.42</v>
      </c>
    </row>
    <row r="781" spans="1:18" x14ac:dyDescent="0.25">
      <c r="A781" s="1" t="s">
        <v>45</v>
      </c>
      <c r="B781" s="2" t="s">
        <v>83</v>
      </c>
      <c r="C781" s="19">
        <v>49</v>
      </c>
      <c r="D781" s="3" t="s">
        <v>496</v>
      </c>
      <c r="E781" s="3" t="s">
        <v>24</v>
      </c>
      <c r="F781" s="23">
        <v>212572</v>
      </c>
      <c r="G781" s="15">
        <v>2007</v>
      </c>
      <c r="H781" s="15">
        <f>Table_7[[#This Row],[Listing Price (USD)]]/10000</f>
        <v>21.257200000000001</v>
      </c>
      <c r="I781" s="28">
        <f>Table_7[[#This Row],[Length 
(ft)]]</f>
        <v>49</v>
      </c>
      <c r="J781" s="28">
        <f>2020-Table_7[[#This Row],[Year]]</f>
        <v>13</v>
      </c>
      <c r="K781">
        <v>1896755301518.1399</v>
      </c>
      <c r="L781">
        <v>31911.0357890017</v>
      </c>
      <c r="M781">
        <v>-0.13770757391656999</v>
      </c>
      <c r="N781">
        <v>-9.0399534112288507</v>
      </c>
      <c r="O781">
        <v>43.5</v>
      </c>
      <c r="P781">
        <v>1193.002</v>
      </c>
      <c r="Q781">
        <v>63</v>
      </c>
      <c r="R781">
        <v>14.5</v>
      </c>
    </row>
    <row r="782" spans="1:18" x14ac:dyDescent="0.25">
      <c r="A782" s="1" t="s">
        <v>45</v>
      </c>
      <c r="B782" s="2" t="s">
        <v>83</v>
      </c>
      <c r="C782" s="19">
        <v>49</v>
      </c>
      <c r="D782" s="3" t="s">
        <v>496</v>
      </c>
      <c r="E782" s="3" t="s">
        <v>31</v>
      </c>
      <c r="F782" s="23">
        <v>228363</v>
      </c>
      <c r="G782" s="15">
        <v>2007</v>
      </c>
      <c r="H782" s="15">
        <f>Table_7[[#This Row],[Listing Price (USD)]]/10000</f>
        <v>22.836300000000001</v>
      </c>
      <c r="I782" s="28">
        <f>Table_7[[#This Row],[Length 
(ft)]]</f>
        <v>49</v>
      </c>
      <c r="J782" s="28">
        <f>2020-Table_7[[#This Row],[Year]]</f>
        <v>13</v>
      </c>
      <c r="K782">
        <v>57472012426.685303</v>
      </c>
      <c r="L782">
        <v>14198.753959474399</v>
      </c>
      <c r="M782">
        <v>0.15481137456202801</v>
      </c>
      <c r="N782">
        <v>-8.5803430210621805</v>
      </c>
      <c r="O782">
        <v>43.5</v>
      </c>
      <c r="P782">
        <v>1193.002</v>
      </c>
      <c r="Q782">
        <v>63</v>
      </c>
      <c r="R782">
        <v>14.5</v>
      </c>
    </row>
    <row r="783" spans="1:18" x14ac:dyDescent="0.25">
      <c r="A783" s="1" t="s">
        <v>45</v>
      </c>
      <c r="B783" s="2" t="s">
        <v>83</v>
      </c>
      <c r="C783" s="19">
        <v>49</v>
      </c>
      <c r="D783" s="3" t="s">
        <v>496</v>
      </c>
      <c r="E783" s="3" t="s">
        <v>63</v>
      </c>
      <c r="F783" s="23">
        <v>230761</v>
      </c>
      <c r="G783" s="15">
        <v>2007</v>
      </c>
      <c r="H783" s="15">
        <f>Table_7[[#This Row],[Listing Price (USD)]]/10000</f>
        <v>23.0761</v>
      </c>
      <c r="I783" s="28">
        <f>Table_7[[#This Row],[Length 
(ft)]]</f>
        <v>49</v>
      </c>
      <c r="J783" s="28">
        <f>2020-Table_7[[#This Row],[Year]]</f>
        <v>13</v>
      </c>
      <c r="K783">
        <v>720290000000</v>
      </c>
      <c r="L783">
        <v>13341.6</v>
      </c>
      <c r="M783">
        <v>13</v>
      </c>
      <c r="N783">
        <v>-3</v>
      </c>
      <c r="O783">
        <v>43.5</v>
      </c>
      <c r="P783">
        <v>1193.002</v>
      </c>
      <c r="Q783">
        <v>63</v>
      </c>
      <c r="R783">
        <v>14.5</v>
      </c>
    </row>
    <row r="784" spans="1:18" x14ac:dyDescent="0.25">
      <c r="A784" s="1" t="s">
        <v>45</v>
      </c>
      <c r="B784" s="2" t="s">
        <v>83</v>
      </c>
      <c r="C784" s="19">
        <v>49</v>
      </c>
      <c r="D784" s="3" t="s">
        <v>496</v>
      </c>
      <c r="E784" s="3" t="s">
        <v>3</v>
      </c>
      <c r="F784" s="23">
        <v>240510</v>
      </c>
      <c r="G784" s="15">
        <v>2007</v>
      </c>
      <c r="H784" s="15">
        <f>Table_7[[#This Row],[Listing Price (USD)]]/10000</f>
        <v>24.050999999999998</v>
      </c>
      <c r="I784" s="28">
        <f>Table_7[[#This Row],[Length 
(ft)]]</f>
        <v>49</v>
      </c>
      <c r="J784" s="28">
        <f>2020-Table_7[[#This Row],[Year]]</f>
        <v>13</v>
      </c>
      <c r="K784">
        <v>2639008701648.2598</v>
      </c>
      <c r="L784">
        <v>39055.282928075401</v>
      </c>
      <c r="M784">
        <v>0.47649885272508302</v>
      </c>
      <c r="N784">
        <v>-7.7845864916787102</v>
      </c>
      <c r="O784">
        <v>43.5</v>
      </c>
      <c r="P784">
        <v>1193.002</v>
      </c>
      <c r="Q784">
        <v>63</v>
      </c>
      <c r="R784">
        <v>14.5</v>
      </c>
    </row>
    <row r="785" spans="1:18" x14ac:dyDescent="0.25">
      <c r="A785" s="1" t="s">
        <v>45</v>
      </c>
      <c r="B785" s="2" t="s">
        <v>83</v>
      </c>
      <c r="C785" s="19">
        <v>49</v>
      </c>
      <c r="D785" s="3" t="s">
        <v>496</v>
      </c>
      <c r="E785" s="3" t="s">
        <v>3</v>
      </c>
      <c r="F785" s="23">
        <v>240520</v>
      </c>
      <c r="G785" s="15">
        <v>2007</v>
      </c>
      <c r="H785" s="15">
        <f>Table_7[[#This Row],[Listing Price (USD)]]/10000</f>
        <v>24.052</v>
      </c>
      <c r="I785" s="28">
        <f>Table_7[[#This Row],[Length 
(ft)]]</f>
        <v>49</v>
      </c>
      <c r="J785" s="28">
        <f>2020-Table_7[[#This Row],[Year]]</f>
        <v>13</v>
      </c>
      <c r="K785">
        <v>2639008701648.2598</v>
      </c>
      <c r="L785">
        <v>39055.282928075401</v>
      </c>
      <c r="M785">
        <v>0.47649885272508302</v>
      </c>
      <c r="N785">
        <v>-7.7845864916787102</v>
      </c>
      <c r="O785">
        <v>43.5</v>
      </c>
      <c r="P785">
        <v>1193.002</v>
      </c>
      <c r="Q785">
        <v>63</v>
      </c>
      <c r="R785">
        <v>14.5</v>
      </c>
    </row>
    <row r="786" spans="1:18" x14ac:dyDescent="0.25">
      <c r="A786" s="1" t="s">
        <v>45</v>
      </c>
      <c r="B786" s="2" t="s">
        <v>83</v>
      </c>
      <c r="C786" s="19">
        <v>49</v>
      </c>
      <c r="D786" s="3" t="s">
        <v>496</v>
      </c>
      <c r="E786" s="3" t="s">
        <v>3</v>
      </c>
      <c r="F786" s="23">
        <v>241734</v>
      </c>
      <c r="G786" s="15">
        <v>2006</v>
      </c>
      <c r="H786" s="15">
        <f>Table_7[[#This Row],[Listing Price (USD)]]/10000</f>
        <v>24.173400000000001</v>
      </c>
      <c r="I786" s="28">
        <f>Table_7[[#This Row],[Length 
(ft)]]</f>
        <v>49</v>
      </c>
      <c r="J786" s="28">
        <f>2020-Table_7[[#This Row],[Year]]</f>
        <v>14</v>
      </c>
      <c r="K786">
        <v>2639008701648.2598</v>
      </c>
      <c r="L786">
        <v>39055.282928075401</v>
      </c>
      <c r="M786">
        <v>0.47649885272508302</v>
      </c>
      <c r="N786">
        <v>-7.7845864916787102</v>
      </c>
      <c r="O786">
        <v>43.5</v>
      </c>
      <c r="P786">
        <v>1193.002</v>
      </c>
      <c r="Q786">
        <v>63</v>
      </c>
      <c r="R786">
        <v>14.5</v>
      </c>
    </row>
    <row r="787" spans="1:18" x14ac:dyDescent="0.25">
      <c r="A787" s="1" t="s">
        <v>45</v>
      </c>
      <c r="B787" s="2" t="s">
        <v>83</v>
      </c>
      <c r="C787" s="19">
        <v>49</v>
      </c>
      <c r="D787" s="3" t="s">
        <v>496</v>
      </c>
      <c r="E787" s="3" t="s">
        <v>9</v>
      </c>
      <c r="F787" s="23">
        <v>285465</v>
      </c>
      <c r="G787" s="15">
        <v>2009</v>
      </c>
      <c r="H787" s="15">
        <f>Table_7[[#This Row],[Listing Price (USD)]]/10000</f>
        <v>28.546500000000002</v>
      </c>
      <c r="I787" s="28">
        <f>Table_7[[#This Row],[Length 
(ft)]]</f>
        <v>49</v>
      </c>
      <c r="J787" s="28">
        <f>2020-Table_7[[#This Row],[Year]]</f>
        <v>11</v>
      </c>
      <c r="K787">
        <v>1276962685648.25</v>
      </c>
      <c r="L787">
        <v>26959.675436732599</v>
      </c>
      <c r="M787">
        <v>-0.32275301729970501</v>
      </c>
      <c r="N787">
        <v>-11.3254383222864</v>
      </c>
      <c r="O787">
        <v>43.5</v>
      </c>
      <c r="P787">
        <v>1193.002</v>
      </c>
      <c r="Q787">
        <v>63</v>
      </c>
      <c r="R787">
        <v>14.5</v>
      </c>
    </row>
    <row r="788" spans="1:18" x14ac:dyDescent="0.25">
      <c r="A788" s="1" t="s">
        <v>45</v>
      </c>
      <c r="B788" s="2" t="s">
        <v>83</v>
      </c>
      <c r="C788" s="19">
        <v>49</v>
      </c>
      <c r="D788" s="3" t="s">
        <v>496</v>
      </c>
      <c r="E788" s="3" t="s">
        <v>3</v>
      </c>
      <c r="F788" s="23">
        <v>298827</v>
      </c>
      <c r="G788" s="15">
        <v>2008</v>
      </c>
      <c r="H788" s="15">
        <f>Table_7[[#This Row],[Listing Price (USD)]]/10000</f>
        <v>29.8827</v>
      </c>
      <c r="I788" s="28">
        <f>Table_7[[#This Row],[Length 
(ft)]]</f>
        <v>49</v>
      </c>
      <c r="J788" s="28">
        <f>2020-Table_7[[#This Row],[Year]]</f>
        <v>12</v>
      </c>
      <c r="K788">
        <v>2639008701648.2598</v>
      </c>
      <c r="L788">
        <v>39055.282928075401</v>
      </c>
      <c r="M788">
        <v>0.47649885272508302</v>
      </c>
      <c r="N788">
        <v>-7.7845864916787102</v>
      </c>
      <c r="O788">
        <v>43.5</v>
      </c>
      <c r="P788">
        <v>1193.002</v>
      </c>
      <c r="Q788">
        <v>63</v>
      </c>
      <c r="R788">
        <v>14.5</v>
      </c>
    </row>
    <row r="789" spans="1:18" x14ac:dyDescent="0.25">
      <c r="A789" s="1" t="s">
        <v>45</v>
      </c>
      <c r="B789" s="3" t="s">
        <v>83</v>
      </c>
      <c r="C789" s="19">
        <v>49</v>
      </c>
      <c r="D789" s="3" t="s">
        <v>495</v>
      </c>
      <c r="E789" s="3" t="s">
        <v>500</v>
      </c>
      <c r="F789" s="23">
        <v>299900</v>
      </c>
      <c r="G789" s="15">
        <v>2007</v>
      </c>
      <c r="H789" s="15">
        <f>Table_7[[#This Row],[Listing Price (USD)]]/10000</f>
        <v>29.99</v>
      </c>
      <c r="I789" s="28">
        <f>Table_7[[#This Row],[Length 
(ft)]]</f>
        <v>49</v>
      </c>
      <c r="J789" s="28">
        <f>2020-Table_7[[#This Row],[Year]]</f>
        <v>13</v>
      </c>
      <c r="K789">
        <v>3007188000000</v>
      </c>
      <c r="L789">
        <v>76131.839999999997</v>
      </c>
      <c r="M789">
        <v>1.23</v>
      </c>
      <c r="N789">
        <v>2.7</v>
      </c>
      <c r="O789">
        <v>43.5</v>
      </c>
      <c r="P789">
        <v>1193.002</v>
      </c>
      <c r="Q789">
        <v>63</v>
      </c>
      <c r="R789">
        <v>14.5</v>
      </c>
    </row>
    <row r="790" spans="1:18" x14ac:dyDescent="0.25">
      <c r="A790" s="1" t="s">
        <v>45</v>
      </c>
      <c r="B790" s="2" t="s">
        <v>83</v>
      </c>
      <c r="C790" s="19">
        <v>49</v>
      </c>
      <c r="D790" s="3" t="s">
        <v>496</v>
      </c>
      <c r="E790" s="3" t="s">
        <v>31</v>
      </c>
      <c r="F790" s="23">
        <v>302472</v>
      </c>
      <c r="G790" s="15">
        <v>2008</v>
      </c>
      <c r="H790" s="15">
        <f>Table_7[[#This Row],[Listing Price (USD)]]/10000</f>
        <v>30.247199999999999</v>
      </c>
      <c r="I790" s="28">
        <f>Table_7[[#This Row],[Length 
(ft)]]</f>
        <v>49</v>
      </c>
      <c r="J790" s="28">
        <f>2020-Table_7[[#This Row],[Year]]</f>
        <v>12</v>
      </c>
      <c r="K790">
        <v>57472012426.685303</v>
      </c>
      <c r="L790">
        <v>14198.753959474399</v>
      </c>
      <c r="M790">
        <v>0.15481137456202801</v>
      </c>
      <c r="N790">
        <v>-8.5803430210621805</v>
      </c>
      <c r="O790">
        <v>43.5</v>
      </c>
      <c r="P790">
        <v>1193.002</v>
      </c>
      <c r="Q790">
        <v>63</v>
      </c>
      <c r="R790">
        <v>14.5</v>
      </c>
    </row>
    <row r="791" spans="1:18" x14ac:dyDescent="0.25">
      <c r="A791" s="1" t="s">
        <v>45</v>
      </c>
      <c r="B791" s="2" t="s">
        <v>83</v>
      </c>
      <c r="C791" s="19">
        <v>49</v>
      </c>
      <c r="D791" s="3" t="s">
        <v>496</v>
      </c>
      <c r="E791" s="3" t="s">
        <v>24</v>
      </c>
      <c r="F791" s="23">
        <v>309760</v>
      </c>
      <c r="G791" s="15">
        <v>2008</v>
      </c>
      <c r="H791" s="15">
        <f>Table_7[[#This Row],[Listing Price (USD)]]/10000</f>
        <v>30.975999999999999</v>
      </c>
      <c r="I791" s="28">
        <f>Table_7[[#This Row],[Length 
(ft)]]</f>
        <v>49</v>
      </c>
      <c r="J791" s="28">
        <f>2020-Table_7[[#This Row],[Year]]</f>
        <v>12</v>
      </c>
      <c r="K791">
        <v>1896755301518.1399</v>
      </c>
      <c r="L791">
        <v>31911.0357890017</v>
      </c>
      <c r="M791">
        <v>-0.13770757391656999</v>
      </c>
      <c r="N791">
        <v>-9.0399534112288507</v>
      </c>
      <c r="O791">
        <v>43.5</v>
      </c>
      <c r="P791">
        <v>1193.002</v>
      </c>
      <c r="Q791">
        <v>63</v>
      </c>
      <c r="R791">
        <v>14.5</v>
      </c>
    </row>
    <row r="792" spans="1:18" x14ac:dyDescent="0.25">
      <c r="A792" s="1" t="s">
        <v>45</v>
      </c>
      <c r="B792" s="2" t="s">
        <v>84</v>
      </c>
      <c r="C792" s="19">
        <v>49</v>
      </c>
      <c r="D792" s="3" t="s">
        <v>496</v>
      </c>
      <c r="E792" s="3" t="s">
        <v>9</v>
      </c>
      <c r="F792" s="23">
        <v>297613</v>
      </c>
      <c r="G792" s="15">
        <v>2008</v>
      </c>
      <c r="H792" s="15">
        <f>Table_7[[#This Row],[Listing Price (USD)]]/10000</f>
        <v>29.761299999999999</v>
      </c>
      <c r="I792" s="28">
        <f>Table_7[[#This Row],[Length 
(ft)]]</f>
        <v>49</v>
      </c>
      <c r="J792" s="28">
        <f>2020-Table_7[[#This Row],[Year]]</f>
        <v>12</v>
      </c>
      <c r="K792">
        <v>1276962685648.25</v>
      </c>
      <c r="L792">
        <v>26959.675436732599</v>
      </c>
      <c r="M792">
        <v>-0.32275301729970501</v>
      </c>
      <c r="N792">
        <v>-11.3254383222864</v>
      </c>
      <c r="O792">
        <v>43.5</v>
      </c>
      <c r="P792">
        <v>1193.002</v>
      </c>
      <c r="Q792">
        <v>63</v>
      </c>
      <c r="R792">
        <v>14.5</v>
      </c>
    </row>
    <row r="793" spans="1:18" x14ac:dyDescent="0.25">
      <c r="A793" s="1" t="s">
        <v>45</v>
      </c>
      <c r="B793" s="2" t="s">
        <v>79</v>
      </c>
      <c r="C793" s="19">
        <v>49</v>
      </c>
      <c r="D793" s="3" t="s">
        <v>496</v>
      </c>
      <c r="E793" s="3" t="s">
        <v>41</v>
      </c>
      <c r="F793" s="23">
        <v>157668</v>
      </c>
      <c r="G793" s="15">
        <v>2006</v>
      </c>
      <c r="H793" s="15">
        <f>Table_7[[#This Row],[Listing Price (USD)]]/10000</f>
        <v>15.7668</v>
      </c>
      <c r="I793" s="28">
        <f>Table_7[[#This Row],[Length 
(ft)]]</f>
        <v>49</v>
      </c>
      <c r="J793" s="28">
        <f>2020-Table_7[[#This Row],[Year]]</f>
        <v>14</v>
      </c>
      <c r="K793">
        <v>251362040527.80399</v>
      </c>
      <c r="L793">
        <v>13047.4320617591</v>
      </c>
      <c r="M793">
        <v>3</v>
      </c>
      <c r="N793">
        <v>-3.6775107912179701</v>
      </c>
      <c r="O793">
        <v>42.32</v>
      </c>
      <c r="P793">
        <v>977</v>
      </c>
      <c r="Q793">
        <v>63</v>
      </c>
      <c r="R793">
        <v>16.37</v>
      </c>
    </row>
    <row r="794" spans="1:18" x14ac:dyDescent="0.25">
      <c r="A794" s="1" t="s">
        <v>195</v>
      </c>
      <c r="B794" s="2" t="s">
        <v>215</v>
      </c>
      <c r="C794" s="19">
        <v>45</v>
      </c>
      <c r="D794" s="3" t="s">
        <v>496</v>
      </c>
      <c r="E794" s="3" t="s">
        <v>31</v>
      </c>
      <c r="F794" s="23">
        <v>173822</v>
      </c>
      <c r="G794" s="15">
        <v>2018</v>
      </c>
      <c r="H794" s="15">
        <f>Table_7[[#This Row],[Listing Price (USD)]]/10000</f>
        <v>17.382200000000001</v>
      </c>
      <c r="I794" s="28">
        <f>Table_7[[#This Row],[Length 
(ft)]]</f>
        <v>45</v>
      </c>
      <c r="J794" s="28">
        <f>2020-Table_7[[#This Row],[Year]]</f>
        <v>2</v>
      </c>
      <c r="K794">
        <v>57472012426.685303</v>
      </c>
      <c r="L794">
        <v>14198.753959474399</v>
      </c>
      <c r="M794">
        <v>0.15481137456202801</v>
      </c>
      <c r="N794">
        <v>-8.5803430210621805</v>
      </c>
      <c r="O794">
        <v>38.090000000000003</v>
      </c>
      <c r="P794">
        <v>1082.8499999999999</v>
      </c>
      <c r="Q794">
        <v>63</v>
      </c>
      <c r="R794">
        <v>14.34</v>
      </c>
    </row>
    <row r="795" spans="1:18" x14ac:dyDescent="0.25">
      <c r="A795" s="1" t="s">
        <v>195</v>
      </c>
      <c r="B795" s="2" t="s">
        <v>215</v>
      </c>
      <c r="C795" s="19">
        <v>45</v>
      </c>
      <c r="D795" s="3" t="s">
        <v>496</v>
      </c>
      <c r="E795" s="3" t="s">
        <v>31</v>
      </c>
      <c r="F795" s="23">
        <v>189467</v>
      </c>
      <c r="G795" s="15">
        <v>2018</v>
      </c>
      <c r="H795" s="15">
        <f>Table_7[[#This Row],[Listing Price (USD)]]/10000</f>
        <v>18.9467</v>
      </c>
      <c r="I795" s="28">
        <f>Table_7[[#This Row],[Length 
(ft)]]</f>
        <v>45</v>
      </c>
      <c r="J795" s="28">
        <f>2020-Table_7[[#This Row],[Year]]</f>
        <v>2</v>
      </c>
      <c r="K795">
        <v>57472012426.685303</v>
      </c>
      <c r="L795">
        <v>14198.753959474399</v>
      </c>
      <c r="M795">
        <v>0.15481137456202801</v>
      </c>
      <c r="N795">
        <v>-8.5803430210621805</v>
      </c>
      <c r="O795">
        <v>38.090000000000003</v>
      </c>
      <c r="P795">
        <v>1082.8499999999999</v>
      </c>
      <c r="Q795">
        <v>63</v>
      </c>
      <c r="R795">
        <v>14.34</v>
      </c>
    </row>
    <row r="796" spans="1:18" x14ac:dyDescent="0.25">
      <c r="A796" s="1" t="s">
        <v>195</v>
      </c>
      <c r="B796" s="3" t="s">
        <v>215</v>
      </c>
      <c r="C796" s="19">
        <v>45</v>
      </c>
      <c r="D796" s="3" t="s">
        <v>495</v>
      </c>
      <c r="E796" s="3" t="s">
        <v>333</v>
      </c>
      <c r="F796" s="23">
        <v>199000</v>
      </c>
      <c r="G796" s="15">
        <v>2017</v>
      </c>
      <c r="H796" s="15">
        <f>Table_7[[#This Row],[Listing Price (USD)]]/10000</f>
        <v>19.899999999999999</v>
      </c>
      <c r="I796" s="28">
        <f>Table_7[[#This Row],[Length 
(ft)]]</f>
        <v>45</v>
      </c>
      <c r="J796" s="28">
        <f>2020-Table_7[[#This Row],[Year]]</f>
        <v>3</v>
      </c>
      <c r="K796">
        <v>1106036000000</v>
      </c>
      <c r="L796">
        <v>51276.72</v>
      </c>
      <c r="M796">
        <v>1.23</v>
      </c>
      <c r="N796">
        <v>2.9</v>
      </c>
      <c r="O796">
        <v>38.090000000000003</v>
      </c>
      <c r="P796">
        <v>1082.8499999999999</v>
      </c>
      <c r="Q796">
        <v>63</v>
      </c>
      <c r="R796">
        <v>14.34</v>
      </c>
    </row>
    <row r="797" spans="1:18" x14ac:dyDescent="0.25">
      <c r="A797" s="1" t="s">
        <v>195</v>
      </c>
      <c r="B797" s="2" t="s">
        <v>215</v>
      </c>
      <c r="C797" s="19">
        <v>45</v>
      </c>
      <c r="D797" s="3" t="s">
        <v>496</v>
      </c>
      <c r="E797" s="3" t="s">
        <v>31</v>
      </c>
      <c r="F797" s="23">
        <v>205770</v>
      </c>
      <c r="G797" s="15">
        <v>2017</v>
      </c>
      <c r="H797" s="15">
        <f>Table_7[[#This Row],[Listing Price (USD)]]/10000</f>
        <v>20.577000000000002</v>
      </c>
      <c r="I797" s="28">
        <f>Table_7[[#This Row],[Length 
(ft)]]</f>
        <v>45</v>
      </c>
      <c r="J797" s="28">
        <f>2020-Table_7[[#This Row],[Year]]</f>
        <v>3</v>
      </c>
      <c r="K797">
        <v>57472012426.685303</v>
      </c>
      <c r="L797">
        <v>14198.753959474399</v>
      </c>
      <c r="M797">
        <v>0.15481137456202801</v>
      </c>
      <c r="N797">
        <v>-8.5803430210621805</v>
      </c>
      <c r="O797">
        <v>38.090000000000003</v>
      </c>
      <c r="P797">
        <v>1082.8499999999999</v>
      </c>
      <c r="Q797">
        <v>63</v>
      </c>
      <c r="R797">
        <v>14.34</v>
      </c>
    </row>
    <row r="798" spans="1:18" x14ac:dyDescent="0.25">
      <c r="A798" s="1" t="s">
        <v>195</v>
      </c>
      <c r="B798" s="2" t="s">
        <v>215</v>
      </c>
      <c r="C798" s="19">
        <v>45</v>
      </c>
      <c r="D798" s="3" t="s">
        <v>496</v>
      </c>
      <c r="E798" s="3" t="s">
        <v>31</v>
      </c>
      <c r="F798" s="23">
        <v>205822</v>
      </c>
      <c r="G798" s="15">
        <v>2017</v>
      </c>
      <c r="H798" s="15">
        <f>Table_7[[#This Row],[Listing Price (USD)]]/10000</f>
        <v>20.5822</v>
      </c>
      <c r="I798" s="28">
        <f>Table_7[[#This Row],[Length 
(ft)]]</f>
        <v>45</v>
      </c>
      <c r="J798" s="28">
        <f>2020-Table_7[[#This Row],[Year]]</f>
        <v>3</v>
      </c>
      <c r="K798">
        <v>57472012426.685303</v>
      </c>
      <c r="L798">
        <v>14198.753959474399</v>
      </c>
      <c r="M798">
        <v>0.15481137456202801</v>
      </c>
      <c r="N798">
        <v>-8.5803430210621805</v>
      </c>
      <c r="O798">
        <v>38.090000000000003</v>
      </c>
      <c r="P798">
        <v>1082.8499999999999</v>
      </c>
      <c r="Q798">
        <v>63</v>
      </c>
      <c r="R798">
        <v>14.34</v>
      </c>
    </row>
    <row r="799" spans="1:18" x14ac:dyDescent="0.25">
      <c r="A799" s="1" t="s">
        <v>195</v>
      </c>
      <c r="B799" s="2" t="s">
        <v>215</v>
      </c>
      <c r="C799" s="19">
        <v>45</v>
      </c>
      <c r="D799" s="3" t="s">
        <v>496</v>
      </c>
      <c r="E799" s="3" t="s">
        <v>31</v>
      </c>
      <c r="F799" s="23">
        <v>206498</v>
      </c>
      <c r="G799" s="15">
        <v>2016</v>
      </c>
      <c r="H799" s="15">
        <f>Table_7[[#This Row],[Listing Price (USD)]]/10000</f>
        <v>20.649799999999999</v>
      </c>
      <c r="I799" s="28">
        <f>Table_7[[#This Row],[Length 
(ft)]]</f>
        <v>45</v>
      </c>
      <c r="J799" s="28">
        <f>2020-Table_7[[#This Row],[Year]]</f>
        <v>4</v>
      </c>
      <c r="K799">
        <v>57472012426.685303</v>
      </c>
      <c r="L799">
        <v>14198.753959474399</v>
      </c>
      <c r="M799">
        <v>0.15481137456202801</v>
      </c>
      <c r="N799">
        <v>-8.5803430210621805</v>
      </c>
      <c r="O799">
        <v>38.090000000000003</v>
      </c>
      <c r="P799">
        <v>1082.8499999999999</v>
      </c>
      <c r="Q799">
        <v>63</v>
      </c>
      <c r="R799">
        <v>14.34</v>
      </c>
    </row>
    <row r="800" spans="1:18" x14ac:dyDescent="0.25">
      <c r="A800" s="1" t="s">
        <v>195</v>
      </c>
      <c r="B800" s="2" t="s">
        <v>215</v>
      </c>
      <c r="C800" s="19">
        <v>45</v>
      </c>
      <c r="D800" s="3" t="s">
        <v>496</v>
      </c>
      <c r="E800" s="3" t="s">
        <v>3</v>
      </c>
      <c r="F800" s="23">
        <v>224785</v>
      </c>
      <c r="G800" s="15">
        <v>2016</v>
      </c>
      <c r="H800" s="15">
        <f>Table_7[[#This Row],[Listing Price (USD)]]/10000</f>
        <v>22.4785</v>
      </c>
      <c r="I800" s="28">
        <f>Table_7[[#This Row],[Length 
(ft)]]</f>
        <v>45</v>
      </c>
      <c r="J800" s="28">
        <f>2020-Table_7[[#This Row],[Year]]</f>
        <v>4</v>
      </c>
      <c r="K800">
        <v>2639008701648.2598</v>
      </c>
      <c r="L800">
        <v>39055.282928075401</v>
      </c>
      <c r="M800">
        <v>0.47649885272508302</v>
      </c>
      <c r="N800">
        <v>-7.7845864916787102</v>
      </c>
      <c r="O800">
        <v>38.090000000000003</v>
      </c>
      <c r="P800">
        <v>1082.8499999999999</v>
      </c>
      <c r="Q800">
        <v>63</v>
      </c>
      <c r="R800">
        <v>14.34</v>
      </c>
    </row>
    <row r="801" spans="1:18" x14ac:dyDescent="0.25">
      <c r="A801" s="1" t="s">
        <v>195</v>
      </c>
      <c r="B801" s="2" t="s">
        <v>215</v>
      </c>
      <c r="C801" s="19">
        <v>45</v>
      </c>
      <c r="D801" s="3" t="s">
        <v>496</v>
      </c>
      <c r="E801" s="3" t="s">
        <v>3</v>
      </c>
      <c r="F801" s="23">
        <v>230792</v>
      </c>
      <c r="G801" s="15">
        <v>2016</v>
      </c>
      <c r="H801" s="15">
        <f>Table_7[[#This Row],[Listing Price (USD)]]/10000</f>
        <v>23.0792</v>
      </c>
      <c r="I801" s="28">
        <f>Table_7[[#This Row],[Length 
(ft)]]</f>
        <v>45</v>
      </c>
      <c r="J801" s="28">
        <f>2020-Table_7[[#This Row],[Year]]</f>
        <v>4</v>
      </c>
      <c r="K801">
        <v>2639008701648.2598</v>
      </c>
      <c r="L801">
        <v>39055.282928075401</v>
      </c>
      <c r="M801">
        <v>0.47649885272508302</v>
      </c>
      <c r="N801">
        <v>-7.7845864916787102</v>
      </c>
      <c r="O801">
        <v>38.090000000000003</v>
      </c>
      <c r="P801">
        <v>1082.8499999999999</v>
      </c>
      <c r="Q801">
        <v>63</v>
      </c>
      <c r="R801">
        <v>14.34</v>
      </c>
    </row>
    <row r="802" spans="1:18" x14ac:dyDescent="0.25">
      <c r="A802" s="1" t="s">
        <v>195</v>
      </c>
      <c r="B802" s="2" t="s">
        <v>215</v>
      </c>
      <c r="C802" s="19">
        <v>45</v>
      </c>
      <c r="D802" s="3" t="s">
        <v>496</v>
      </c>
      <c r="E802" s="3" t="s">
        <v>19</v>
      </c>
      <c r="F802" s="23">
        <v>261122</v>
      </c>
      <c r="G802" s="15">
        <v>2016</v>
      </c>
      <c r="H802" s="15">
        <f>Table_7[[#This Row],[Listing Price (USD)]]/10000</f>
        <v>26.112200000000001</v>
      </c>
      <c r="I802" s="28">
        <f>Table_7[[#This Row],[Length 
(ft)]]</f>
        <v>45</v>
      </c>
      <c r="J802" s="28">
        <f>2020-Table_7[[#This Row],[Year]]</f>
        <v>4</v>
      </c>
      <c r="K802">
        <v>4200000000</v>
      </c>
      <c r="L802">
        <v>39553.199999999997</v>
      </c>
      <c r="M802">
        <v>4.0999999999999996</v>
      </c>
      <c r="N802">
        <v>-2.1</v>
      </c>
      <c r="O802">
        <v>38.090000000000003</v>
      </c>
      <c r="P802">
        <v>1082.8499999999999</v>
      </c>
      <c r="Q802">
        <v>63</v>
      </c>
      <c r="R802">
        <v>14.34</v>
      </c>
    </row>
    <row r="803" spans="1:18" x14ac:dyDescent="0.25">
      <c r="A803" s="1" t="s">
        <v>195</v>
      </c>
      <c r="B803" s="2" t="s">
        <v>214</v>
      </c>
      <c r="C803" s="19">
        <v>45</v>
      </c>
      <c r="D803" s="3" t="s">
        <v>496</v>
      </c>
      <c r="E803" s="3" t="s">
        <v>18</v>
      </c>
      <c r="F803" s="23">
        <v>115396</v>
      </c>
      <c r="G803" s="15">
        <v>2011</v>
      </c>
      <c r="H803" s="15">
        <f>Table_7[[#This Row],[Listing Price (USD)]]/10000</f>
        <v>11.5396</v>
      </c>
      <c r="I803" s="28">
        <f>Table_7[[#This Row],[Length 
(ft)]]</f>
        <v>45</v>
      </c>
      <c r="J803" s="28">
        <f>2020-Table_7[[#This Row],[Year]]</f>
        <v>9</v>
      </c>
      <c r="K803">
        <v>188925995936.80701</v>
      </c>
      <c r="L803">
        <v>17658.947301119199</v>
      </c>
      <c r="M803">
        <v>-1.2479835558140799</v>
      </c>
      <c r="N803">
        <v>-9.0040436420214593</v>
      </c>
      <c r="O803">
        <v>37.57</v>
      </c>
      <c r="P803">
        <v>1082.002</v>
      </c>
      <c r="Q803">
        <v>63</v>
      </c>
      <c r="R803">
        <v>14.34</v>
      </c>
    </row>
    <row r="804" spans="1:18" x14ac:dyDescent="0.25">
      <c r="A804" s="1" t="s">
        <v>195</v>
      </c>
      <c r="B804" s="2" t="s">
        <v>214</v>
      </c>
      <c r="C804" s="19">
        <v>45</v>
      </c>
      <c r="D804" s="3" t="s">
        <v>496</v>
      </c>
      <c r="E804" s="3" t="s">
        <v>18</v>
      </c>
      <c r="F804" s="23">
        <v>115396</v>
      </c>
      <c r="G804" s="15">
        <v>2009</v>
      </c>
      <c r="H804" s="15">
        <f>Table_7[[#This Row],[Listing Price (USD)]]/10000</f>
        <v>11.5396</v>
      </c>
      <c r="I804" s="28">
        <f>Table_7[[#This Row],[Length 
(ft)]]</f>
        <v>45</v>
      </c>
      <c r="J804" s="28">
        <f>2020-Table_7[[#This Row],[Year]]</f>
        <v>11</v>
      </c>
      <c r="K804">
        <v>188925995936.80701</v>
      </c>
      <c r="L804">
        <v>17658.947301119199</v>
      </c>
      <c r="M804">
        <v>-1.2479835558140799</v>
      </c>
      <c r="N804">
        <v>-9.0040436420214593</v>
      </c>
      <c r="O804">
        <v>37.57</v>
      </c>
      <c r="P804">
        <v>1082.002</v>
      </c>
      <c r="Q804">
        <v>63</v>
      </c>
      <c r="R804">
        <v>14.34</v>
      </c>
    </row>
    <row r="805" spans="1:18" x14ac:dyDescent="0.25">
      <c r="A805" s="1" t="s">
        <v>195</v>
      </c>
      <c r="B805" s="2" t="s">
        <v>214</v>
      </c>
      <c r="C805" s="19">
        <v>45</v>
      </c>
      <c r="D805" s="3" t="s">
        <v>496</v>
      </c>
      <c r="E805" s="3" t="s">
        <v>31</v>
      </c>
      <c r="F805" s="23">
        <v>115425</v>
      </c>
      <c r="G805" s="15">
        <v>2011</v>
      </c>
      <c r="H805" s="15">
        <f>Table_7[[#This Row],[Listing Price (USD)]]/10000</f>
        <v>11.5425</v>
      </c>
      <c r="I805" s="28">
        <f>Table_7[[#This Row],[Length 
(ft)]]</f>
        <v>45</v>
      </c>
      <c r="J805" s="28">
        <f>2020-Table_7[[#This Row],[Year]]</f>
        <v>9</v>
      </c>
      <c r="K805">
        <v>57472012426.685303</v>
      </c>
      <c r="L805">
        <v>14198.753959474399</v>
      </c>
      <c r="M805">
        <v>0.15481137456202801</v>
      </c>
      <c r="N805">
        <v>-8.5803430210621805</v>
      </c>
      <c r="O805">
        <v>37.57</v>
      </c>
      <c r="P805">
        <v>1082.002</v>
      </c>
      <c r="Q805">
        <v>63</v>
      </c>
      <c r="R805">
        <v>14.34</v>
      </c>
    </row>
    <row r="806" spans="1:18" x14ac:dyDescent="0.25">
      <c r="A806" s="1" t="s">
        <v>195</v>
      </c>
      <c r="B806" s="2" t="s">
        <v>214</v>
      </c>
      <c r="C806" s="19">
        <v>45</v>
      </c>
      <c r="D806" s="3" t="s">
        <v>496</v>
      </c>
      <c r="E806" s="3" t="s">
        <v>18</v>
      </c>
      <c r="F806" s="23">
        <v>120285</v>
      </c>
      <c r="G806" s="15">
        <v>2010</v>
      </c>
      <c r="H806" s="15">
        <f>Table_7[[#This Row],[Listing Price (USD)]]/10000</f>
        <v>12.028499999999999</v>
      </c>
      <c r="I806" s="28">
        <f>Table_7[[#This Row],[Length 
(ft)]]</f>
        <v>45</v>
      </c>
      <c r="J806" s="28">
        <f>2020-Table_7[[#This Row],[Year]]</f>
        <v>10</v>
      </c>
      <c r="K806">
        <v>188925995936.80701</v>
      </c>
      <c r="L806">
        <v>17658.947301119199</v>
      </c>
      <c r="M806">
        <v>-1.2479835558140799</v>
      </c>
      <c r="N806">
        <v>-9.0040436420214593</v>
      </c>
      <c r="O806">
        <v>37.57</v>
      </c>
      <c r="P806">
        <v>1082.002</v>
      </c>
      <c r="Q806">
        <v>63</v>
      </c>
      <c r="R806">
        <v>14.34</v>
      </c>
    </row>
    <row r="807" spans="1:18" x14ac:dyDescent="0.25">
      <c r="A807" s="1" t="s">
        <v>195</v>
      </c>
      <c r="B807" s="2" t="s">
        <v>214</v>
      </c>
      <c r="C807" s="19">
        <v>45</v>
      </c>
      <c r="D807" s="3" t="s">
        <v>496</v>
      </c>
      <c r="E807" s="3" t="s">
        <v>18</v>
      </c>
      <c r="F807" s="23">
        <v>120850</v>
      </c>
      <c r="G807" s="15">
        <v>2009</v>
      </c>
      <c r="H807" s="15">
        <f>Table_7[[#This Row],[Listing Price (USD)]]/10000</f>
        <v>12.085000000000001</v>
      </c>
      <c r="I807" s="28">
        <f>Table_7[[#This Row],[Length 
(ft)]]</f>
        <v>45</v>
      </c>
      <c r="J807" s="28">
        <f>2020-Table_7[[#This Row],[Year]]</f>
        <v>11</v>
      </c>
      <c r="K807">
        <v>188925995936.80701</v>
      </c>
      <c r="L807">
        <v>17658.947301119199</v>
      </c>
      <c r="M807">
        <v>-1.2479835558140799</v>
      </c>
      <c r="N807">
        <v>-9.0040436420214593</v>
      </c>
      <c r="O807">
        <v>37.57</v>
      </c>
      <c r="P807">
        <v>1082.002</v>
      </c>
      <c r="Q807">
        <v>63</v>
      </c>
      <c r="R807">
        <v>14.34</v>
      </c>
    </row>
    <row r="808" spans="1:18" x14ac:dyDescent="0.25">
      <c r="A808" s="1" t="s">
        <v>195</v>
      </c>
      <c r="B808" s="2" t="s">
        <v>214</v>
      </c>
      <c r="C808" s="19">
        <v>45</v>
      </c>
      <c r="D808" s="3" t="s">
        <v>496</v>
      </c>
      <c r="E808" s="3" t="s">
        <v>18</v>
      </c>
      <c r="F808" s="23">
        <v>120881</v>
      </c>
      <c r="G808" s="15">
        <v>2009</v>
      </c>
      <c r="H808" s="15">
        <f>Table_7[[#This Row],[Listing Price (USD)]]/10000</f>
        <v>12.088100000000001</v>
      </c>
      <c r="I808" s="28">
        <f>Table_7[[#This Row],[Length 
(ft)]]</f>
        <v>45</v>
      </c>
      <c r="J808" s="28">
        <f>2020-Table_7[[#This Row],[Year]]</f>
        <v>11</v>
      </c>
      <c r="K808">
        <v>188925995936.80701</v>
      </c>
      <c r="L808">
        <v>17658.947301119199</v>
      </c>
      <c r="M808">
        <v>-1.2479835558140799</v>
      </c>
      <c r="N808">
        <v>-9.0040436420214593</v>
      </c>
      <c r="O808">
        <v>37.57</v>
      </c>
      <c r="P808">
        <v>1082.002</v>
      </c>
      <c r="Q808">
        <v>63</v>
      </c>
      <c r="R808">
        <v>14.34</v>
      </c>
    </row>
    <row r="809" spans="1:18" x14ac:dyDescent="0.25">
      <c r="A809" s="1" t="s">
        <v>195</v>
      </c>
      <c r="B809" s="3" t="s">
        <v>214</v>
      </c>
      <c r="C809" s="19">
        <v>45</v>
      </c>
      <c r="D809" s="3" t="s">
        <v>497</v>
      </c>
      <c r="E809" s="3" t="s">
        <v>483</v>
      </c>
      <c r="F809" s="23">
        <v>127300</v>
      </c>
      <c r="G809" s="15">
        <v>2009</v>
      </c>
      <c r="H809" s="15">
        <f>Table_7[[#This Row],[Listing Price (USD)]]/10000</f>
        <v>12.73</v>
      </c>
      <c r="I809" s="28">
        <f>Table_7[[#This Row],[Length 
(ft)]]</f>
        <v>45</v>
      </c>
      <c r="J809" s="28">
        <f>2020-Table_7[[#This Row],[Year]]</f>
        <v>11</v>
      </c>
      <c r="K809">
        <v>4200000000</v>
      </c>
      <c r="L809">
        <v>39553.199999999997</v>
      </c>
      <c r="M809">
        <v>2.5</v>
      </c>
      <c r="N809">
        <v>-2.1</v>
      </c>
      <c r="O809">
        <v>37.57</v>
      </c>
      <c r="P809">
        <v>1082.002</v>
      </c>
      <c r="Q809">
        <v>63</v>
      </c>
      <c r="R809">
        <v>14.34</v>
      </c>
    </row>
    <row r="810" spans="1:18" x14ac:dyDescent="0.25">
      <c r="A810" s="1" t="s">
        <v>195</v>
      </c>
      <c r="B810" s="2" t="s">
        <v>214</v>
      </c>
      <c r="C810" s="19">
        <v>45</v>
      </c>
      <c r="D810" s="3" t="s">
        <v>496</v>
      </c>
      <c r="E810" s="3" t="s">
        <v>18</v>
      </c>
      <c r="F810" s="23">
        <v>143371</v>
      </c>
      <c r="G810" s="15">
        <v>2009</v>
      </c>
      <c r="H810" s="15">
        <f>Table_7[[#This Row],[Listing Price (USD)]]/10000</f>
        <v>14.3371</v>
      </c>
      <c r="I810" s="28">
        <f>Table_7[[#This Row],[Length 
(ft)]]</f>
        <v>45</v>
      </c>
      <c r="J810" s="28">
        <f>2020-Table_7[[#This Row],[Year]]</f>
        <v>11</v>
      </c>
      <c r="K810">
        <v>188925995936.80701</v>
      </c>
      <c r="L810">
        <v>17658.947301119199</v>
      </c>
      <c r="M810">
        <v>-1.2479835558140799</v>
      </c>
      <c r="N810">
        <v>-9.0040436420214593</v>
      </c>
      <c r="O810">
        <v>37.57</v>
      </c>
      <c r="P810">
        <v>1082.002</v>
      </c>
      <c r="Q810">
        <v>63</v>
      </c>
      <c r="R810">
        <v>14.34</v>
      </c>
    </row>
    <row r="811" spans="1:18" x14ac:dyDescent="0.25">
      <c r="A811" s="1" t="s">
        <v>195</v>
      </c>
      <c r="B811" s="2" t="s">
        <v>214</v>
      </c>
      <c r="C811" s="19">
        <v>45</v>
      </c>
      <c r="D811" s="3" t="s">
        <v>496</v>
      </c>
      <c r="E811" s="3" t="s">
        <v>18</v>
      </c>
      <c r="F811" s="23">
        <v>145801</v>
      </c>
      <c r="G811" s="15">
        <v>2010</v>
      </c>
      <c r="H811" s="15">
        <f>Table_7[[#This Row],[Listing Price (USD)]]/10000</f>
        <v>14.5801</v>
      </c>
      <c r="I811" s="28">
        <f>Table_7[[#This Row],[Length 
(ft)]]</f>
        <v>45</v>
      </c>
      <c r="J811" s="28">
        <f>2020-Table_7[[#This Row],[Year]]</f>
        <v>10</v>
      </c>
      <c r="K811">
        <v>188925995936.80701</v>
      </c>
      <c r="L811">
        <v>17658.947301119199</v>
      </c>
      <c r="M811">
        <v>-1.2479835558140799</v>
      </c>
      <c r="N811">
        <v>-9.0040436420214593</v>
      </c>
      <c r="O811">
        <v>37.57</v>
      </c>
      <c r="P811">
        <v>1082.002</v>
      </c>
      <c r="Q811">
        <v>63</v>
      </c>
      <c r="R811">
        <v>14.34</v>
      </c>
    </row>
    <row r="812" spans="1:18" x14ac:dyDescent="0.25">
      <c r="A812" s="1" t="s">
        <v>195</v>
      </c>
      <c r="B812" s="2" t="s">
        <v>214</v>
      </c>
      <c r="C812" s="19">
        <v>45</v>
      </c>
      <c r="D812" s="3" t="s">
        <v>496</v>
      </c>
      <c r="E812" s="3" t="s">
        <v>63</v>
      </c>
      <c r="F812" s="23">
        <v>156736</v>
      </c>
      <c r="G812" s="15">
        <v>2011</v>
      </c>
      <c r="H812" s="15">
        <f>Table_7[[#This Row],[Listing Price (USD)]]/10000</f>
        <v>15.6736</v>
      </c>
      <c r="I812" s="28">
        <f>Table_7[[#This Row],[Length 
(ft)]]</f>
        <v>45</v>
      </c>
      <c r="J812" s="28">
        <f>2020-Table_7[[#This Row],[Year]]</f>
        <v>9</v>
      </c>
      <c r="K812">
        <v>720290000028</v>
      </c>
      <c r="L812">
        <v>13341.6</v>
      </c>
      <c r="M812">
        <v>13</v>
      </c>
      <c r="N812">
        <v>-3</v>
      </c>
      <c r="O812">
        <v>37.57</v>
      </c>
      <c r="P812">
        <v>1082.002</v>
      </c>
      <c r="Q812">
        <v>63</v>
      </c>
      <c r="R812">
        <v>14.34</v>
      </c>
    </row>
    <row r="813" spans="1:18" x14ac:dyDescent="0.25">
      <c r="A813" s="1" t="s">
        <v>195</v>
      </c>
      <c r="B813" s="3" t="s">
        <v>214</v>
      </c>
      <c r="C813" s="19">
        <v>45</v>
      </c>
      <c r="D813" s="3" t="s">
        <v>495</v>
      </c>
      <c r="E813" s="3" t="s">
        <v>326</v>
      </c>
      <c r="F813" s="23">
        <v>169000</v>
      </c>
      <c r="G813" s="15">
        <v>2010</v>
      </c>
      <c r="H813" s="15">
        <f>Table_7[[#This Row],[Listing Price (USD)]]/10000</f>
        <v>16.899999999999999</v>
      </c>
      <c r="I813" s="28">
        <f>Table_7[[#This Row],[Length 
(ft)]]</f>
        <v>45</v>
      </c>
      <c r="J813" s="28">
        <f>2020-Table_7[[#This Row],[Year]]</f>
        <v>10</v>
      </c>
      <c r="K813">
        <v>243777000000</v>
      </c>
      <c r="L813">
        <v>57466.28</v>
      </c>
      <c r="M813">
        <v>1.23</v>
      </c>
      <c r="N813">
        <v>3.1</v>
      </c>
      <c r="O813">
        <v>37.57</v>
      </c>
      <c r="P813">
        <v>1082.002</v>
      </c>
      <c r="Q813">
        <v>63</v>
      </c>
      <c r="R813">
        <v>14.34</v>
      </c>
    </row>
    <row r="814" spans="1:18" x14ac:dyDescent="0.25">
      <c r="A814" s="1" t="s">
        <v>195</v>
      </c>
      <c r="B814" s="3" t="s">
        <v>214</v>
      </c>
      <c r="C814" s="19">
        <v>45</v>
      </c>
      <c r="D814" s="3" t="s">
        <v>495</v>
      </c>
      <c r="E814" s="3" t="s">
        <v>526</v>
      </c>
      <c r="F814" s="23">
        <v>169000</v>
      </c>
      <c r="G814" s="15">
        <v>2011</v>
      </c>
      <c r="H814" s="15">
        <f>Table_7[[#This Row],[Listing Price (USD)]]/10000</f>
        <v>16.899999999999999</v>
      </c>
      <c r="I814" s="28">
        <f>Table_7[[#This Row],[Length 
(ft)]]</f>
        <v>45</v>
      </c>
      <c r="J814" s="28">
        <f>2020-Table_7[[#This Row],[Year]]</f>
        <v>9</v>
      </c>
      <c r="K814">
        <v>4200000000</v>
      </c>
      <c r="L814">
        <v>39553.199999999997</v>
      </c>
      <c r="M814">
        <v>4.0999999999999996</v>
      </c>
      <c r="N814">
        <v>-2.1</v>
      </c>
      <c r="O814">
        <v>37.57</v>
      </c>
      <c r="P814">
        <v>1082.002</v>
      </c>
      <c r="Q814">
        <v>63</v>
      </c>
      <c r="R814">
        <v>14.34</v>
      </c>
    </row>
    <row r="815" spans="1:18" x14ac:dyDescent="0.25">
      <c r="A815" s="1" t="s">
        <v>195</v>
      </c>
      <c r="B815" s="3" t="s">
        <v>214</v>
      </c>
      <c r="C815" s="19">
        <v>45</v>
      </c>
      <c r="D815" s="3" t="s">
        <v>495</v>
      </c>
      <c r="E815" s="3" t="s">
        <v>555</v>
      </c>
      <c r="F815" s="23">
        <v>179900</v>
      </c>
      <c r="G815" s="15">
        <v>2009</v>
      </c>
      <c r="H815" s="15">
        <f>Table_7[[#This Row],[Listing Price (USD)]]/10000</f>
        <v>17.989999999999998</v>
      </c>
      <c r="I815" s="28">
        <f>Table_7[[#This Row],[Length 
(ft)]]</f>
        <v>45</v>
      </c>
      <c r="J815" s="28">
        <f>2020-Table_7[[#This Row],[Year]]</f>
        <v>11</v>
      </c>
      <c r="K815">
        <v>4200000000</v>
      </c>
      <c r="L815">
        <v>39553.199999999997</v>
      </c>
      <c r="M815">
        <v>1.23</v>
      </c>
      <c r="N815">
        <v>-2.1</v>
      </c>
      <c r="O815">
        <v>37.57</v>
      </c>
      <c r="P815">
        <v>1082.002</v>
      </c>
      <c r="Q815">
        <v>63</v>
      </c>
      <c r="R815">
        <v>14.34</v>
      </c>
    </row>
    <row r="816" spans="1:18" x14ac:dyDescent="0.25">
      <c r="A816" s="1" t="s">
        <v>195</v>
      </c>
      <c r="B816" s="3" t="s">
        <v>214</v>
      </c>
      <c r="C816" s="19">
        <v>45</v>
      </c>
      <c r="D816" s="3" t="s">
        <v>495</v>
      </c>
      <c r="E816" s="3" t="s">
        <v>521</v>
      </c>
      <c r="F816" s="23">
        <v>186995</v>
      </c>
      <c r="G816" s="15">
        <v>2009</v>
      </c>
      <c r="H816" s="15">
        <f>Table_7[[#This Row],[Listing Price (USD)]]/10000</f>
        <v>18.6995</v>
      </c>
      <c r="I816" s="28">
        <f>Table_7[[#This Row],[Length 
(ft)]]</f>
        <v>45</v>
      </c>
      <c r="J816" s="28">
        <f>2020-Table_7[[#This Row],[Year]]</f>
        <v>11</v>
      </c>
      <c r="K816">
        <v>60556000000</v>
      </c>
      <c r="L816">
        <v>55240.56</v>
      </c>
      <c r="M816">
        <v>3</v>
      </c>
      <c r="N816">
        <v>2.2000000000000002</v>
      </c>
      <c r="O816">
        <v>37.57</v>
      </c>
      <c r="P816">
        <v>1082.002</v>
      </c>
      <c r="Q816">
        <v>63</v>
      </c>
      <c r="R816">
        <v>14.34</v>
      </c>
    </row>
    <row r="817" spans="1:18" x14ac:dyDescent="0.25">
      <c r="A817" s="1" t="s">
        <v>195</v>
      </c>
      <c r="B817" s="2" t="s">
        <v>214</v>
      </c>
      <c r="C817" s="19">
        <v>45</v>
      </c>
      <c r="D817" s="3" t="s">
        <v>496</v>
      </c>
      <c r="E817" s="3" t="s">
        <v>19</v>
      </c>
      <c r="F817" s="23">
        <v>239849</v>
      </c>
      <c r="G817" s="15">
        <v>2010</v>
      </c>
      <c r="H817" s="15">
        <f>Table_7[[#This Row],[Listing Price (USD)]]/10000</f>
        <v>23.9849</v>
      </c>
      <c r="I817" s="28">
        <f>Table_7[[#This Row],[Length 
(ft)]]</f>
        <v>45</v>
      </c>
      <c r="J817" s="28">
        <f>2020-Table_7[[#This Row],[Year]]</f>
        <v>10</v>
      </c>
      <c r="K817">
        <v>4200000000</v>
      </c>
      <c r="L817">
        <v>39553.199999999997</v>
      </c>
      <c r="M817">
        <v>4.0999999999999996</v>
      </c>
      <c r="N817">
        <v>-2.1</v>
      </c>
      <c r="O817">
        <v>37.57</v>
      </c>
      <c r="P817">
        <v>1082.002</v>
      </c>
      <c r="Q817">
        <v>63</v>
      </c>
      <c r="R817">
        <v>14.34</v>
      </c>
    </row>
    <row r="818" spans="1:18" x14ac:dyDescent="0.25">
      <c r="A818" s="1" t="s">
        <v>195</v>
      </c>
      <c r="B818" s="2" t="s">
        <v>218</v>
      </c>
      <c r="C818" s="19">
        <v>45</v>
      </c>
      <c r="D818" s="3" t="s">
        <v>496</v>
      </c>
      <c r="E818" s="3" t="s">
        <v>31</v>
      </c>
      <c r="F818" s="23">
        <v>93532</v>
      </c>
      <c r="G818" s="15">
        <v>2005</v>
      </c>
      <c r="H818" s="15">
        <f>Table_7[[#This Row],[Listing Price (USD)]]/10000</f>
        <v>9.3531999999999993</v>
      </c>
      <c r="I818" s="28">
        <f>Table_7[[#This Row],[Length 
(ft)]]</f>
        <v>45</v>
      </c>
      <c r="J818" s="28">
        <f>2020-Table_7[[#This Row],[Year]]</f>
        <v>15</v>
      </c>
      <c r="K818">
        <v>57472012426.685303</v>
      </c>
      <c r="L818">
        <v>14198.753959474399</v>
      </c>
      <c r="M818">
        <v>0.15481137456202801</v>
      </c>
      <c r="N818">
        <v>-8.5803430210621805</v>
      </c>
      <c r="O818">
        <v>38.090000000000003</v>
      </c>
      <c r="P818">
        <v>1082.8499999999999</v>
      </c>
      <c r="Q818">
        <v>63</v>
      </c>
      <c r="R818">
        <v>14.34</v>
      </c>
    </row>
    <row r="819" spans="1:18" x14ac:dyDescent="0.25">
      <c r="A819" s="1" t="s">
        <v>195</v>
      </c>
      <c r="B819" s="2" t="s">
        <v>218</v>
      </c>
      <c r="C819" s="19">
        <v>45</v>
      </c>
      <c r="D819" s="3" t="s">
        <v>496</v>
      </c>
      <c r="E819" s="3" t="s">
        <v>31</v>
      </c>
      <c r="F819" s="23">
        <v>95961</v>
      </c>
      <c r="G819" s="15">
        <v>2005</v>
      </c>
      <c r="H819" s="15">
        <f>Table_7[[#This Row],[Listing Price (USD)]]/10000</f>
        <v>9.5960999999999999</v>
      </c>
      <c r="I819" s="28">
        <f>Table_7[[#This Row],[Length 
(ft)]]</f>
        <v>45</v>
      </c>
      <c r="J819" s="28">
        <f>2020-Table_7[[#This Row],[Year]]</f>
        <v>15</v>
      </c>
      <c r="K819">
        <v>57472012426.685303</v>
      </c>
      <c r="L819">
        <v>14198.753959474399</v>
      </c>
      <c r="M819">
        <v>0.15481137456202801</v>
      </c>
      <c r="N819">
        <v>-8.5803430210621805</v>
      </c>
      <c r="O819">
        <v>38.090000000000003</v>
      </c>
      <c r="P819">
        <v>1082.8499999999999</v>
      </c>
      <c r="Q819">
        <v>63</v>
      </c>
      <c r="R819">
        <v>14.34</v>
      </c>
    </row>
    <row r="820" spans="1:18" x14ac:dyDescent="0.25">
      <c r="A820" s="1" t="s">
        <v>195</v>
      </c>
      <c r="B820" s="2" t="s">
        <v>218</v>
      </c>
      <c r="C820" s="19">
        <v>45</v>
      </c>
      <c r="D820" s="3" t="s">
        <v>496</v>
      </c>
      <c r="E820" s="3" t="s">
        <v>31</v>
      </c>
      <c r="F820" s="23">
        <v>102034</v>
      </c>
      <c r="G820" s="15">
        <v>2005</v>
      </c>
      <c r="H820" s="15">
        <f>Table_7[[#This Row],[Listing Price (USD)]]/10000</f>
        <v>10.2034</v>
      </c>
      <c r="I820" s="28">
        <f>Table_7[[#This Row],[Length 
(ft)]]</f>
        <v>45</v>
      </c>
      <c r="J820" s="28">
        <f>2020-Table_7[[#This Row],[Year]]</f>
        <v>15</v>
      </c>
      <c r="K820">
        <v>57472012426.685303</v>
      </c>
      <c r="L820">
        <v>14198.753959474399</v>
      </c>
      <c r="M820">
        <v>0.15481137456202801</v>
      </c>
      <c r="N820">
        <v>-8.5803430210621805</v>
      </c>
      <c r="O820">
        <v>38.090000000000003</v>
      </c>
      <c r="P820">
        <v>1082.8499999999999</v>
      </c>
      <c r="Q820">
        <v>63</v>
      </c>
      <c r="R820">
        <v>14.34</v>
      </c>
    </row>
    <row r="821" spans="1:18" x14ac:dyDescent="0.25">
      <c r="A821" s="1" t="s">
        <v>195</v>
      </c>
      <c r="B821" s="2" t="s">
        <v>218</v>
      </c>
      <c r="C821" s="19">
        <v>45</v>
      </c>
      <c r="D821" s="3" t="s">
        <v>496</v>
      </c>
      <c r="E821" s="3" t="s">
        <v>18</v>
      </c>
      <c r="F821" s="23">
        <v>103188</v>
      </c>
      <c r="G821" s="15">
        <v>2006</v>
      </c>
      <c r="H821" s="15">
        <f>Table_7[[#This Row],[Listing Price (USD)]]/10000</f>
        <v>10.3188</v>
      </c>
      <c r="I821" s="28">
        <f>Table_7[[#This Row],[Length 
(ft)]]</f>
        <v>45</v>
      </c>
      <c r="J821" s="28">
        <f>2020-Table_7[[#This Row],[Year]]</f>
        <v>14</v>
      </c>
      <c r="K821">
        <v>188925995936.80701</v>
      </c>
      <c r="L821">
        <v>17658.947301119199</v>
      </c>
      <c r="M821">
        <v>-1.2479835558140799</v>
      </c>
      <c r="N821">
        <v>-9.0040436420214593</v>
      </c>
      <c r="O821">
        <v>38.090000000000003</v>
      </c>
      <c r="P821">
        <v>1082.8499999999999</v>
      </c>
      <c r="Q821">
        <v>63</v>
      </c>
      <c r="R821">
        <v>14.34</v>
      </c>
    </row>
    <row r="822" spans="1:18" x14ac:dyDescent="0.25">
      <c r="A822" s="1" t="s">
        <v>195</v>
      </c>
      <c r="B822" s="2" t="s">
        <v>218</v>
      </c>
      <c r="C822" s="19">
        <v>45</v>
      </c>
      <c r="D822" s="3" t="s">
        <v>496</v>
      </c>
      <c r="E822" s="3" t="s">
        <v>9</v>
      </c>
      <c r="F822" s="23">
        <v>109229</v>
      </c>
      <c r="G822" s="15">
        <v>2007</v>
      </c>
      <c r="H822" s="15">
        <f>Table_7[[#This Row],[Listing Price (USD)]]/10000</f>
        <v>10.9229</v>
      </c>
      <c r="I822" s="28">
        <f>Table_7[[#This Row],[Length 
(ft)]]</f>
        <v>45</v>
      </c>
      <c r="J822" s="28">
        <f>2020-Table_7[[#This Row],[Year]]</f>
        <v>13</v>
      </c>
      <c r="K822">
        <v>1276962685648.25</v>
      </c>
      <c r="L822">
        <v>26959.675436732599</v>
      </c>
      <c r="M822">
        <v>-0.32275301729970501</v>
      </c>
      <c r="N822">
        <v>-11.3254383222864</v>
      </c>
      <c r="O822">
        <v>38.090000000000003</v>
      </c>
      <c r="P822">
        <v>1082.8499999999999</v>
      </c>
      <c r="Q822">
        <v>63</v>
      </c>
      <c r="R822">
        <v>14.34</v>
      </c>
    </row>
    <row r="823" spans="1:18" x14ac:dyDescent="0.25">
      <c r="A823" s="1" t="s">
        <v>195</v>
      </c>
      <c r="B823" s="2" t="s">
        <v>218</v>
      </c>
      <c r="C823" s="19">
        <v>45</v>
      </c>
      <c r="D823" s="3" t="s">
        <v>496</v>
      </c>
      <c r="E823" s="3" t="s">
        <v>18</v>
      </c>
      <c r="F823" s="23">
        <v>109323</v>
      </c>
      <c r="G823" s="15">
        <v>2006</v>
      </c>
      <c r="H823" s="15">
        <f>Table_7[[#This Row],[Listing Price (USD)]]/10000</f>
        <v>10.9323</v>
      </c>
      <c r="I823" s="28">
        <f>Table_7[[#This Row],[Length 
(ft)]]</f>
        <v>45</v>
      </c>
      <c r="J823" s="28">
        <f>2020-Table_7[[#This Row],[Year]]</f>
        <v>14</v>
      </c>
      <c r="K823">
        <v>188925995936.80701</v>
      </c>
      <c r="L823">
        <v>17658.947301119199</v>
      </c>
      <c r="M823">
        <v>-1.2479835558140799</v>
      </c>
      <c r="N823">
        <v>-9.0040436420214593</v>
      </c>
      <c r="O823">
        <v>38.090000000000003</v>
      </c>
      <c r="P823">
        <v>1082.8499999999999</v>
      </c>
      <c r="Q823">
        <v>63</v>
      </c>
      <c r="R823">
        <v>14.34</v>
      </c>
    </row>
    <row r="824" spans="1:18" x14ac:dyDescent="0.25">
      <c r="A824" s="1" t="s">
        <v>195</v>
      </c>
      <c r="B824" s="2" t="s">
        <v>218</v>
      </c>
      <c r="C824" s="19">
        <v>45</v>
      </c>
      <c r="D824" s="3" t="s">
        <v>496</v>
      </c>
      <c r="E824" s="3" t="s">
        <v>31</v>
      </c>
      <c r="F824" s="23">
        <v>109350</v>
      </c>
      <c r="G824" s="15">
        <v>2007</v>
      </c>
      <c r="H824" s="15">
        <f>Table_7[[#This Row],[Listing Price (USD)]]/10000</f>
        <v>10.935</v>
      </c>
      <c r="I824" s="28">
        <f>Table_7[[#This Row],[Length 
(ft)]]</f>
        <v>45</v>
      </c>
      <c r="J824" s="28">
        <f>2020-Table_7[[#This Row],[Year]]</f>
        <v>13</v>
      </c>
      <c r="K824">
        <v>57472012426.685303</v>
      </c>
      <c r="L824">
        <v>14198.753959474399</v>
      </c>
      <c r="M824">
        <v>0.15481137456202801</v>
      </c>
      <c r="N824">
        <v>-8.5803430210621805</v>
      </c>
      <c r="O824">
        <v>38.090000000000003</v>
      </c>
      <c r="P824">
        <v>1082.8499999999999</v>
      </c>
      <c r="Q824">
        <v>63</v>
      </c>
      <c r="R824">
        <v>14.34</v>
      </c>
    </row>
    <row r="825" spans="1:18" x14ac:dyDescent="0.25">
      <c r="A825" s="1" t="s">
        <v>195</v>
      </c>
      <c r="B825" s="2" t="s">
        <v>218</v>
      </c>
      <c r="C825" s="19">
        <v>45</v>
      </c>
      <c r="D825" s="3" t="s">
        <v>496</v>
      </c>
      <c r="E825" s="3" t="s">
        <v>24</v>
      </c>
      <c r="F825" s="23">
        <v>109350</v>
      </c>
      <c r="G825" s="15">
        <v>2007</v>
      </c>
      <c r="H825" s="15">
        <f>Table_7[[#This Row],[Listing Price (USD)]]/10000</f>
        <v>10.935</v>
      </c>
      <c r="I825" s="28">
        <f>Table_7[[#This Row],[Length 
(ft)]]</f>
        <v>45</v>
      </c>
      <c r="J825" s="28">
        <f>2020-Table_7[[#This Row],[Year]]</f>
        <v>13</v>
      </c>
      <c r="K825">
        <v>1896755301518.1399</v>
      </c>
      <c r="L825">
        <v>31911.0357890017</v>
      </c>
      <c r="M825">
        <v>-0.13770757391656999</v>
      </c>
      <c r="N825">
        <v>-9.0399534112288507</v>
      </c>
      <c r="O825">
        <v>38.090000000000003</v>
      </c>
      <c r="P825">
        <v>1082.8499999999999</v>
      </c>
      <c r="Q825">
        <v>63</v>
      </c>
      <c r="R825">
        <v>14.34</v>
      </c>
    </row>
    <row r="826" spans="1:18" x14ac:dyDescent="0.25">
      <c r="A826" s="1" t="s">
        <v>195</v>
      </c>
      <c r="B826" s="2" t="s">
        <v>218</v>
      </c>
      <c r="C826" s="19">
        <v>45</v>
      </c>
      <c r="D826" s="3" t="s">
        <v>496</v>
      </c>
      <c r="E826" s="3" t="s">
        <v>18</v>
      </c>
      <c r="F826" s="23">
        <v>111752</v>
      </c>
      <c r="G826" s="15">
        <v>2007</v>
      </c>
      <c r="H826" s="15">
        <f>Table_7[[#This Row],[Listing Price (USD)]]/10000</f>
        <v>11.1752</v>
      </c>
      <c r="I826" s="28">
        <f>Table_7[[#This Row],[Length 
(ft)]]</f>
        <v>45</v>
      </c>
      <c r="J826" s="28">
        <f>2020-Table_7[[#This Row],[Year]]</f>
        <v>13</v>
      </c>
      <c r="K826">
        <v>188925995936.80701</v>
      </c>
      <c r="L826">
        <v>17658.947301119199</v>
      </c>
      <c r="M826">
        <v>-1.2479835558140799</v>
      </c>
      <c r="N826">
        <v>-9.0040436420214593</v>
      </c>
      <c r="O826">
        <v>38.090000000000003</v>
      </c>
      <c r="P826">
        <v>1082.8499999999999</v>
      </c>
      <c r="Q826">
        <v>63</v>
      </c>
      <c r="R826">
        <v>14.34</v>
      </c>
    </row>
    <row r="827" spans="1:18" x14ac:dyDescent="0.25">
      <c r="A827" s="1" t="s">
        <v>195</v>
      </c>
      <c r="B827" s="2" t="s">
        <v>218</v>
      </c>
      <c r="C827" s="19">
        <v>45</v>
      </c>
      <c r="D827" s="3" t="s">
        <v>496</v>
      </c>
      <c r="E827" s="3" t="s">
        <v>31</v>
      </c>
      <c r="F827" s="23">
        <v>115396</v>
      </c>
      <c r="G827" s="15">
        <v>2006</v>
      </c>
      <c r="H827" s="15">
        <f>Table_7[[#This Row],[Listing Price (USD)]]/10000</f>
        <v>11.5396</v>
      </c>
      <c r="I827" s="28">
        <f>Table_7[[#This Row],[Length 
(ft)]]</f>
        <v>45</v>
      </c>
      <c r="J827" s="28">
        <f>2020-Table_7[[#This Row],[Year]]</f>
        <v>14</v>
      </c>
      <c r="K827">
        <v>57472012426.685303</v>
      </c>
      <c r="L827">
        <v>14198.753959474399</v>
      </c>
      <c r="M827">
        <v>0.15481137456202801</v>
      </c>
      <c r="N827">
        <v>-8.5803430210621805</v>
      </c>
      <c r="O827">
        <v>38.090000000000003</v>
      </c>
      <c r="P827">
        <v>1082.8499999999999</v>
      </c>
      <c r="Q827">
        <v>63</v>
      </c>
      <c r="R827">
        <v>14.34</v>
      </c>
    </row>
    <row r="828" spans="1:18" x14ac:dyDescent="0.25">
      <c r="A828" s="1" t="s">
        <v>195</v>
      </c>
      <c r="B828" s="2" t="s">
        <v>218</v>
      </c>
      <c r="C828" s="19">
        <v>45</v>
      </c>
      <c r="D828" s="3" t="s">
        <v>496</v>
      </c>
      <c r="E828" s="3" t="s">
        <v>24</v>
      </c>
      <c r="F828" s="23">
        <v>120255</v>
      </c>
      <c r="G828" s="15">
        <v>2007</v>
      </c>
      <c r="H828" s="15">
        <f>Table_7[[#This Row],[Listing Price (USD)]]/10000</f>
        <v>12.025499999999999</v>
      </c>
      <c r="I828" s="28">
        <f>Table_7[[#This Row],[Length 
(ft)]]</f>
        <v>45</v>
      </c>
      <c r="J828" s="28">
        <f>2020-Table_7[[#This Row],[Year]]</f>
        <v>13</v>
      </c>
      <c r="K828">
        <v>1896755301518.1399</v>
      </c>
      <c r="L828">
        <v>31911.0357890017</v>
      </c>
      <c r="M828">
        <v>-0.13770757391656999</v>
      </c>
      <c r="N828">
        <v>-9.0399534112288507</v>
      </c>
      <c r="O828">
        <v>38.090000000000003</v>
      </c>
      <c r="P828">
        <v>1082.8499999999999</v>
      </c>
      <c r="Q828">
        <v>63</v>
      </c>
      <c r="R828">
        <v>14.34</v>
      </c>
    </row>
    <row r="829" spans="1:18" x14ac:dyDescent="0.25">
      <c r="A829" s="1" t="s">
        <v>195</v>
      </c>
      <c r="B829" s="2" t="s">
        <v>218</v>
      </c>
      <c r="C829" s="19">
        <v>45</v>
      </c>
      <c r="D829" s="3" t="s">
        <v>496</v>
      </c>
      <c r="E829" s="3" t="s">
        <v>24</v>
      </c>
      <c r="F829" s="23">
        <v>120285</v>
      </c>
      <c r="G829" s="15">
        <v>2007</v>
      </c>
      <c r="H829" s="15">
        <f>Table_7[[#This Row],[Listing Price (USD)]]/10000</f>
        <v>12.028499999999999</v>
      </c>
      <c r="I829" s="28">
        <f>Table_7[[#This Row],[Length 
(ft)]]</f>
        <v>45</v>
      </c>
      <c r="J829" s="28">
        <f>2020-Table_7[[#This Row],[Year]]</f>
        <v>13</v>
      </c>
      <c r="K829">
        <v>1896755301518.1399</v>
      </c>
      <c r="L829">
        <v>31911.0357890017</v>
      </c>
      <c r="M829">
        <v>-0.13770757391656999</v>
      </c>
      <c r="N829">
        <v>-9.0399534112288507</v>
      </c>
      <c r="O829">
        <v>38.090000000000003</v>
      </c>
      <c r="P829">
        <v>1082.8499999999999</v>
      </c>
      <c r="Q829">
        <v>63</v>
      </c>
      <c r="R829">
        <v>14.34</v>
      </c>
    </row>
    <row r="830" spans="1:18" x14ac:dyDescent="0.25">
      <c r="A830" s="1" t="s">
        <v>195</v>
      </c>
      <c r="B830" s="2" t="s">
        <v>218</v>
      </c>
      <c r="C830" s="19">
        <v>45</v>
      </c>
      <c r="D830" s="3" t="s">
        <v>496</v>
      </c>
      <c r="E830" s="3" t="s">
        <v>24</v>
      </c>
      <c r="F830" s="23">
        <v>121470</v>
      </c>
      <c r="G830" s="15">
        <v>2008</v>
      </c>
      <c r="H830" s="15">
        <f>Table_7[[#This Row],[Listing Price (USD)]]/10000</f>
        <v>12.147</v>
      </c>
      <c r="I830" s="28">
        <f>Table_7[[#This Row],[Length 
(ft)]]</f>
        <v>45</v>
      </c>
      <c r="J830" s="28">
        <f>2020-Table_7[[#This Row],[Year]]</f>
        <v>12</v>
      </c>
      <c r="K830">
        <v>1896755301518.1399</v>
      </c>
      <c r="L830">
        <v>31911.0357890017</v>
      </c>
      <c r="M830">
        <v>-0.13770757391656999</v>
      </c>
      <c r="N830">
        <v>-9.0399534112288507</v>
      </c>
      <c r="O830">
        <v>38.090000000000003</v>
      </c>
      <c r="P830">
        <v>1082.8499999999999</v>
      </c>
      <c r="Q830">
        <v>63</v>
      </c>
      <c r="R830">
        <v>14.34</v>
      </c>
    </row>
    <row r="831" spans="1:18" x14ac:dyDescent="0.25">
      <c r="A831" s="1" t="s">
        <v>195</v>
      </c>
      <c r="B831" s="2" t="s">
        <v>218</v>
      </c>
      <c r="C831" s="19">
        <v>45</v>
      </c>
      <c r="D831" s="3" t="s">
        <v>496</v>
      </c>
      <c r="E831" s="3" t="s">
        <v>24</v>
      </c>
      <c r="F831" s="23">
        <v>121470</v>
      </c>
      <c r="G831" s="15">
        <v>2007</v>
      </c>
      <c r="H831" s="15">
        <f>Table_7[[#This Row],[Listing Price (USD)]]/10000</f>
        <v>12.147</v>
      </c>
      <c r="I831" s="28">
        <f>Table_7[[#This Row],[Length 
(ft)]]</f>
        <v>45</v>
      </c>
      <c r="J831" s="28">
        <f>2020-Table_7[[#This Row],[Year]]</f>
        <v>13</v>
      </c>
      <c r="K831">
        <v>1896755301518.1399</v>
      </c>
      <c r="L831">
        <v>31911.0357890017</v>
      </c>
      <c r="M831">
        <v>-0.13770757391656999</v>
      </c>
      <c r="N831">
        <v>-9.0399534112288507</v>
      </c>
      <c r="O831">
        <v>38.090000000000003</v>
      </c>
      <c r="P831">
        <v>1082.8499999999999</v>
      </c>
      <c r="Q831">
        <v>63</v>
      </c>
      <c r="R831">
        <v>14.34</v>
      </c>
    </row>
    <row r="832" spans="1:18" x14ac:dyDescent="0.25">
      <c r="A832" s="1" t="s">
        <v>195</v>
      </c>
      <c r="B832" s="2" t="s">
        <v>218</v>
      </c>
      <c r="C832" s="19">
        <v>45</v>
      </c>
      <c r="D832" s="3" t="s">
        <v>496</v>
      </c>
      <c r="E832" s="3" t="s">
        <v>24</v>
      </c>
      <c r="F832" s="23">
        <v>121506</v>
      </c>
      <c r="G832" s="15">
        <v>2008</v>
      </c>
      <c r="H832" s="15">
        <f>Table_7[[#This Row],[Listing Price (USD)]]/10000</f>
        <v>12.150600000000001</v>
      </c>
      <c r="I832" s="28">
        <f>Table_7[[#This Row],[Length 
(ft)]]</f>
        <v>45</v>
      </c>
      <c r="J832" s="28">
        <f>2020-Table_7[[#This Row],[Year]]</f>
        <v>12</v>
      </c>
      <c r="K832">
        <v>1896755301518.1399</v>
      </c>
      <c r="L832">
        <v>31911.0357890017</v>
      </c>
      <c r="M832">
        <v>-0.13770757391656999</v>
      </c>
      <c r="N832">
        <v>-9.0399534112288507</v>
      </c>
      <c r="O832">
        <v>38.090000000000003</v>
      </c>
      <c r="P832">
        <v>1082.8499999999999</v>
      </c>
      <c r="Q832">
        <v>63</v>
      </c>
      <c r="R832">
        <v>14.34</v>
      </c>
    </row>
    <row r="833" spans="1:18" x14ac:dyDescent="0.25">
      <c r="A833" s="1" t="s">
        <v>195</v>
      </c>
      <c r="B833" s="2" t="s">
        <v>218</v>
      </c>
      <c r="C833" s="19">
        <v>45</v>
      </c>
      <c r="D833" s="3" t="s">
        <v>496</v>
      </c>
      <c r="E833" s="3" t="s">
        <v>31</v>
      </c>
      <c r="F833" s="23">
        <v>127576</v>
      </c>
      <c r="G833" s="15">
        <v>2007</v>
      </c>
      <c r="H833" s="15">
        <f>Table_7[[#This Row],[Listing Price (USD)]]/10000</f>
        <v>12.7576</v>
      </c>
      <c r="I833" s="28">
        <f>Table_7[[#This Row],[Length 
(ft)]]</f>
        <v>45</v>
      </c>
      <c r="J833" s="28">
        <f>2020-Table_7[[#This Row],[Year]]</f>
        <v>13</v>
      </c>
      <c r="K833">
        <v>57472012426.685303</v>
      </c>
      <c r="L833">
        <v>14198.753959474399</v>
      </c>
      <c r="M833">
        <v>0.15481137456202801</v>
      </c>
      <c r="N833">
        <v>-8.5803430210621805</v>
      </c>
      <c r="O833">
        <v>38.090000000000003</v>
      </c>
      <c r="P833">
        <v>1082.8499999999999</v>
      </c>
      <c r="Q833">
        <v>63</v>
      </c>
      <c r="R833">
        <v>14.34</v>
      </c>
    </row>
    <row r="834" spans="1:18" x14ac:dyDescent="0.25">
      <c r="A834" s="1" t="s">
        <v>195</v>
      </c>
      <c r="B834" s="2" t="s">
        <v>218</v>
      </c>
      <c r="C834" s="19">
        <v>45</v>
      </c>
      <c r="D834" s="3" t="s">
        <v>496</v>
      </c>
      <c r="E834" s="3" t="s">
        <v>3</v>
      </c>
      <c r="F834" s="23">
        <v>132402</v>
      </c>
      <c r="G834" s="15">
        <v>2005</v>
      </c>
      <c r="H834" s="15">
        <f>Table_7[[#This Row],[Listing Price (USD)]]/10000</f>
        <v>13.2402</v>
      </c>
      <c r="I834" s="28">
        <f>Table_7[[#This Row],[Length 
(ft)]]</f>
        <v>45</v>
      </c>
      <c r="J834" s="28">
        <f>2020-Table_7[[#This Row],[Year]]</f>
        <v>15</v>
      </c>
      <c r="K834">
        <v>2639008701648.2598</v>
      </c>
      <c r="L834">
        <v>39055.282928075401</v>
      </c>
      <c r="M834">
        <v>0.47649885272508302</v>
      </c>
      <c r="N834">
        <v>-7.7845864916787102</v>
      </c>
      <c r="O834">
        <v>38.090000000000003</v>
      </c>
      <c r="P834">
        <v>1082.8499999999999</v>
      </c>
      <c r="Q834">
        <v>63</v>
      </c>
      <c r="R834">
        <v>14.34</v>
      </c>
    </row>
    <row r="835" spans="1:18" x14ac:dyDescent="0.25">
      <c r="A835" s="1" t="s">
        <v>195</v>
      </c>
      <c r="B835" s="2" t="s">
        <v>218</v>
      </c>
      <c r="C835" s="19">
        <v>45</v>
      </c>
      <c r="D835" s="3" t="s">
        <v>496</v>
      </c>
      <c r="E835" s="3" t="s">
        <v>9</v>
      </c>
      <c r="F835" s="23">
        <v>132402</v>
      </c>
      <c r="G835" s="15">
        <v>2006</v>
      </c>
      <c r="H835" s="15">
        <f>Table_7[[#This Row],[Listing Price (USD)]]/10000</f>
        <v>13.2402</v>
      </c>
      <c r="I835" s="28">
        <f>Table_7[[#This Row],[Length 
(ft)]]</f>
        <v>45</v>
      </c>
      <c r="J835" s="28">
        <f>2020-Table_7[[#This Row],[Year]]</f>
        <v>14</v>
      </c>
      <c r="K835">
        <v>1276962685648.25</v>
      </c>
      <c r="L835">
        <v>26959.675436732599</v>
      </c>
      <c r="M835">
        <v>-0.32275301729970501</v>
      </c>
      <c r="N835">
        <v>-11.3254383222864</v>
      </c>
      <c r="O835">
        <v>38.090000000000003</v>
      </c>
      <c r="P835">
        <v>1082.8499999999999</v>
      </c>
      <c r="Q835">
        <v>63</v>
      </c>
      <c r="R835">
        <v>14.34</v>
      </c>
    </row>
    <row r="836" spans="1:18" x14ac:dyDescent="0.25">
      <c r="A836" s="1" t="s">
        <v>195</v>
      </c>
      <c r="B836" s="2" t="s">
        <v>218</v>
      </c>
      <c r="C836" s="19">
        <v>45</v>
      </c>
      <c r="D836" s="3" t="s">
        <v>496</v>
      </c>
      <c r="E836" s="3" t="s">
        <v>9</v>
      </c>
      <c r="F836" s="23">
        <v>132436</v>
      </c>
      <c r="G836" s="15">
        <v>2006</v>
      </c>
      <c r="H836" s="15">
        <f>Table_7[[#This Row],[Listing Price (USD)]]/10000</f>
        <v>13.243600000000001</v>
      </c>
      <c r="I836" s="28">
        <f>Table_7[[#This Row],[Length 
(ft)]]</f>
        <v>45</v>
      </c>
      <c r="J836" s="28">
        <f>2020-Table_7[[#This Row],[Year]]</f>
        <v>14</v>
      </c>
      <c r="K836">
        <v>1276962685648.25</v>
      </c>
      <c r="L836">
        <v>26959.675436732599</v>
      </c>
      <c r="M836">
        <v>-0.32275301729970501</v>
      </c>
      <c r="N836">
        <v>-11.3254383222864</v>
      </c>
      <c r="O836">
        <v>38.090000000000003</v>
      </c>
      <c r="P836">
        <v>1082.8499999999999</v>
      </c>
      <c r="Q836">
        <v>63</v>
      </c>
      <c r="R836">
        <v>14.34</v>
      </c>
    </row>
    <row r="837" spans="1:18" x14ac:dyDescent="0.25">
      <c r="A837" s="1" t="s">
        <v>195</v>
      </c>
      <c r="B837" s="2" t="s">
        <v>218</v>
      </c>
      <c r="C837" s="19">
        <v>45</v>
      </c>
      <c r="D837" s="3" t="s">
        <v>496</v>
      </c>
      <c r="E837" s="3" t="s">
        <v>31</v>
      </c>
      <c r="F837" s="23">
        <v>139690</v>
      </c>
      <c r="G837" s="15">
        <v>2006</v>
      </c>
      <c r="H837" s="15">
        <f>Table_7[[#This Row],[Listing Price (USD)]]/10000</f>
        <v>13.968999999999999</v>
      </c>
      <c r="I837" s="28">
        <f>Table_7[[#This Row],[Length 
(ft)]]</f>
        <v>45</v>
      </c>
      <c r="J837" s="28">
        <f>2020-Table_7[[#This Row],[Year]]</f>
        <v>14</v>
      </c>
      <c r="K837">
        <v>57472012426.685303</v>
      </c>
      <c r="L837">
        <v>14198.753959474399</v>
      </c>
      <c r="M837">
        <v>0.15481137456202801</v>
      </c>
      <c r="N837">
        <v>-8.5803430210621805</v>
      </c>
      <c r="O837">
        <v>38.090000000000003</v>
      </c>
      <c r="P837">
        <v>1082.8499999999999</v>
      </c>
      <c r="Q837">
        <v>63</v>
      </c>
      <c r="R837">
        <v>14.34</v>
      </c>
    </row>
    <row r="838" spans="1:18" x14ac:dyDescent="0.25">
      <c r="A838" s="1" t="s">
        <v>195</v>
      </c>
      <c r="B838" s="2" t="s">
        <v>218</v>
      </c>
      <c r="C838" s="19">
        <v>45</v>
      </c>
      <c r="D838" s="3" t="s">
        <v>496</v>
      </c>
      <c r="E838" s="3" t="s">
        <v>24</v>
      </c>
      <c r="F838" s="23">
        <v>145764</v>
      </c>
      <c r="G838" s="15">
        <v>2007</v>
      </c>
      <c r="H838" s="15">
        <f>Table_7[[#This Row],[Listing Price (USD)]]/10000</f>
        <v>14.5764</v>
      </c>
      <c r="I838" s="28">
        <f>Table_7[[#This Row],[Length 
(ft)]]</f>
        <v>45</v>
      </c>
      <c r="J838" s="28">
        <f>2020-Table_7[[#This Row],[Year]]</f>
        <v>13</v>
      </c>
      <c r="K838">
        <v>1896755301518.1399</v>
      </c>
      <c r="L838">
        <v>31911.0357890017</v>
      </c>
      <c r="M838">
        <v>-0.13770757391656999</v>
      </c>
      <c r="N838">
        <v>-9.0399534112288507</v>
      </c>
      <c r="O838">
        <v>38.090000000000003</v>
      </c>
      <c r="P838">
        <v>1082.8499999999999</v>
      </c>
      <c r="Q838">
        <v>63</v>
      </c>
      <c r="R838">
        <v>14.34</v>
      </c>
    </row>
    <row r="839" spans="1:18" x14ac:dyDescent="0.25">
      <c r="A839" s="1" t="s">
        <v>195</v>
      </c>
      <c r="B839" s="2" t="s">
        <v>218</v>
      </c>
      <c r="C839" s="19">
        <v>45</v>
      </c>
      <c r="D839" s="3" t="s">
        <v>496</v>
      </c>
      <c r="E839" s="3" t="s">
        <v>24</v>
      </c>
      <c r="F839" s="23">
        <v>145807</v>
      </c>
      <c r="G839" s="15">
        <v>2007</v>
      </c>
      <c r="H839" s="15">
        <f>Table_7[[#This Row],[Listing Price (USD)]]/10000</f>
        <v>14.5807</v>
      </c>
      <c r="I839" s="28">
        <f>Table_7[[#This Row],[Length 
(ft)]]</f>
        <v>45</v>
      </c>
      <c r="J839" s="28">
        <f>2020-Table_7[[#This Row],[Year]]</f>
        <v>13</v>
      </c>
      <c r="K839">
        <v>1896755301518.1399</v>
      </c>
      <c r="L839">
        <v>31911.0357890017</v>
      </c>
      <c r="M839">
        <v>-0.13770757391656999</v>
      </c>
      <c r="N839">
        <v>-9.0399534112288507</v>
      </c>
      <c r="O839">
        <v>38.090000000000003</v>
      </c>
      <c r="P839">
        <v>1082.8499999999999</v>
      </c>
      <c r="Q839">
        <v>63</v>
      </c>
      <c r="R839">
        <v>14.34</v>
      </c>
    </row>
    <row r="840" spans="1:18" x14ac:dyDescent="0.25">
      <c r="A840" s="1" t="s">
        <v>195</v>
      </c>
      <c r="B840" s="2" t="s">
        <v>218</v>
      </c>
      <c r="C840" s="19">
        <v>45</v>
      </c>
      <c r="D840" s="3" t="s">
        <v>496</v>
      </c>
      <c r="E840" s="3" t="s">
        <v>56</v>
      </c>
      <c r="F840" s="23">
        <v>151876</v>
      </c>
      <c r="G840" s="15">
        <v>2008</v>
      </c>
      <c r="H840" s="15">
        <f>Table_7[[#This Row],[Listing Price (USD)]]/10000</f>
        <v>15.1876</v>
      </c>
      <c r="I840" s="28">
        <f>Table_7[[#This Row],[Length 
(ft)]]</f>
        <v>45</v>
      </c>
      <c r="J840" s="28">
        <f>2020-Table_7[[#This Row],[Year]]</f>
        <v>12</v>
      </c>
      <c r="K840">
        <v>14933066818.9606</v>
      </c>
      <c r="L840">
        <v>28977.565567363599</v>
      </c>
      <c r="M840">
        <v>0.63854495677665302</v>
      </c>
      <c r="N840">
        <v>-8.3242832319722009</v>
      </c>
      <c r="O840">
        <v>38.090000000000003</v>
      </c>
      <c r="P840">
        <v>1082.8499999999999</v>
      </c>
      <c r="Q840">
        <v>63</v>
      </c>
      <c r="R840">
        <v>14.34</v>
      </c>
    </row>
    <row r="841" spans="1:18" x14ac:dyDescent="0.25">
      <c r="A841" s="1" t="s">
        <v>195</v>
      </c>
      <c r="B841" s="2" t="s">
        <v>218</v>
      </c>
      <c r="C841" s="19">
        <v>45</v>
      </c>
      <c r="D841" s="3" t="s">
        <v>496</v>
      </c>
      <c r="E841" s="3" t="s">
        <v>9</v>
      </c>
      <c r="F841" s="23">
        <v>156696</v>
      </c>
      <c r="G841" s="15">
        <v>2006</v>
      </c>
      <c r="H841" s="15">
        <f>Table_7[[#This Row],[Listing Price (USD)]]/10000</f>
        <v>15.669600000000001</v>
      </c>
      <c r="I841" s="28">
        <f>Table_7[[#This Row],[Length 
(ft)]]</f>
        <v>45</v>
      </c>
      <c r="J841" s="28">
        <f>2020-Table_7[[#This Row],[Year]]</f>
        <v>14</v>
      </c>
      <c r="K841">
        <v>1276962685648.25</v>
      </c>
      <c r="L841">
        <v>26959.675436732599</v>
      </c>
      <c r="M841">
        <v>-0.32275301729970501</v>
      </c>
      <c r="N841">
        <v>-11.3254383222864</v>
      </c>
      <c r="O841">
        <v>38.090000000000003</v>
      </c>
      <c r="P841">
        <v>1082.8499999999999</v>
      </c>
      <c r="Q841">
        <v>63</v>
      </c>
      <c r="R841">
        <v>14.34</v>
      </c>
    </row>
    <row r="842" spans="1:18" x14ac:dyDescent="0.25">
      <c r="A842" s="1" t="s">
        <v>195</v>
      </c>
      <c r="B842" s="3" t="s">
        <v>218</v>
      </c>
      <c r="C842" s="19">
        <v>45</v>
      </c>
      <c r="D842" s="3" t="s">
        <v>495</v>
      </c>
      <c r="E842" s="3" t="s">
        <v>333</v>
      </c>
      <c r="F842" s="23">
        <v>169000</v>
      </c>
      <c r="G842" s="15">
        <v>2006</v>
      </c>
      <c r="H842" s="15">
        <f>Table_7[[#This Row],[Listing Price (USD)]]/10000</f>
        <v>16.899999999999999</v>
      </c>
      <c r="I842" s="28">
        <f>Table_7[[#This Row],[Length 
(ft)]]</f>
        <v>45</v>
      </c>
      <c r="J842" s="28">
        <f>2020-Table_7[[#This Row],[Year]]</f>
        <v>14</v>
      </c>
      <c r="K842">
        <v>1106036000000</v>
      </c>
      <c r="L842">
        <v>51276.72</v>
      </c>
      <c r="M842">
        <v>1.23</v>
      </c>
      <c r="N842">
        <v>2.9</v>
      </c>
      <c r="O842">
        <v>38.090000000000003</v>
      </c>
      <c r="P842">
        <v>1082.8499999999999</v>
      </c>
      <c r="Q842">
        <v>63</v>
      </c>
      <c r="R842">
        <v>14.34</v>
      </c>
    </row>
    <row r="843" spans="1:18" x14ac:dyDescent="0.25">
      <c r="A843" s="1" t="s">
        <v>195</v>
      </c>
      <c r="B843" s="2" t="s">
        <v>218</v>
      </c>
      <c r="C843" s="19">
        <v>45</v>
      </c>
      <c r="D843" s="3" t="s">
        <v>496</v>
      </c>
      <c r="E843" s="3" t="s">
        <v>31</v>
      </c>
      <c r="F843" s="23">
        <v>173702</v>
      </c>
      <c r="G843" s="15">
        <v>2006</v>
      </c>
      <c r="H843" s="15">
        <f>Table_7[[#This Row],[Listing Price (USD)]]/10000</f>
        <v>17.370200000000001</v>
      </c>
      <c r="I843" s="28">
        <f>Table_7[[#This Row],[Length 
(ft)]]</f>
        <v>45</v>
      </c>
      <c r="J843" s="28">
        <f>2020-Table_7[[#This Row],[Year]]</f>
        <v>14</v>
      </c>
      <c r="K843">
        <v>57472012426.685303</v>
      </c>
      <c r="L843">
        <v>14198.753959474399</v>
      </c>
      <c r="M843">
        <v>0.15481137456202801</v>
      </c>
      <c r="N843">
        <v>-8.5803430210621805</v>
      </c>
      <c r="O843">
        <v>38.090000000000003</v>
      </c>
      <c r="P843">
        <v>1082.8499999999999</v>
      </c>
      <c r="Q843">
        <v>63</v>
      </c>
      <c r="R843">
        <v>14.34</v>
      </c>
    </row>
    <row r="844" spans="1:18" x14ac:dyDescent="0.25">
      <c r="A844" s="1" t="s">
        <v>195</v>
      </c>
      <c r="B844" s="2" t="s">
        <v>218</v>
      </c>
      <c r="C844" s="19">
        <v>45</v>
      </c>
      <c r="D844" s="3" t="s">
        <v>496</v>
      </c>
      <c r="E844" s="3" t="s">
        <v>31</v>
      </c>
      <c r="F844" s="23">
        <v>187063</v>
      </c>
      <c r="G844" s="15">
        <v>2005</v>
      </c>
      <c r="H844" s="15">
        <f>Table_7[[#This Row],[Listing Price (USD)]]/10000</f>
        <v>18.706299999999999</v>
      </c>
      <c r="I844" s="28">
        <f>Table_7[[#This Row],[Length 
(ft)]]</f>
        <v>45</v>
      </c>
      <c r="J844" s="28">
        <f>2020-Table_7[[#This Row],[Year]]</f>
        <v>15</v>
      </c>
      <c r="K844">
        <v>57472012426.685303</v>
      </c>
      <c r="L844">
        <v>14198.753959474399</v>
      </c>
      <c r="M844">
        <v>0.15481137456202801</v>
      </c>
      <c r="N844">
        <v>-8.5803430210621805</v>
      </c>
      <c r="O844">
        <v>38.090000000000003</v>
      </c>
      <c r="P844">
        <v>1082.8499999999999</v>
      </c>
      <c r="Q844">
        <v>63</v>
      </c>
      <c r="R844">
        <v>14.34</v>
      </c>
    </row>
    <row r="845" spans="1:18" x14ac:dyDescent="0.25">
      <c r="A845" s="1" t="s">
        <v>195</v>
      </c>
      <c r="B845" s="2" t="s">
        <v>221</v>
      </c>
      <c r="C845" s="19">
        <v>45</v>
      </c>
      <c r="D845" s="3" t="s">
        <v>496</v>
      </c>
      <c r="E845" s="3" t="s">
        <v>18</v>
      </c>
      <c r="F845" s="23">
        <v>145801</v>
      </c>
      <c r="G845" s="15">
        <v>2008</v>
      </c>
      <c r="H845" s="15">
        <f>Table_7[[#This Row],[Listing Price (USD)]]/10000</f>
        <v>14.5801</v>
      </c>
      <c r="I845" s="28">
        <f>Table_7[[#This Row],[Length 
(ft)]]</f>
        <v>45</v>
      </c>
      <c r="J845" s="28">
        <f>2020-Table_7[[#This Row],[Year]]</f>
        <v>12</v>
      </c>
      <c r="K845">
        <v>188925995936.80701</v>
      </c>
      <c r="L845">
        <v>17658.947301119199</v>
      </c>
      <c r="M845">
        <v>-1.2479835558140799</v>
      </c>
      <c r="N845">
        <v>-9.0040436420214593</v>
      </c>
      <c r="O845">
        <v>37.57</v>
      </c>
      <c r="P845">
        <v>1072.0920000000001</v>
      </c>
      <c r="Q845">
        <v>63</v>
      </c>
      <c r="R845">
        <v>14.34</v>
      </c>
    </row>
    <row r="846" spans="1:18" x14ac:dyDescent="0.25">
      <c r="A846" s="1" t="s">
        <v>195</v>
      </c>
      <c r="B846" s="2" t="s">
        <v>221</v>
      </c>
      <c r="C846" s="19">
        <v>45</v>
      </c>
      <c r="D846" s="3" t="s">
        <v>496</v>
      </c>
      <c r="E846" s="3" t="s">
        <v>9</v>
      </c>
      <c r="F846" s="23">
        <v>162811</v>
      </c>
      <c r="G846" s="15">
        <v>2007</v>
      </c>
      <c r="H846" s="15">
        <f>Table_7[[#This Row],[Listing Price (USD)]]/10000</f>
        <v>16.281099999999999</v>
      </c>
      <c r="I846" s="28">
        <f>Table_7[[#This Row],[Length 
(ft)]]</f>
        <v>45</v>
      </c>
      <c r="J846" s="28">
        <f>2020-Table_7[[#This Row],[Year]]</f>
        <v>13</v>
      </c>
      <c r="K846">
        <v>1276962685648.25</v>
      </c>
      <c r="L846">
        <v>26959.675436732599</v>
      </c>
      <c r="M846">
        <v>-0.32275301729970501</v>
      </c>
      <c r="N846">
        <v>-11.3254383222864</v>
      </c>
      <c r="O846">
        <v>37.57</v>
      </c>
      <c r="P846">
        <v>1072.0920000000001</v>
      </c>
      <c r="Q846">
        <v>63</v>
      </c>
      <c r="R846">
        <v>14.34</v>
      </c>
    </row>
    <row r="847" spans="1:18" x14ac:dyDescent="0.25">
      <c r="A847" s="1" t="s">
        <v>195</v>
      </c>
      <c r="B847" s="2" t="s">
        <v>221</v>
      </c>
      <c r="C847" s="19">
        <v>45</v>
      </c>
      <c r="D847" s="3" t="s">
        <v>496</v>
      </c>
      <c r="E847" s="3" t="s">
        <v>3</v>
      </c>
      <c r="F847" s="23">
        <v>181036</v>
      </c>
      <c r="G847" s="15">
        <v>2010</v>
      </c>
      <c r="H847" s="15">
        <f>Table_7[[#This Row],[Listing Price (USD)]]/10000</f>
        <v>18.1036</v>
      </c>
      <c r="I847" s="28">
        <f>Table_7[[#This Row],[Length 
(ft)]]</f>
        <v>45</v>
      </c>
      <c r="J847" s="28">
        <f>2020-Table_7[[#This Row],[Year]]</f>
        <v>10</v>
      </c>
      <c r="K847">
        <v>2639008701648.2598</v>
      </c>
      <c r="L847">
        <v>39055.282928075401</v>
      </c>
      <c r="M847">
        <v>0.47649885272508302</v>
      </c>
      <c r="N847">
        <v>-7.7845864916787102</v>
      </c>
      <c r="O847">
        <v>37.57</v>
      </c>
      <c r="P847">
        <v>1072.0920000000001</v>
      </c>
      <c r="Q847">
        <v>63</v>
      </c>
      <c r="R847">
        <v>14.34</v>
      </c>
    </row>
    <row r="848" spans="1:18" x14ac:dyDescent="0.25">
      <c r="A848" s="1" t="s">
        <v>195</v>
      </c>
      <c r="B848" s="2" t="s">
        <v>221</v>
      </c>
      <c r="C848" s="19">
        <v>45</v>
      </c>
      <c r="D848" s="3" t="s">
        <v>496</v>
      </c>
      <c r="E848" s="3" t="s">
        <v>24</v>
      </c>
      <c r="F848" s="23">
        <v>182204</v>
      </c>
      <c r="G848" s="15">
        <v>2009</v>
      </c>
      <c r="H848" s="15">
        <f>Table_7[[#This Row],[Listing Price (USD)]]/10000</f>
        <v>18.220400000000001</v>
      </c>
      <c r="I848" s="28">
        <f>Table_7[[#This Row],[Length 
(ft)]]</f>
        <v>45</v>
      </c>
      <c r="J848" s="28">
        <f>2020-Table_7[[#This Row],[Year]]</f>
        <v>11</v>
      </c>
      <c r="K848">
        <v>1896755301518.1399</v>
      </c>
      <c r="L848">
        <v>31911.0357890017</v>
      </c>
      <c r="M848">
        <v>-0.13770757391656999</v>
      </c>
      <c r="N848">
        <v>-9.0399534112288507</v>
      </c>
      <c r="O848">
        <v>37.57</v>
      </c>
      <c r="P848">
        <v>1072.0920000000001</v>
      </c>
      <c r="Q848">
        <v>63</v>
      </c>
      <c r="R848">
        <v>14.34</v>
      </c>
    </row>
    <row r="849" spans="1:18" x14ac:dyDescent="0.25">
      <c r="A849" s="1" t="s">
        <v>195</v>
      </c>
      <c r="B849" s="2" t="s">
        <v>221</v>
      </c>
      <c r="C849" s="19">
        <v>45</v>
      </c>
      <c r="D849" s="3" t="s">
        <v>496</v>
      </c>
      <c r="E849" s="3" t="s">
        <v>9</v>
      </c>
      <c r="F849" s="23">
        <v>188326</v>
      </c>
      <c r="G849" s="15">
        <v>2010</v>
      </c>
      <c r="H849" s="15">
        <f>Table_7[[#This Row],[Listing Price (USD)]]/10000</f>
        <v>18.832599999999999</v>
      </c>
      <c r="I849" s="28">
        <f>Table_7[[#This Row],[Length 
(ft)]]</f>
        <v>45</v>
      </c>
      <c r="J849" s="28">
        <f>2020-Table_7[[#This Row],[Year]]</f>
        <v>10</v>
      </c>
      <c r="K849">
        <v>1276962685648.25</v>
      </c>
      <c r="L849">
        <v>26959.675436732599</v>
      </c>
      <c r="M849">
        <v>-0.32275301729970501</v>
      </c>
      <c r="N849">
        <v>-11.3254383222864</v>
      </c>
      <c r="O849">
        <v>37.57</v>
      </c>
      <c r="P849">
        <v>1072.0920000000001</v>
      </c>
      <c r="Q849">
        <v>63</v>
      </c>
      <c r="R849">
        <v>14.34</v>
      </c>
    </row>
    <row r="850" spans="1:18" x14ac:dyDescent="0.25">
      <c r="A850" s="1" t="s">
        <v>195</v>
      </c>
      <c r="B850" s="2" t="s">
        <v>221</v>
      </c>
      <c r="C850" s="19">
        <v>45</v>
      </c>
      <c r="D850" s="3" t="s">
        <v>496</v>
      </c>
      <c r="E850" s="3" t="s">
        <v>19</v>
      </c>
      <c r="F850" s="23">
        <v>193199</v>
      </c>
      <c r="G850" s="15">
        <v>2010</v>
      </c>
      <c r="H850" s="15">
        <f>Table_7[[#This Row],[Listing Price (USD)]]/10000</f>
        <v>19.319900000000001</v>
      </c>
      <c r="I850" s="28">
        <f>Table_7[[#This Row],[Length 
(ft)]]</f>
        <v>45</v>
      </c>
      <c r="J850" s="28">
        <f>2020-Table_7[[#This Row],[Year]]</f>
        <v>10</v>
      </c>
      <c r="K850">
        <v>4200000000</v>
      </c>
      <c r="L850">
        <v>39553.199999999997</v>
      </c>
      <c r="M850">
        <v>4.0999999999999996</v>
      </c>
      <c r="N850">
        <v>-2.1</v>
      </c>
      <c r="O850">
        <v>37.57</v>
      </c>
      <c r="P850">
        <v>1072.0920000000001</v>
      </c>
      <c r="Q850">
        <v>63</v>
      </c>
      <c r="R850">
        <v>14.34</v>
      </c>
    </row>
    <row r="851" spans="1:18" x14ac:dyDescent="0.25">
      <c r="A851" s="1" t="s">
        <v>195</v>
      </c>
      <c r="B851" s="2" t="s">
        <v>221</v>
      </c>
      <c r="C851" s="19">
        <v>45</v>
      </c>
      <c r="D851" s="3" t="s">
        <v>496</v>
      </c>
      <c r="E851" s="3" t="s">
        <v>9</v>
      </c>
      <c r="F851" s="23">
        <v>194351</v>
      </c>
      <c r="G851" s="15">
        <v>2010</v>
      </c>
      <c r="H851" s="15">
        <f>Table_7[[#This Row],[Listing Price (USD)]]/10000</f>
        <v>19.435099999999998</v>
      </c>
      <c r="I851" s="28">
        <f>Table_7[[#This Row],[Length 
(ft)]]</f>
        <v>45</v>
      </c>
      <c r="J851" s="28">
        <f>2020-Table_7[[#This Row],[Year]]</f>
        <v>10</v>
      </c>
      <c r="K851">
        <v>1276962685648.25</v>
      </c>
      <c r="L851">
        <v>26959.675436732599</v>
      </c>
      <c r="M851">
        <v>-0.32275301729970501</v>
      </c>
      <c r="N851">
        <v>-11.3254383222864</v>
      </c>
      <c r="O851">
        <v>37.57</v>
      </c>
      <c r="P851">
        <v>1072.0920000000001</v>
      </c>
      <c r="Q851">
        <v>63</v>
      </c>
      <c r="R851">
        <v>14.34</v>
      </c>
    </row>
    <row r="852" spans="1:18" x14ac:dyDescent="0.25">
      <c r="A852" s="1" t="s">
        <v>195</v>
      </c>
      <c r="B852" s="2" t="s">
        <v>221</v>
      </c>
      <c r="C852" s="19">
        <v>45</v>
      </c>
      <c r="D852" s="3" t="s">
        <v>495</v>
      </c>
      <c r="E852" s="3" t="s">
        <v>333</v>
      </c>
      <c r="F852" s="23">
        <v>199000</v>
      </c>
      <c r="G852" s="15">
        <v>2012</v>
      </c>
      <c r="H852" s="15">
        <f>Table_7[[#This Row],[Listing Price (USD)]]/10000</f>
        <v>19.899999999999999</v>
      </c>
      <c r="I852" s="28">
        <f>Table_7[[#This Row],[Length 
(ft)]]</f>
        <v>45</v>
      </c>
      <c r="J852" s="28">
        <f>2020-Table_7[[#This Row],[Year]]</f>
        <v>8</v>
      </c>
      <c r="K852">
        <v>1106036000000</v>
      </c>
      <c r="L852">
        <v>51276.72</v>
      </c>
      <c r="M852">
        <v>1.23</v>
      </c>
      <c r="N852">
        <v>2.9</v>
      </c>
      <c r="O852">
        <v>37.57</v>
      </c>
      <c r="P852">
        <v>1072.0920000000001</v>
      </c>
      <c r="Q852">
        <v>63</v>
      </c>
      <c r="R852">
        <v>14.34</v>
      </c>
    </row>
    <row r="853" spans="1:18" x14ac:dyDescent="0.25">
      <c r="A853" s="1" t="s">
        <v>195</v>
      </c>
      <c r="B853" s="2" t="s">
        <v>221</v>
      </c>
      <c r="C853" s="19">
        <v>45</v>
      </c>
      <c r="D853" s="3" t="s">
        <v>495</v>
      </c>
      <c r="E853" s="3" t="s">
        <v>554</v>
      </c>
      <c r="F853" s="23">
        <v>199000</v>
      </c>
      <c r="G853" s="15">
        <v>2008</v>
      </c>
      <c r="H853" s="15">
        <f>Table_7[[#This Row],[Listing Price (USD)]]/10000</f>
        <v>19.899999999999999</v>
      </c>
      <c r="I853" s="28">
        <f>Table_7[[#This Row],[Length 
(ft)]]</f>
        <v>45</v>
      </c>
      <c r="J853" s="28">
        <f>2020-Table_7[[#This Row],[Year]]</f>
        <v>12</v>
      </c>
      <c r="K853">
        <v>4200000000</v>
      </c>
      <c r="L853">
        <v>39553.199999999997</v>
      </c>
      <c r="M853">
        <v>4.0999999999999996</v>
      </c>
      <c r="N853">
        <v>-2.1</v>
      </c>
      <c r="O853">
        <v>37.57</v>
      </c>
      <c r="P853">
        <v>1072.0920000000001</v>
      </c>
      <c r="Q853">
        <v>63</v>
      </c>
      <c r="R853">
        <v>14.34</v>
      </c>
    </row>
    <row r="854" spans="1:18" x14ac:dyDescent="0.25">
      <c r="A854" s="1" t="s">
        <v>195</v>
      </c>
      <c r="B854" s="2" t="s">
        <v>221</v>
      </c>
      <c r="C854" s="19">
        <v>45</v>
      </c>
      <c r="D854" s="3" t="s">
        <v>496</v>
      </c>
      <c r="E854" s="3" t="s">
        <v>9</v>
      </c>
      <c r="F854" s="23">
        <v>200425</v>
      </c>
      <c r="G854" s="15">
        <v>2008</v>
      </c>
      <c r="H854" s="15">
        <f>Table_7[[#This Row],[Listing Price (USD)]]/10000</f>
        <v>20.0425</v>
      </c>
      <c r="I854" s="28">
        <f>Table_7[[#This Row],[Length 
(ft)]]</f>
        <v>45</v>
      </c>
      <c r="J854" s="28">
        <f>2020-Table_7[[#This Row],[Year]]</f>
        <v>12</v>
      </c>
      <c r="K854">
        <v>1276962685648.25</v>
      </c>
      <c r="L854">
        <v>26959.675436732599</v>
      </c>
      <c r="M854">
        <v>-0.32275301729970501</v>
      </c>
      <c r="N854">
        <v>-11.3254383222864</v>
      </c>
      <c r="O854">
        <v>37.57</v>
      </c>
      <c r="P854">
        <v>1072.0920000000001</v>
      </c>
      <c r="Q854">
        <v>63</v>
      </c>
      <c r="R854">
        <v>14.34</v>
      </c>
    </row>
    <row r="855" spans="1:18" x14ac:dyDescent="0.25">
      <c r="A855" s="1" t="s">
        <v>195</v>
      </c>
      <c r="B855" s="2" t="s">
        <v>221</v>
      </c>
      <c r="C855" s="19">
        <v>45</v>
      </c>
      <c r="D855" s="3" t="s">
        <v>496</v>
      </c>
      <c r="E855" s="3" t="s">
        <v>9</v>
      </c>
      <c r="F855" s="23">
        <v>200476</v>
      </c>
      <c r="G855" s="15">
        <v>2010</v>
      </c>
      <c r="H855" s="15">
        <f>Table_7[[#This Row],[Listing Price (USD)]]/10000</f>
        <v>20.047599999999999</v>
      </c>
      <c r="I855" s="28">
        <f>Table_7[[#This Row],[Length 
(ft)]]</f>
        <v>45</v>
      </c>
      <c r="J855" s="28">
        <f>2020-Table_7[[#This Row],[Year]]</f>
        <v>10</v>
      </c>
      <c r="K855">
        <v>1276962685648.25</v>
      </c>
      <c r="L855">
        <v>26959.675436732599</v>
      </c>
      <c r="M855">
        <v>-0.32275301729970501</v>
      </c>
      <c r="N855">
        <v>-11.3254383222864</v>
      </c>
      <c r="O855">
        <v>37.57</v>
      </c>
      <c r="P855">
        <v>1072.0920000000001</v>
      </c>
      <c r="Q855">
        <v>63</v>
      </c>
      <c r="R855">
        <v>14.34</v>
      </c>
    </row>
    <row r="856" spans="1:18" x14ac:dyDescent="0.25">
      <c r="A856" s="1" t="s">
        <v>195</v>
      </c>
      <c r="B856" s="2" t="s">
        <v>221</v>
      </c>
      <c r="C856" s="19">
        <v>45</v>
      </c>
      <c r="D856" s="3" t="s">
        <v>496</v>
      </c>
      <c r="E856" s="3" t="s">
        <v>3</v>
      </c>
      <c r="F856" s="23">
        <v>203462</v>
      </c>
      <c r="G856" s="15">
        <v>2009</v>
      </c>
      <c r="H856" s="15">
        <f>Table_7[[#This Row],[Listing Price (USD)]]/10000</f>
        <v>20.3462</v>
      </c>
      <c r="I856" s="28">
        <f>Table_7[[#This Row],[Length 
(ft)]]</f>
        <v>45</v>
      </c>
      <c r="J856" s="28">
        <f>2020-Table_7[[#This Row],[Year]]</f>
        <v>11</v>
      </c>
      <c r="K856">
        <v>2639008701648.2598</v>
      </c>
      <c r="L856">
        <v>39055.282928075401</v>
      </c>
      <c r="M856">
        <v>0.47649885272508302</v>
      </c>
      <c r="N856">
        <v>-7.7845864916787102</v>
      </c>
      <c r="O856">
        <v>37.57</v>
      </c>
      <c r="P856">
        <v>1072.0920000000001</v>
      </c>
      <c r="Q856">
        <v>63</v>
      </c>
      <c r="R856">
        <v>14.34</v>
      </c>
    </row>
    <row r="857" spans="1:18" x14ac:dyDescent="0.25">
      <c r="A857" s="1" t="s">
        <v>195</v>
      </c>
      <c r="B857" s="2" t="s">
        <v>221</v>
      </c>
      <c r="C857" s="19">
        <v>45</v>
      </c>
      <c r="D857" s="3" t="s">
        <v>496</v>
      </c>
      <c r="E857" s="3" t="s">
        <v>9</v>
      </c>
      <c r="F857" s="23">
        <v>210142</v>
      </c>
      <c r="G857" s="15">
        <v>2011</v>
      </c>
      <c r="H857" s="15">
        <f>Table_7[[#This Row],[Listing Price (USD)]]/10000</f>
        <v>21.014199999999999</v>
      </c>
      <c r="I857" s="28">
        <f>Table_7[[#This Row],[Length 
(ft)]]</f>
        <v>45</v>
      </c>
      <c r="J857" s="28">
        <f>2020-Table_7[[#This Row],[Year]]</f>
        <v>9</v>
      </c>
      <c r="K857">
        <v>1276962685648.25</v>
      </c>
      <c r="L857">
        <v>26959.675436732599</v>
      </c>
      <c r="M857">
        <v>-0.32275301729970501</v>
      </c>
      <c r="N857">
        <v>-11.3254383222864</v>
      </c>
      <c r="O857">
        <v>37.57</v>
      </c>
      <c r="P857">
        <v>1072.0920000000001</v>
      </c>
      <c r="Q857">
        <v>63</v>
      </c>
      <c r="R857">
        <v>14.34</v>
      </c>
    </row>
    <row r="858" spans="1:18" x14ac:dyDescent="0.25">
      <c r="A858" s="1" t="s">
        <v>195</v>
      </c>
      <c r="B858" s="2" t="s">
        <v>221</v>
      </c>
      <c r="C858" s="19">
        <v>45</v>
      </c>
      <c r="D858" s="3" t="s">
        <v>496</v>
      </c>
      <c r="E858" s="3" t="s">
        <v>9</v>
      </c>
      <c r="F858" s="23">
        <v>212626</v>
      </c>
      <c r="G858" s="15">
        <v>2008</v>
      </c>
      <c r="H858" s="15">
        <f>Table_7[[#This Row],[Listing Price (USD)]]/10000</f>
        <v>21.262599999999999</v>
      </c>
      <c r="I858" s="28">
        <f>Table_7[[#This Row],[Length 
(ft)]]</f>
        <v>45</v>
      </c>
      <c r="J858" s="28">
        <f>2020-Table_7[[#This Row],[Year]]</f>
        <v>12</v>
      </c>
      <c r="K858">
        <v>1276962685648.25</v>
      </c>
      <c r="L858">
        <v>26959.675436732599</v>
      </c>
      <c r="M858">
        <v>-0.32275301729970501</v>
      </c>
      <c r="N858">
        <v>-11.3254383222864</v>
      </c>
      <c r="O858">
        <v>37.57</v>
      </c>
      <c r="P858">
        <v>1072.0920000000001</v>
      </c>
      <c r="Q858">
        <v>63</v>
      </c>
      <c r="R858">
        <v>14.34</v>
      </c>
    </row>
    <row r="859" spans="1:18" x14ac:dyDescent="0.25">
      <c r="A859" s="1" t="s">
        <v>195</v>
      </c>
      <c r="B859" s="2" t="s">
        <v>221</v>
      </c>
      <c r="C859" s="19">
        <v>45</v>
      </c>
      <c r="D859" s="3" t="s">
        <v>496</v>
      </c>
      <c r="E859" s="3" t="s">
        <v>19</v>
      </c>
      <c r="F859" s="23">
        <v>213192</v>
      </c>
      <c r="G859" s="15">
        <v>2011</v>
      </c>
      <c r="H859" s="15">
        <f>Table_7[[#This Row],[Listing Price (USD)]]/10000</f>
        <v>21.319199999999999</v>
      </c>
      <c r="I859" s="28">
        <f>Table_7[[#This Row],[Length 
(ft)]]</f>
        <v>45</v>
      </c>
      <c r="J859" s="28">
        <f>2020-Table_7[[#This Row],[Year]]</f>
        <v>9</v>
      </c>
      <c r="K859">
        <v>4200000000</v>
      </c>
      <c r="L859">
        <v>39553.199999999997</v>
      </c>
      <c r="M859">
        <v>4.0999999999999996</v>
      </c>
      <c r="N859">
        <v>-2.1</v>
      </c>
      <c r="O859">
        <v>37.57</v>
      </c>
      <c r="P859">
        <v>1072.0920000000001</v>
      </c>
      <c r="Q859">
        <v>63</v>
      </c>
      <c r="R859">
        <v>14.34</v>
      </c>
    </row>
    <row r="860" spans="1:18" x14ac:dyDescent="0.25">
      <c r="A860" s="1" t="s">
        <v>195</v>
      </c>
      <c r="B860" s="2" t="s">
        <v>221</v>
      </c>
      <c r="C860" s="19">
        <v>45</v>
      </c>
      <c r="D860" s="3" t="s">
        <v>495</v>
      </c>
      <c r="E860" s="3" t="s">
        <v>515</v>
      </c>
      <c r="F860" s="23">
        <v>240000</v>
      </c>
      <c r="G860" s="15">
        <v>2011</v>
      </c>
      <c r="H860" s="15">
        <f>Table_7[[#This Row],[Listing Price (USD)]]/10000</f>
        <v>24</v>
      </c>
      <c r="I860" s="28">
        <f>Table_7[[#This Row],[Length 
(ft)]]</f>
        <v>45</v>
      </c>
      <c r="J860" s="28">
        <f>2020-Table_7[[#This Row],[Year]]</f>
        <v>9</v>
      </c>
      <c r="K860">
        <v>410675000000</v>
      </c>
      <c r="L860">
        <v>66531.03</v>
      </c>
      <c r="M860">
        <v>1.23</v>
      </c>
      <c r="N860">
        <v>1.8</v>
      </c>
      <c r="O860">
        <v>37.57</v>
      </c>
      <c r="P860">
        <v>1072.0920000000001</v>
      </c>
      <c r="Q860">
        <v>63</v>
      </c>
      <c r="R860">
        <v>14.34</v>
      </c>
    </row>
    <row r="861" spans="1:18" x14ac:dyDescent="0.25">
      <c r="A861" s="1" t="s">
        <v>195</v>
      </c>
      <c r="B861" s="2" t="s">
        <v>221</v>
      </c>
      <c r="C861" s="19">
        <v>45</v>
      </c>
      <c r="D861" s="3" t="s">
        <v>495</v>
      </c>
      <c r="E861" s="3" t="s">
        <v>515</v>
      </c>
      <c r="F861" s="23">
        <v>245000</v>
      </c>
      <c r="G861" s="15">
        <v>2011</v>
      </c>
      <c r="H861" s="15">
        <f>Table_7[[#This Row],[Listing Price (USD)]]/10000</f>
        <v>24.5</v>
      </c>
      <c r="I861" s="28">
        <f>Table_7[[#This Row],[Length 
(ft)]]</f>
        <v>45</v>
      </c>
      <c r="J861" s="28">
        <f>2020-Table_7[[#This Row],[Year]]</f>
        <v>9</v>
      </c>
      <c r="K861">
        <v>410675000000</v>
      </c>
      <c r="L861">
        <v>66531.03</v>
      </c>
      <c r="M861">
        <v>1.23</v>
      </c>
      <c r="N861">
        <v>1.8</v>
      </c>
      <c r="O861">
        <v>37.57</v>
      </c>
      <c r="P861">
        <v>1072.0920000000001</v>
      </c>
      <c r="Q861">
        <v>63</v>
      </c>
      <c r="R861">
        <v>14.34</v>
      </c>
    </row>
    <row r="862" spans="1:18" x14ac:dyDescent="0.25">
      <c r="A862" s="1" t="s">
        <v>195</v>
      </c>
      <c r="B862" s="2" t="s">
        <v>221</v>
      </c>
      <c r="C862" s="19">
        <v>45</v>
      </c>
      <c r="D862" s="3" t="s">
        <v>495</v>
      </c>
      <c r="E862" s="3" t="s">
        <v>526</v>
      </c>
      <c r="F862" s="23">
        <v>249000</v>
      </c>
      <c r="G862" s="15">
        <v>2010</v>
      </c>
      <c r="H862" s="15">
        <f>Table_7[[#This Row],[Listing Price (USD)]]/10000</f>
        <v>24.9</v>
      </c>
      <c r="I862" s="28">
        <f>Table_7[[#This Row],[Length 
(ft)]]</f>
        <v>45</v>
      </c>
      <c r="J862" s="28">
        <f>2020-Table_7[[#This Row],[Year]]</f>
        <v>10</v>
      </c>
      <c r="K862">
        <v>4200000000</v>
      </c>
      <c r="L862">
        <v>39553.199999999997</v>
      </c>
      <c r="M862">
        <v>4.0999999999999996</v>
      </c>
      <c r="N862">
        <v>-2.1</v>
      </c>
      <c r="O862">
        <v>37.57</v>
      </c>
      <c r="P862">
        <v>1072.0920000000001</v>
      </c>
      <c r="Q862">
        <v>63</v>
      </c>
      <c r="R862">
        <v>14.34</v>
      </c>
    </row>
    <row r="863" spans="1:18" x14ac:dyDescent="0.25">
      <c r="A863" s="1" t="s">
        <v>195</v>
      </c>
      <c r="B863" s="2" t="s">
        <v>219</v>
      </c>
      <c r="C863" s="19">
        <v>45</v>
      </c>
      <c r="D863" s="3" t="s">
        <v>496</v>
      </c>
      <c r="E863" s="3" t="s">
        <v>24</v>
      </c>
      <c r="F863" s="23">
        <v>133651</v>
      </c>
      <c r="G863" s="15">
        <v>2007</v>
      </c>
      <c r="H863" s="15">
        <f>Table_7[[#This Row],[Listing Price (USD)]]/10000</f>
        <v>13.3651</v>
      </c>
      <c r="I863" s="28">
        <f>Table_7[[#This Row],[Length 
(ft)]]</f>
        <v>45</v>
      </c>
      <c r="J863" s="28">
        <f>2020-Table_7[[#This Row],[Year]]</f>
        <v>13</v>
      </c>
      <c r="K863">
        <v>1896755301518.1399</v>
      </c>
      <c r="L863">
        <v>31911.0357890017</v>
      </c>
      <c r="M863">
        <v>-0.13770757391656999</v>
      </c>
      <c r="N863">
        <v>-9.0399534112288507</v>
      </c>
      <c r="O863">
        <v>38.090000000000003</v>
      </c>
      <c r="P863">
        <v>1121.6020000000001</v>
      </c>
      <c r="Q863">
        <v>63</v>
      </c>
      <c r="R863">
        <v>14.34</v>
      </c>
    </row>
    <row r="864" spans="1:18" x14ac:dyDescent="0.25">
      <c r="A864" s="1" t="s">
        <v>195</v>
      </c>
      <c r="B864" s="3" t="s">
        <v>222</v>
      </c>
      <c r="C864" s="19">
        <v>46</v>
      </c>
      <c r="D864" s="3" t="s">
        <v>497</v>
      </c>
      <c r="E864" s="3" t="s">
        <v>370</v>
      </c>
      <c r="F864" s="23">
        <v>45000</v>
      </c>
      <c r="G864" s="15">
        <v>2016</v>
      </c>
      <c r="H864" s="15">
        <f>Table_7[[#This Row],[Listing Price (USD)]]/10000</f>
        <v>4.5</v>
      </c>
      <c r="I864" s="28">
        <f>Table_7[[#This Row],[Length 
(ft)]]</f>
        <v>46</v>
      </c>
      <c r="J864" s="28">
        <f>2020-Table_7[[#This Row],[Year]]</f>
        <v>4</v>
      </c>
      <c r="K864">
        <v>500000000</v>
      </c>
      <c r="L864">
        <v>34200</v>
      </c>
      <c r="M864">
        <v>1.1000000000000001</v>
      </c>
      <c r="N864">
        <v>2</v>
      </c>
      <c r="O864">
        <v>41.14</v>
      </c>
      <c r="P864">
        <v>1000.002</v>
      </c>
      <c r="Q864">
        <v>63</v>
      </c>
      <c r="R864">
        <v>14.73</v>
      </c>
    </row>
    <row r="865" spans="1:18" x14ac:dyDescent="0.25">
      <c r="A865" s="1" t="s">
        <v>195</v>
      </c>
      <c r="B865" s="2" t="s">
        <v>222</v>
      </c>
      <c r="C865" s="19">
        <v>46</v>
      </c>
      <c r="D865" s="3" t="s">
        <v>496</v>
      </c>
      <c r="E865" s="3" t="s">
        <v>31</v>
      </c>
      <c r="F865" s="23">
        <v>139690</v>
      </c>
      <c r="G865" s="15">
        <v>2014</v>
      </c>
      <c r="H865" s="15">
        <f>Table_7[[#This Row],[Listing Price (USD)]]/10000</f>
        <v>13.968999999999999</v>
      </c>
      <c r="I865" s="28">
        <f>Table_7[[#This Row],[Length 
(ft)]]</f>
        <v>46</v>
      </c>
      <c r="J865" s="28">
        <f>2020-Table_7[[#This Row],[Year]]</f>
        <v>6</v>
      </c>
      <c r="K865">
        <v>57472012426.685303</v>
      </c>
      <c r="L865">
        <v>14198.753959474399</v>
      </c>
      <c r="M865">
        <v>0.15481137456202801</v>
      </c>
      <c r="N865">
        <v>-8.5803430210621805</v>
      </c>
      <c r="O865">
        <v>41.14</v>
      </c>
      <c r="P865">
        <v>1000.002</v>
      </c>
      <c r="Q865">
        <v>63</v>
      </c>
      <c r="R865">
        <v>14.73</v>
      </c>
    </row>
    <row r="866" spans="1:18" x14ac:dyDescent="0.25">
      <c r="A866" s="1" t="s">
        <v>195</v>
      </c>
      <c r="B866" s="2" t="s">
        <v>222</v>
      </c>
      <c r="C866" s="19">
        <v>46</v>
      </c>
      <c r="D866" s="3" t="s">
        <v>496</v>
      </c>
      <c r="E866" s="3" t="s">
        <v>31</v>
      </c>
      <c r="F866" s="23">
        <v>144549</v>
      </c>
      <c r="G866" s="15">
        <v>2013</v>
      </c>
      <c r="H866" s="15">
        <f>Table_7[[#This Row],[Listing Price (USD)]]/10000</f>
        <v>14.4549</v>
      </c>
      <c r="I866" s="28">
        <f>Table_7[[#This Row],[Length 
(ft)]]</f>
        <v>46</v>
      </c>
      <c r="J866" s="28">
        <f>2020-Table_7[[#This Row],[Year]]</f>
        <v>7</v>
      </c>
      <c r="K866">
        <v>57472012426.685303</v>
      </c>
      <c r="L866">
        <v>14198.753959474399</v>
      </c>
      <c r="M866">
        <v>0.15481137456202801</v>
      </c>
      <c r="N866">
        <v>-8.5803430210621805</v>
      </c>
      <c r="O866">
        <v>41.14</v>
      </c>
      <c r="P866">
        <v>1000.002</v>
      </c>
      <c r="Q866">
        <v>63</v>
      </c>
      <c r="R866">
        <v>14.73</v>
      </c>
    </row>
    <row r="867" spans="1:18" x14ac:dyDescent="0.25">
      <c r="A867" s="1" t="s">
        <v>195</v>
      </c>
      <c r="B867" s="2" t="s">
        <v>222</v>
      </c>
      <c r="C867" s="19">
        <v>46</v>
      </c>
      <c r="D867" s="3" t="s">
        <v>496</v>
      </c>
      <c r="E867" s="3" t="s">
        <v>31</v>
      </c>
      <c r="F867" s="23">
        <v>145764</v>
      </c>
      <c r="G867" s="15">
        <v>2013</v>
      </c>
      <c r="H867" s="15">
        <f>Table_7[[#This Row],[Listing Price (USD)]]/10000</f>
        <v>14.5764</v>
      </c>
      <c r="I867" s="28">
        <f>Table_7[[#This Row],[Length 
(ft)]]</f>
        <v>46</v>
      </c>
      <c r="J867" s="28">
        <f>2020-Table_7[[#This Row],[Year]]</f>
        <v>7</v>
      </c>
      <c r="K867">
        <v>57472012426.685303</v>
      </c>
      <c r="L867">
        <v>14198.753959474399</v>
      </c>
      <c r="M867">
        <v>0.15481137456202801</v>
      </c>
      <c r="N867">
        <v>-8.5803430210621805</v>
      </c>
      <c r="O867">
        <v>41.14</v>
      </c>
      <c r="P867">
        <v>1000.002</v>
      </c>
      <c r="Q867">
        <v>63</v>
      </c>
      <c r="R867">
        <v>14.73</v>
      </c>
    </row>
    <row r="868" spans="1:18" x14ac:dyDescent="0.25">
      <c r="A868" s="1" t="s">
        <v>195</v>
      </c>
      <c r="B868" s="2" t="s">
        <v>222</v>
      </c>
      <c r="C868" s="19">
        <v>46</v>
      </c>
      <c r="D868" s="3" t="s">
        <v>496</v>
      </c>
      <c r="E868" s="3" t="s">
        <v>31</v>
      </c>
      <c r="F868" s="23">
        <v>156696</v>
      </c>
      <c r="G868" s="15">
        <v>2014</v>
      </c>
      <c r="H868" s="15">
        <f>Table_7[[#This Row],[Listing Price (USD)]]/10000</f>
        <v>15.669600000000001</v>
      </c>
      <c r="I868" s="28">
        <f>Table_7[[#This Row],[Length 
(ft)]]</f>
        <v>46</v>
      </c>
      <c r="J868" s="28">
        <f>2020-Table_7[[#This Row],[Year]]</f>
        <v>6</v>
      </c>
      <c r="K868">
        <v>57472012426.685303</v>
      </c>
      <c r="L868">
        <v>14198.753959474399</v>
      </c>
      <c r="M868">
        <v>0.15481137456202801</v>
      </c>
      <c r="N868">
        <v>-8.5803430210621805</v>
      </c>
      <c r="O868">
        <v>41.14</v>
      </c>
      <c r="P868">
        <v>1000.002</v>
      </c>
      <c r="Q868">
        <v>63</v>
      </c>
      <c r="R868">
        <v>14.73</v>
      </c>
    </row>
    <row r="869" spans="1:18" x14ac:dyDescent="0.25">
      <c r="A869" s="1" t="s">
        <v>195</v>
      </c>
      <c r="B869" s="2" t="s">
        <v>222</v>
      </c>
      <c r="C869" s="19">
        <v>46</v>
      </c>
      <c r="D869" s="3" t="s">
        <v>496</v>
      </c>
      <c r="E869" s="3" t="s">
        <v>31</v>
      </c>
      <c r="F869" s="23">
        <v>168843</v>
      </c>
      <c r="G869" s="15">
        <v>2014</v>
      </c>
      <c r="H869" s="15">
        <f>Table_7[[#This Row],[Listing Price (USD)]]/10000</f>
        <v>16.8843</v>
      </c>
      <c r="I869" s="28">
        <f>Table_7[[#This Row],[Length 
(ft)]]</f>
        <v>46</v>
      </c>
      <c r="J869" s="28">
        <f>2020-Table_7[[#This Row],[Year]]</f>
        <v>6</v>
      </c>
      <c r="K869">
        <v>57472012426.685303</v>
      </c>
      <c r="L869">
        <v>14198.753959474399</v>
      </c>
      <c r="M869">
        <v>0.15481137456202801</v>
      </c>
      <c r="N869">
        <v>-8.5803430210621805</v>
      </c>
      <c r="O869">
        <v>41.14</v>
      </c>
      <c r="P869">
        <v>1000.002</v>
      </c>
      <c r="Q869">
        <v>63</v>
      </c>
      <c r="R869">
        <v>14.73</v>
      </c>
    </row>
    <row r="870" spans="1:18" x14ac:dyDescent="0.25">
      <c r="A870" s="1" t="s">
        <v>195</v>
      </c>
      <c r="B870" s="2" t="s">
        <v>222</v>
      </c>
      <c r="C870" s="19">
        <v>46</v>
      </c>
      <c r="D870" s="3" t="s">
        <v>496</v>
      </c>
      <c r="E870" s="3" t="s">
        <v>31</v>
      </c>
      <c r="F870" s="23">
        <v>180382</v>
      </c>
      <c r="G870" s="15">
        <v>2014</v>
      </c>
      <c r="H870" s="15">
        <f>Table_7[[#This Row],[Listing Price (USD)]]/10000</f>
        <v>18.0382</v>
      </c>
      <c r="I870" s="28">
        <f>Table_7[[#This Row],[Length 
(ft)]]</f>
        <v>46</v>
      </c>
      <c r="J870" s="28">
        <f>2020-Table_7[[#This Row],[Year]]</f>
        <v>6</v>
      </c>
      <c r="K870">
        <v>57472012426.685303</v>
      </c>
      <c r="L870">
        <v>14198.753959474399</v>
      </c>
      <c r="M870">
        <v>0.15481137456202801</v>
      </c>
      <c r="N870">
        <v>-8.5803430210621805</v>
      </c>
      <c r="O870">
        <v>41.14</v>
      </c>
      <c r="P870">
        <v>1000.002</v>
      </c>
      <c r="Q870">
        <v>63</v>
      </c>
      <c r="R870">
        <v>14.73</v>
      </c>
    </row>
    <row r="871" spans="1:18" x14ac:dyDescent="0.25">
      <c r="A871" s="1" t="s">
        <v>195</v>
      </c>
      <c r="B871" s="2" t="s">
        <v>222</v>
      </c>
      <c r="C871" s="19">
        <v>46</v>
      </c>
      <c r="D871" s="3" t="s">
        <v>496</v>
      </c>
      <c r="E871" s="3" t="s">
        <v>3</v>
      </c>
      <c r="F871" s="23">
        <v>182204</v>
      </c>
      <c r="G871" s="15">
        <v>2014</v>
      </c>
      <c r="H871" s="15">
        <f>Table_7[[#This Row],[Listing Price (USD)]]/10000</f>
        <v>18.220400000000001</v>
      </c>
      <c r="I871" s="28">
        <f>Table_7[[#This Row],[Length 
(ft)]]</f>
        <v>46</v>
      </c>
      <c r="J871" s="28">
        <f>2020-Table_7[[#This Row],[Year]]</f>
        <v>6</v>
      </c>
      <c r="K871">
        <v>2639008701648.2598</v>
      </c>
      <c r="L871">
        <v>39055.282928075401</v>
      </c>
      <c r="M871">
        <v>0.47649885272508302</v>
      </c>
      <c r="N871">
        <v>-7.7845864916787102</v>
      </c>
      <c r="O871">
        <v>41.14</v>
      </c>
      <c r="P871">
        <v>1000.002</v>
      </c>
      <c r="Q871">
        <v>63</v>
      </c>
      <c r="R871">
        <v>14.73</v>
      </c>
    </row>
    <row r="872" spans="1:18" x14ac:dyDescent="0.25">
      <c r="A872" s="1" t="s">
        <v>391</v>
      </c>
      <c r="B872" s="3" t="s">
        <v>222</v>
      </c>
      <c r="C872" s="19">
        <v>46</v>
      </c>
      <c r="D872" s="3" t="s">
        <v>497</v>
      </c>
      <c r="E872" s="3" t="s">
        <v>506</v>
      </c>
      <c r="F872" s="23">
        <v>182271</v>
      </c>
      <c r="G872" s="15">
        <v>2015</v>
      </c>
      <c r="H872" s="15">
        <f>Table_7[[#This Row],[Listing Price (USD)]]/10000</f>
        <v>18.2271</v>
      </c>
      <c r="I872" s="28">
        <f>Table_7[[#This Row],[Length 
(ft)]]</f>
        <v>46</v>
      </c>
      <c r="J872" s="28">
        <f>2020-Table_7[[#This Row],[Year]]</f>
        <v>5</v>
      </c>
      <c r="K872">
        <v>1370281481.4814799</v>
      </c>
      <c r="L872">
        <v>14787.6357752901</v>
      </c>
      <c r="M872">
        <v>0.62598970704669799</v>
      </c>
      <c r="N872">
        <v>-20.1923705722071</v>
      </c>
      <c r="O872">
        <v>41.14</v>
      </c>
      <c r="P872">
        <v>1000.002</v>
      </c>
      <c r="Q872">
        <v>63</v>
      </c>
      <c r="R872">
        <v>14.73</v>
      </c>
    </row>
    <row r="873" spans="1:18" x14ac:dyDescent="0.25">
      <c r="A873" s="1" t="s">
        <v>195</v>
      </c>
      <c r="B873" s="2" t="s">
        <v>222</v>
      </c>
      <c r="C873" s="19">
        <v>46</v>
      </c>
      <c r="D873" s="3" t="s">
        <v>496</v>
      </c>
      <c r="E873" s="3" t="s">
        <v>9</v>
      </c>
      <c r="F873" s="23">
        <v>188278</v>
      </c>
      <c r="G873" s="15">
        <v>2013</v>
      </c>
      <c r="H873" s="15">
        <f>Table_7[[#This Row],[Listing Price (USD)]]/10000</f>
        <v>18.8278</v>
      </c>
      <c r="I873" s="28">
        <f>Table_7[[#This Row],[Length 
(ft)]]</f>
        <v>46</v>
      </c>
      <c r="J873" s="28">
        <f>2020-Table_7[[#This Row],[Year]]</f>
        <v>7</v>
      </c>
      <c r="K873">
        <v>1276962685648.25</v>
      </c>
      <c r="L873">
        <v>26959.675436732599</v>
      </c>
      <c r="M873">
        <v>-0.32275301729970501</v>
      </c>
      <c r="N873">
        <v>-11.3254383222864</v>
      </c>
      <c r="O873">
        <v>41.14</v>
      </c>
      <c r="P873">
        <v>1000.002</v>
      </c>
      <c r="Q873">
        <v>63</v>
      </c>
      <c r="R873">
        <v>14.73</v>
      </c>
    </row>
    <row r="874" spans="1:18" x14ac:dyDescent="0.25">
      <c r="A874" s="1" t="s">
        <v>195</v>
      </c>
      <c r="B874" s="2" t="s">
        <v>222</v>
      </c>
      <c r="C874" s="19">
        <v>46</v>
      </c>
      <c r="D874" s="3" t="s">
        <v>496</v>
      </c>
      <c r="E874" s="3" t="s">
        <v>18</v>
      </c>
      <c r="F874" s="23">
        <v>194351</v>
      </c>
      <c r="G874" s="15">
        <v>2013</v>
      </c>
      <c r="H874" s="15">
        <f>Table_7[[#This Row],[Listing Price (USD)]]/10000</f>
        <v>19.435099999999998</v>
      </c>
      <c r="I874" s="28">
        <f>Table_7[[#This Row],[Length 
(ft)]]</f>
        <v>46</v>
      </c>
      <c r="J874" s="28">
        <f>2020-Table_7[[#This Row],[Year]]</f>
        <v>7</v>
      </c>
      <c r="K874">
        <v>188925995936.80701</v>
      </c>
      <c r="L874">
        <v>17658.947301119199</v>
      </c>
      <c r="M874">
        <v>-1.2479835558140799</v>
      </c>
      <c r="N874">
        <v>-9.0040436420214593</v>
      </c>
      <c r="O874">
        <v>41.14</v>
      </c>
      <c r="P874">
        <v>1000.002</v>
      </c>
      <c r="Q874">
        <v>63</v>
      </c>
      <c r="R874">
        <v>14.73</v>
      </c>
    </row>
    <row r="875" spans="1:18" x14ac:dyDescent="0.25">
      <c r="A875" s="1" t="s">
        <v>195</v>
      </c>
      <c r="B875" s="2" t="s">
        <v>222</v>
      </c>
      <c r="C875" s="19">
        <v>46</v>
      </c>
      <c r="D875" s="3" t="s">
        <v>496</v>
      </c>
      <c r="E875" s="3" t="s">
        <v>18</v>
      </c>
      <c r="F875" s="23">
        <v>204069</v>
      </c>
      <c r="G875" s="15">
        <v>2013</v>
      </c>
      <c r="H875" s="15">
        <f>Table_7[[#This Row],[Listing Price (USD)]]/10000</f>
        <v>20.4069</v>
      </c>
      <c r="I875" s="28">
        <f>Table_7[[#This Row],[Length 
(ft)]]</f>
        <v>46</v>
      </c>
      <c r="J875" s="28">
        <f>2020-Table_7[[#This Row],[Year]]</f>
        <v>7</v>
      </c>
      <c r="K875">
        <v>188925995936.80701</v>
      </c>
      <c r="L875">
        <v>17658.947301119199</v>
      </c>
      <c r="M875">
        <v>-1.2479835558140799</v>
      </c>
      <c r="N875">
        <v>-9.0040436420214593</v>
      </c>
      <c r="O875">
        <v>41.14</v>
      </c>
      <c r="P875">
        <v>1000.002</v>
      </c>
      <c r="Q875">
        <v>63</v>
      </c>
      <c r="R875">
        <v>14.73</v>
      </c>
    </row>
    <row r="876" spans="1:18" x14ac:dyDescent="0.25">
      <c r="A876" s="1" t="s">
        <v>195</v>
      </c>
      <c r="B876" s="2" t="s">
        <v>222</v>
      </c>
      <c r="C876" s="19">
        <v>46</v>
      </c>
      <c r="D876" s="3" t="s">
        <v>496</v>
      </c>
      <c r="E876" s="3" t="s">
        <v>9</v>
      </c>
      <c r="F876" s="23">
        <v>210142</v>
      </c>
      <c r="G876" s="15">
        <v>2015</v>
      </c>
      <c r="H876" s="15">
        <f>Table_7[[#This Row],[Listing Price (USD)]]/10000</f>
        <v>21.014199999999999</v>
      </c>
      <c r="I876" s="28">
        <f>Table_7[[#This Row],[Length 
(ft)]]</f>
        <v>46</v>
      </c>
      <c r="J876" s="28">
        <f>2020-Table_7[[#This Row],[Year]]</f>
        <v>5</v>
      </c>
      <c r="K876">
        <v>1276962685648.25</v>
      </c>
      <c r="L876">
        <v>26959.675436732599</v>
      </c>
      <c r="M876">
        <v>-0.32275301729970501</v>
      </c>
      <c r="N876">
        <v>-11.3254383222864</v>
      </c>
      <c r="O876">
        <v>41.14</v>
      </c>
      <c r="P876">
        <v>1000.002</v>
      </c>
      <c r="Q876">
        <v>63</v>
      </c>
      <c r="R876">
        <v>14.73</v>
      </c>
    </row>
    <row r="877" spans="1:18" x14ac:dyDescent="0.25">
      <c r="A877" s="1" t="s">
        <v>195</v>
      </c>
      <c r="B877" s="2" t="s">
        <v>222</v>
      </c>
      <c r="C877" s="19">
        <v>46</v>
      </c>
      <c r="D877" s="3" t="s">
        <v>496</v>
      </c>
      <c r="E877" s="3" t="s">
        <v>18</v>
      </c>
      <c r="F877" s="23">
        <v>212572</v>
      </c>
      <c r="G877" s="15">
        <v>2015</v>
      </c>
      <c r="H877" s="15">
        <f>Table_7[[#This Row],[Listing Price (USD)]]/10000</f>
        <v>21.257200000000001</v>
      </c>
      <c r="I877" s="28">
        <f>Table_7[[#This Row],[Length 
(ft)]]</f>
        <v>46</v>
      </c>
      <c r="J877" s="28">
        <f>2020-Table_7[[#This Row],[Year]]</f>
        <v>5</v>
      </c>
      <c r="K877">
        <v>188925995936.80701</v>
      </c>
      <c r="L877">
        <v>17658.947301119199</v>
      </c>
      <c r="M877">
        <v>-1.2479835558140799</v>
      </c>
      <c r="N877">
        <v>-9.0040436420214593</v>
      </c>
      <c r="O877">
        <v>41.14</v>
      </c>
      <c r="P877">
        <v>1000.002</v>
      </c>
      <c r="Q877">
        <v>63</v>
      </c>
      <c r="R877">
        <v>14.73</v>
      </c>
    </row>
    <row r="878" spans="1:18" x14ac:dyDescent="0.25">
      <c r="A878" s="1" t="s">
        <v>195</v>
      </c>
      <c r="B878" s="2" t="s">
        <v>222</v>
      </c>
      <c r="C878" s="19">
        <v>46</v>
      </c>
      <c r="D878" s="3" t="s">
        <v>496</v>
      </c>
      <c r="E878" s="3" t="s">
        <v>31</v>
      </c>
      <c r="F878" s="23">
        <v>217127</v>
      </c>
      <c r="G878" s="15">
        <v>2014</v>
      </c>
      <c r="H878" s="15">
        <f>Table_7[[#This Row],[Listing Price (USD)]]/10000</f>
        <v>21.712700000000002</v>
      </c>
      <c r="I878" s="28">
        <f>Table_7[[#This Row],[Length 
(ft)]]</f>
        <v>46</v>
      </c>
      <c r="J878" s="28">
        <f>2020-Table_7[[#This Row],[Year]]</f>
        <v>6</v>
      </c>
      <c r="K878">
        <v>57472012426.685303</v>
      </c>
      <c r="L878">
        <v>14198.753959474399</v>
      </c>
      <c r="M878">
        <v>0.15481137456202801</v>
      </c>
      <c r="N878">
        <v>-8.5803430210621805</v>
      </c>
      <c r="O878">
        <v>41.14</v>
      </c>
      <c r="P878">
        <v>1000.002</v>
      </c>
      <c r="Q878">
        <v>63</v>
      </c>
      <c r="R878">
        <v>14.73</v>
      </c>
    </row>
    <row r="879" spans="1:18" x14ac:dyDescent="0.25">
      <c r="A879" s="1" t="s">
        <v>195</v>
      </c>
      <c r="B879" s="2" t="s">
        <v>222</v>
      </c>
      <c r="C879" s="19">
        <v>46</v>
      </c>
      <c r="D879" s="3" t="s">
        <v>496</v>
      </c>
      <c r="E879" s="3" t="s">
        <v>31</v>
      </c>
      <c r="F879" s="23">
        <v>217431</v>
      </c>
      <c r="G879" s="15">
        <v>2014</v>
      </c>
      <c r="H879" s="15">
        <f>Table_7[[#This Row],[Listing Price (USD)]]/10000</f>
        <v>21.743099999999998</v>
      </c>
      <c r="I879" s="28">
        <f>Table_7[[#This Row],[Length 
(ft)]]</f>
        <v>46</v>
      </c>
      <c r="J879" s="28">
        <f>2020-Table_7[[#This Row],[Year]]</f>
        <v>6</v>
      </c>
      <c r="K879">
        <v>57472012426.685303</v>
      </c>
      <c r="L879">
        <v>14198.753959474399</v>
      </c>
      <c r="M879">
        <v>0.15481137456202801</v>
      </c>
      <c r="N879">
        <v>-8.5803430210621805</v>
      </c>
      <c r="O879">
        <v>41.14</v>
      </c>
      <c r="P879">
        <v>1000.002</v>
      </c>
      <c r="Q879">
        <v>63</v>
      </c>
      <c r="R879">
        <v>14.73</v>
      </c>
    </row>
    <row r="880" spans="1:18" x14ac:dyDescent="0.25">
      <c r="A880" s="1" t="s">
        <v>195</v>
      </c>
      <c r="B880" s="2" t="s">
        <v>222</v>
      </c>
      <c r="C880" s="19">
        <v>46</v>
      </c>
      <c r="D880" s="3" t="s">
        <v>496</v>
      </c>
      <c r="E880" s="3" t="s">
        <v>9</v>
      </c>
      <c r="F880" s="23">
        <v>217431</v>
      </c>
      <c r="G880" s="15">
        <v>2013</v>
      </c>
      <c r="H880" s="15">
        <f>Table_7[[#This Row],[Listing Price (USD)]]/10000</f>
        <v>21.743099999999998</v>
      </c>
      <c r="I880" s="28">
        <f>Table_7[[#This Row],[Length 
(ft)]]</f>
        <v>46</v>
      </c>
      <c r="J880" s="28">
        <f>2020-Table_7[[#This Row],[Year]]</f>
        <v>7</v>
      </c>
      <c r="K880">
        <v>1276962685648.25</v>
      </c>
      <c r="L880">
        <v>26959.675436732599</v>
      </c>
      <c r="M880">
        <v>-0.32275301729970501</v>
      </c>
      <c r="N880">
        <v>-11.3254383222864</v>
      </c>
      <c r="O880">
        <v>41.14</v>
      </c>
      <c r="P880">
        <v>1000.002</v>
      </c>
      <c r="Q880">
        <v>63</v>
      </c>
      <c r="R880">
        <v>14.73</v>
      </c>
    </row>
    <row r="881" spans="1:18" x14ac:dyDescent="0.25">
      <c r="A881" s="1" t="s">
        <v>195</v>
      </c>
      <c r="B881" s="2" t="s">
        <v>222</v>
      </c>
      <c r="C881" s="19">
        <v>46</v>
      </c>
      <c r="D881" s="3" t="s">
        <v>496</v>
      </c>
      <c r="E881" s="3" t="s">
        <v>24</v>
      </c>
      <c r="F881" s="23">
        <v>224719</v>
      </c>
      <c r="G881" s="15">
        <v>2014</v>
      </c>
      <c r="H881" s="15">
        <f>Table_7[[#This Row],[Listing Price (USD)]]/10000</f>
        <v>22.471900000000002</v>
      </c>
      <c r="I881" s="28">
        <f>Table_7[[#This Row],[Length 
(ft)]]</f>
        <v>46</v>
      </c>
      <c r="J881" s="28">
        <f>2020-Table_7[[#This Row],[Year]]</f>
        <v>6</v>
      </c>
      <c r="K881">
        <v>1896755301518.1399</v>
      </c>
      <c r="L881">
        <v>31911.0357890017</v>
      </c>
      <c r="M881">
        <v>-0.13770757391656999</v>
      </c>
      <c r="N881">
        <v>-9.0399534112288507</v>
      </c>
      <c r="O881">
        <v>41.14</v>
      </c>
      <c r="P881">
        <v>1000.002</v>
      </c>
      <c r="Q881">
        <v>63</v>
      </c>
      <c r="R881">
        <v>14.73</v>
      </c>
    </row>
    <row r="882" spans="1:18" x14ac:dyDescent="0.25">
      <c r="A882" s="1" t="s">
        <v>195</v>
      </c>
      <c r="B882" s="2" t="s">
        <v>222</v>
      </c>
      <c r="C882" s="19">
        <v>46</v>
      </c>
      <c r="D882" s="3" t="s">
        <v>496</v>
      </c>
      <c r="E882" s="3" t="s">
        <v>24</v>
      </c>
      <c r="F882" s="23">
        <v>230792</v>
      </c>
      <c r="G882" s="15">
        <v>2013</v>
      </c>
      <c r="H882" s="15">
        <f>Table_7[[#This Row],[Listing Price (USD)]]/10000</f>
        <v>23.0792</v>
      </c>
      <c r="I882" s="28">
        <f>Table_7[[#This Row],[Length 
(ft)]]</f>
        <v>46</v>
      </c>
      <c r="J882" s="28">
        <f>2020-Table_7[[#This Row],[Year]]</f>
        <v>7</v>
      </c>
      <c r="K882">
        <v>1896755301518.1399</v>
      </c>
      <c r="L882">
        <v>31911.0357890017</v>
      </c>
      <c r="M882">
        <v>-0.13770757391656999</v>
      </c>
      <c r="N882">
        <v>-9.0399534112288507</v>
      </c>
      <c r="O882">
        <v>41.14</v>
      </c>
      <c r="P882">
        <v>1000.002</v>
      </c>
      <c r="Q882">
        <v>63</v>
      </c>
      <c r="R882">
        <v>14.73</v>
      </c>
    </row>
    <row r="883" spans="1:18" x14ac:dyDescent="0.25">
      <c r="A883" s="1" t="s">
        <v>195</v>
      </c>
      <c r="B883" s="2" t="s">
        <v>222</v>
      </c>
      <c r="C883" s="19">
        <v>46</v>
      </c>
      <c r="D883" s="3" t="s">
        <v>496</v>
      </c>
      <c r="E883" s="3" t="s">
        <v>31</v>
      </c>
      <c r="F883" s="23">
        <v>236744</v>
      </c>
      <c r="G883" s="15">
        <v>2014</v>
      </c>
      <c r="H883" s="15">
        <f>Table_7[[#This Row],[Listing Price (USD)]]/10000</f>
        <v>23.674399999999999</v>
      </c>
      <c r="I883" s="28">
        <f>Table_7[[#This Row],[Length 
(ft)]]</f>
        <v>46</v>
      </c>
      <c r="J883" s="28">
        <f>2020-Table_7[[#This Row],[Year]]</f>
        <v>6</v>
      </c>
      <c r="K883">
        <v>57472012426.685303</v>
      </c>
      <c r="L883">
        <v>14198.753959474399</v>
      </c>
      <c r="M883">
        <v>0.15481137456202801</v>
      </c>
      <c r="N883">
        <v>-8.5803430210621805</v>
      </c>
      <c r="O883">
        <v>41.14</v>
      </c>
      <c r="P883">
        <v>1000.002</v>
      </c>
      <c r="Q883">
        <v>63</v>
      </c>
      <c r="R883">
        <v>14.73</v>
      </c>
    </row>
    <row r="884" spans="1:18" x14ac:dyDescent="0.25">
      <c r="A884" s="1" t="s">
        <v>195</v>
      </c>
      <c r="B884" s="2" t="s">
        <v>222</v>
      </c>
      <c r="C884" s="19">
        <v>46</v>
      </c>
      <c r="D884" s="3" t="s">
        <v>496</v>
      </c>
      <c r="E884" s="3" t="s">
        <v>9</v>
      </c>
      <c r="F884" s="23">
        <v>241725</v>
      </c>
      <c r="G884" s="15">
        <v>2012</v>
      </c>
      <c r="H884" s="15">
        <f>Table_7[[#This Row],[Listing Price (USD)]]/10000</f>
        <v>24.172499999999999</v>
      </c>
      <c r="I884" s="28">
        <f>Table_7[[#This Row],[Length 
(ft)]]</f>
        <v>46</v>
      </c>
      <c r="J884" s="28">
        <f>2020-Table_7[[#This Row],[Year]]</f>
        <v>8</v>
      </c>
      <c r="K884">
        <v>1276962685648.25</v>
      </c>
      <c r="L884">
        <v>26959.675436732599</v>
      </c>
      <c r="M884">
        <v>-0.32275301729970501</v>
      </c>
      <c r="N884">
        <v>-11.3254383222864</v>
      </c>
      <c r="O884">
        <v>41.14</v>
      </c>
      <c r="P884">
        <v>1000.002</v>
      </c>
      <c r="Q884">
        <v>63</v>
      </c>
      <c r="R884">
        <v>14.73</v>
      </c>
    </row>
    <row r="885" spans="1:18" x14ac:dyDescent="0.25">
      <c r="A885" s="1" t="s">
        <v>195</v>
      </c>
      <c r="B885" s="2" t="s">
        <v>222</v>
      </c>
      <c r="C885" s="19">
        <v>46</v>
      </c>
      <c r="D885" s="3" t="s">
        <v>496</v>
      </c>
      <c r="E885" s="3" t="s">
        <v>31</v>
      </c>
      <c r="F885" s="23">
        <v>242818</v>
      </c>
      <c r="G885" s="15">
        <v>2014</v>
      </c>
      <c r="H885" s="15">
        <f>Table_7[[#This Row],[Listing Price (USD)]]/10000</f>
        <v>24.2818</v>
      </c>
      <c r="I885" s="28">
        <f>Table_7[[#This Row],[Length 
(ft)]]</f>
        <v>46</v>
      </c>
      <c r="J885" s="28">
        <f>2020-Table_7[[#This Row],[Year]]</f>
        <v>6</v>
      </c>
      <c r="K885">
        <v>57472012426.685303</v>
      </c>
      <c r="L885">
        <v>14198.753959474399</v>
      </c>
      <c r="M885">
        <v>0.15481137456202801</v>
      </c>
      <c r="N885">
        <v>-8.5803430210621805</v>
      </c>
      <c r="O885">
        <v>41.14</v>
      </c>
      <c r="P885">
        <v>1000.002</v>
      </c>
      <c r="Q885">
        <v>63</v>
      </c>
      <c r="R885">
        <v>14.73</v>
      </c>
    </row>
    <row r="886" spans="1:18" x14ac:dyDescent="0.25">
      <c r="A886" s="1" t="s">
        <v>195</v>
      </c>
      <c r="B886" s="2" t="s">
        <v>222</v>
      </c>
      <c r="C886" s="19">
        <v>46</v>
      </c>
      <c r="D886" s="3" t="s">
        <v>496</v>
      </c>
      <c r="E886" s="3" t="s">
        <v>9</v>
      </c>
      <c r="F886" s="23">
        <v>262982</v>
      </c>
      <c r="G886" s="15">
        <v>2013</v>
      </c>
      <c r="H886" s="15">
        <f>Table_7[[#This Row],[Listing Price (USD)]]/10000</f>
        <v>26.298200000000001</v>
      </c>
      <c r="I886" s="28">
        <f>Table_7[[#This Row],[Length 
(ft)]]</f>
        <v>46</v>
      </c>
      <c r="J886" s="28">
        <f>2020-Table_7[[#This Row],[Year]]</f>
        <v>7</v>
      </c>
      <c r="K886">
        <v>1276962685648.25</v>
      </c>
      <c r="L886">
        <v>26959.675436732599</v>
      </c>
      <c r="M886">
        <v>-0.32275301729970501</v>
      </c>
      <c r="N886">
        <v>-11.3254383222864</v>
      </c>
      <c r="O886">
        <v>41.14</v>
      </c>
      <c r="P886">
        <v>1000.002</v>
      </c>
      <c r="Q886">
        <v>63</v>
      </c>
      <c r="R886">
        <v>14.73</v>
      </c>
    </row>
    <row r="887" spans="1:18" x14ac:dyDescent="0.25">
      <c r="A887" s="1" t="s">
        <v>195</v>
      </c>
      <c r="B887" s="2" t="s">
        <v>222</v>
      </c>
      <c r="C887" s="19">
        <v>46</v>
      </c>
      <c r="D887" s="3" t="s">
        <v>496</v>
      </c>
      <c r="E887" s="3" t="s">
        <v>19</v>
      </c>
      <c r="F887" s="23">
        <v>293110</v>
      </c>
      <c r="G887" s="15">
        <v>2014</v>
      </c>
      <c r="H887" s="15">
        <f>Table_7[[#This Row],[Listing Price (USD)]]/10000</f>
        <v>29.311</v>
      </c>
      <c r="I887" s="28">
        <f>Table_7[[#This Row],[Length 
(ft)]]</f>
        <v>46</v>
      </c>
      <c r="J887" s="28">
        <f>2020-Table_7[[#This Row],[Year]]</f>
        <v>6</v>
      </c>
      <c r="K887">
        <v>4200000000</v>
      </c>
      <c r="L887">
        <v>39553.199999999997</v>
      </c>
      <c r="M887">
        <v>4.0999999999999996</v>
      </c>
      <c r="N887">
        <v>-2.1</v>
      </c>
      <c r="O887">
        <v>41.14</v>
      </c>
      <c r="P887">
        <v>1000.002</v>
      </c>
      <c r="Q887">
        <v>63</v>
      </c>
      <c r="R887">
        <v>14.73</v>
      </c>
    </row>
    <row r="888" spans="1:18" x14ac:dyDescent="0.25">
      <c r="A888" s="1" t="s">
        <v>391</v>
      </c>
      <c r="B888" s="3" t="s">
        <v>222</v>
      </c>
      <c r="C888" s="19">
        <v>46</v>
      </c>
      <c r="D888" s="3" t="s">
        <v>497</v>
      </c>
      <c r="E888" s="3" t="s">
        <v>558</v>
      </c>
      <c r="F888" s="23">
        <v>295000</v>
      </c>
      <c r="G888" s="15">
        <v>2015</v>
      </c>
      <c r="H888" s="15">
        <f>Table_7[[#This Row],[Listing Price (USD)]]/10000</f>
        <v>29.5</v>
      </c>
      <c r="I888" s="28">
        <f>Table_7[[#This Row],[Length 
(ft)]]</f>
        <v>46</v>
      </c>
      <c r="J888" s="28">
        <f>2020-Table_7[[#This Row],[Year]]</f>
        <v>5</v>
      </c>
      <c r="K888">
        <v>1190000000</v>
      </c>
      <c r="L888">
        <v>28988.3</v>
      </c>
      <c r="M888">
        <v>6.5</v>
      </c>
      <c r="N888">
        <v>-6.6</v>
      </c>
      <c r="O888">
        <v>41.14</v>
      </c>
      <c r="P888">
        <v>1000.002</v>
      </c>
      <c r="Q888">
        <v>63</v>
      </c>
      <c r="R888">
        <v>14.73</v>
      </c>
    </row>
    <row r="889" spans="1:18" x14ac:dyDescent="0.25">
      <c r="A889" s="1" t="s">
        <v>195</v>
      </c>
      <c r="B889" s="2" t="s">
        <v>225</v>
      </c>
      <c r="C889" s="19">
        <v>49</v>
      </c>
      <c r="D889" s="3" t="s">
        <v>496</v>
      </c>
      <c r="E889" s="3" t="s">
        <v>18</v>
      </c>
      <c r="F889" s="23">
        <v>115396</v>
      </c>
      <c r="G889" s="15">
        <v>2006</v>
      </c>
      <c r="H889" s="15">
        <f>Table_7[[#This Row],[Listing Price (USD)]]/10000</f>
        <v>11.5396</v>
      </c>
      <c r="I889" s="28">
        <f>Table_7[[#This Row],[Length 
(ft)]]</f>
        <v>49</v>
      </c>
      <c r="J889" s="28">
        <f>2020-Table_7[[#This Row],[Year]]</f>
        <v>14</v>
      </c>
      <c r="K889">
        <v>188925995936.80701</v>
      </c>
      <c r="L889">
        <v>17658.947301119199</v>
      </c>
      <c r="M889">
        <v>-1.2479835558140799</v>
      </c>
      <c r="N889">
        <v>-9.0040436420214593</v>
      </c>
      <c r="O889">
        <v>42.33</v>
      </c>
      <c r="P889">
        <v>1005.002</v>
      </c>
      <c r="Q889">
        <v>63</v>
      </c>
      <c r="R889">
        <v>14.75</v>
      </c>
    </row>
    <row r="890" spans="1:18" x14ac:dyDescent="0.25">
      <c r="A890" s="1" t="s">
        <v>195</v>
      </c>
      <c r="B890" s="2" t="s">
        <v>225</v>
      </c>
      <c r="C890" s="19">
        <v>49</v>
      </c>
      <c r="D890" s="3" t="s">
        <v>496</v>
      </c>
      <c r="E890" s="3" t="s">
        <v>18</v>
      </c>
      <c r="F890" s="23">
        <v>139690</v>
      </c>
      <c r="G890" s="15">
        <v>2005</v>
      </c>
      <c r="H890" s="15">
        <f>Table_7[[#This Row],[Listing Price (USD)]]/10000</f>
        <v>13.968999999999999</v>
      </c>
      <c r="I890" s="28">
        <f>Table_7[[#This Row],[Length 
(ft)]]</f>
        <v>49</v>
      </c>
      <c r="J890" s="28">
        <f>2020-Table_7[[#This Row],[Year]]</f>
        <v>15</v>
      </c>
      <c r="K890">
        <v>188925995936.80701</v>
      </c>
      <c r="L890">
        <v>17658.947301119199</v>
      </c>
      <c r="M890">
        <v>-1.2479835558140799</v>
      </c>
      <c r="N890">
        <v>-9.0040436420214593</v>
      </c>
      <c r="O890">
        <v>42.33</v>
      </c>
      <c r="P890">
        <v>1005.002</v>
      </c>
      <c r="Q890">
        <v>63</v>
      </c>
      <c r="R890">
        <v>14.75</v>
      </c>
    </row>
    <row r="891" spans="1:18" x14ac:dyDescent="0.25">
      <c r="A891" s="1" t="s">
        <v>195</v>
      </c>
      <c r="B891" s="2" t="s">
        <v>225</v>
      </c>
      <c r="C891" s="19">
        <v>49</v>
      </c>
      <c r="D891" s="3" t="s">
        <v>496</v>
      </c>
      <c r="E891" s="3" t="s">
        <v>18</v>
      </c>
      <c r="F891" s="23">
        <v>151837</v>
      </c>
      <c r="G891" s="15">
        <v>2005</v>
      </c>
      <c r="H891" s="15">
        <f>Table_7[[#This Row],[Listing Price (USD)]]/10000</f>
        <v>15.1837</v>
      </c>
      <c r="I891" s="28">
        <f>Table_7[[#This Row],[Length 
(ft)]]</f>
        <v>49</v>
      </c>
      <c r="J891" s="28">
        <f>2020-Table_7[[#This Row],[Year]]</f>
        <v>15</v>
      </c>
      <c r="K891">
        <v>188925995936.80701</v>
      </c>
      <c r="L891">
        <v>17658.947301119199</v>
      </c>
      <c r="M891">
        <v>-1.2479835558140799</v>
      </c>
      <c r="N891">
        <v>-9.0040436420214593</v>
      </c>
      <c r="O891">
        <v>42.33</v>
      </c>
      <c r="P891">
        <v>1005.002</v>
      </c>
      <c r="Q891">
        <v>63</v>
      </c>
      <c r="R891">
        <v>14.75</v>
      </c>
    </row>
    <row r="892" spans="1:18" x14ac:dyDescent="0.25">
      <c r="A892" s="1" t="s">
        <v>391</v>
      </c>
      <c r="B892" s="3" t="s">
        <v>225</v>
      </c>
      <c r="C892" s="19">
        <v>49</v>
      </c>
      <c r="D892" s="3" t="s">
        <v>497</v>
      </c>
      <c r="E892" s="3" t="s">
        <v>483</v>
      </c>
      <c r="F892" s="23">
        <v>157968</v>
      </c>
      <c r="G892" s="15">
        <v>2005</v>
      </c>
      <c r="H892" s="15">
        <f>Table_7[[#This Row],[Listing Price (USD)]]/10000</f>
        <v>15.796799999999999</v>
      </c>
      <c r="I892" s="28">
        <f>Table_7[[#This Row],[Length 
(ft)]]</f>
        <v>49</v>
      </c>
      <c r="J892" s="28">
        <f>2020-Table_7[[#This Row],[Year]]</f>
        <v>15</v>
      </c>
      <c r="K892">
        <v>4200000000</v>
      </c>
      <c r="L892">
        <v>39553.199999999997</v>
      </c>
      <c r="M892">
        <v>2.5</v>
      </c>
      <c r="N892">
        <v>-2.1</v>
      </c>
      <c r="O892">
        <v>42.33</v>
      </c>
      <c r="P892">
        <v>1005.002</v>
      </c>
      <c r="Q892">
        <v>63</v>
      </c>
      <c r="R892">
        <v>14.75</v>
      </c>
    </row>
    <row r="893" spans="1:18" x14ac:dyDescent="0.25">
      <c r="A893" s="1" t="s">
        <v>195</v>
      </c>
      <c r="B893" s="2" t="s">
        <v>225</v>
      </c>
      <c r="C893" s="19">
        <v>49</v>
      </c>
      <c r="D893" s="3" t="s">
        <v>496</v>
      </c>
      <c r="E893" s="3" t="s">
        <v>3</v>
      </c>
      <c r="F893" s="23">
        <v>162776</v>
      </c>
      <c r="G893" s="15">
        <v>2005</v>
      </c>
      <c r="H893" s="15">
        <f>Table_7[[#This Row],[Listing Price (USD)]]/10000</f>
        <v>16.2776</v>
      </c>
      <c r="I893" s="28">
        <f>Table_7[[#This Row],[Length 
(ft)]]</f>
        <v>49</v>
      </c>
      <c r="J893" s="28">
        <f>2020-Table_7[[#This Row],[Year]]</f>
        <v>15</v>
      </c>
      <c r="K893">
        <v>2639008701648.2598</v>
      </c>
      <c r="L893">
        <v>39055.282928075401</v>
      </c>
      <c r="M893">
        <v>0.47649885272508302</v>
      </c>
      <c r="N893">
        <v>-7.7845864916787102</v>
      </c>
      <c r="O893">
        <v>42.33</v>
      </c>
      <c r="P893">
        <v>1005.002</v>
      </c>
      <c r="Q893">
        <v>63</v>
      </c>
      <c r="R893">
        <v>14.75</v>
      </c>
    </row>
    <row r="894" spans="1:18" x14ac:dyDescent="0.25">
      <c r="A894" s="1" t="s">
        <v>195</v>
      </c>
      <c r="B894" s="2" t="s">
        <v>225</v>
      </c>
      <c r="C894" s="19">
        <v>49</v>
      </c>
      <c r="D894" s="3" t="s">
        <v>496</v>
      </c>
      <c r="E894" s="3" t="s">
        <v>24</v>
      </c>
      <c r="F894" s="23">
        <v>163984</v>
      </c>
      <c r="G894" s="15">
        <v>2005</v>
      </c>
      <c r="H894" s="15">
        <f>Table_7[[#This Row],[Listing Price (USD)]]/10000</f>
        <v>16.398399999999999</v>
      </c>
      <c r="I894" s="28">
        <f>Table_7[[#This Row],[Length 
(ft)]]</f>
        <v>49</v>
      </c>
      <c r="J894" s="28">
        <f>2020-Table_7[[#This Row],[Year]]</f>
        <v>15</v>
      </c>
      <c r="K894">
        <v>1896755301518.1399</v>
      </c>
      <c r="L894">
        <v>31911.0357890017</v>
      </c>
      <c r="M894">
        <v>-0.13770757391656999</v>
      </c>
      <c r="N894">
        <v>-9.0399534112288507</v>
      </c>
      <c r="O894">
        <v>42.33</v>
      </c>
      <c r="P894">
        <v>1005.002</v>
      </c>
      <c r="Q894">
        <v>63</v>
      </c>
      <c r="R894">
        <v>14.75</v>
      </c>
    </row>
    <row r="895" spans="1:18" x14ac:dyDescent="0.25">
      <c r="A895" s="1" t="s">
        <v>195</v>
      </c>
      <c r="B895" s="2" t="s">
        <v>225</v>
      </c>
      <c r="C895" s="19">
        <v>49</v>
      </c>
      <c r="D895" s="3" t="s">
        <v>496</v>
      </c>
      <c r="E895" s="3" t="s">
        <v>63</v>
      </c>
      <c r="F895" s="23">
        <v>166420</v>
      </c>
      <c r="G895" s="15">
        <v>2005</v>
      </c>
      <c r="H895" s="15">
        <f>Table_7[[#This Row],[Listing Price (USD)]]/10000</f>
        <v>16.641999999999999</v>
      </c>
      <c r="I895" s="28">
        <f>Table_7[[#This Row],[Length 
(ft)]]</f>
        <v>49</v>
      </c>
      <c r="J895" s="28">
        <f>2020-Table_7[[#This Row],[Year]]</f>
        <v>15</v>
      </c>
      <c r="K895">
        <v>720290000032</v>
      </c>
      <c r="L895">
        <v>13341.6</v>
      </c>
      <c r="M895">
        <v>13</v>
      </c>
      <c r="N895">
        <v>-3</v>
      </c>
      <c r="O895">
        <v>42.33</v>
      </c>
      <c r="P895">
        <v>1005.002</v>
      </c>
      <c r="Q895">
        <v>63</v>
      </c>
      <c r="R895">
        <v>14.75</v>
      </c>
    </row>
    <row r="896" spans="1:18" x14ac:dyDescent="0.25">
      <c r="A896" s="1" t="s">
        <v>195</v>
      </c>
      <c r="B896" s="2" t="s">
        <v>225</v>
      </c>
      <c r="C896" s="19">
        <v>49</v>
      </c>
      <c r="D896" s="3" t="s">
        <v>496</v>
      </c>
      <c r="E896" s="3" t="s">
        <v>31</v>
      </c>
      <c r="F896" s="23">
        <v>168820</v>
      </c>
      <c r="G896" s="15">
        <v>2007</v>
      </c>
      <c r="H896" s="15">
        <f>Table_7[[#This Row],[Listing Price (USD)]]/10000</f>
        <v>16.882000000000001</v>
      </c>
      <c r="I896" s="28">
        <f>Table_7[[#This Row],[Length 
(ft)]]</f>
        <v>49</v>
      </c>
      <c r="J896" s="28">
        <f>2020-Table_7[[#This Row],[Year]]</f>
        <v>13</v>
      </c>
      <c r="K896">
        <v>57472012426.685303</v>
      </c>
      <c r="L896">
        <v>14198.753959474399</v>
      </c>
      <c r="M896">
        <v>0.15481137456202801</v>
      </c>
      <c r="N896">
        <v>-8.5803430210621805</v>
      </c>
      <c r="O896">
        <v>42.33</v>
      </c>
      <c r="P896">
        <v>1005.002</v>
      </c>
      <c r="Q896">
        <v>63</v>
      </c>
      <c r="R896">
        <v>14.75</v>
      </c>
    </row>
    <row r="897" spans="1:18" x14ac:dyDescent="0.25">
      <c r="A897" s="1" t="s">
        <v>195</v>
      </c>
      <c r="B897" s="2" t="s">
        <v>225</v>
      </c>
      <c r="C897" s="19">
        <v>49</v>
      </c>
      <c r="D897" s="3" t="s">
        <v>496</v>
      </c>
      <c r="E897" s="3" t="s">
        <v>9</v>
      </c>
      <c r="F897" s="23">
        <v>168843</v>
      </c>
      <c r="G897" s="15">
        <v>2005</v>
      </c>
      <c r="H897" s="15">
        <f>Table_7[[#This Row],[Listing Price (USD)]]/10000</f>
        <v>16.8843</v>
      </c>
      <c r="I897" s="28">
        <f>Table_7[[#This Row],[Length 
(ft)]]</f>
        <v>49</v>
      </c>
      <c r="J897" s="28">
        <f>2020-Table_7[[#This Row],[Year]]</f>
        <v>15</v>
      </c>
      <c r="K897">
        <v>1276962685648.25</v>
      </c>
      <c r="L897">
        <v>26959.675436732599</v>
      </c>
      <c r="M897">
        <v>-0.32275301729970501</v>
      </c>
      <c r="N897">
        <v>-11.3254383222864</v>
      </c>
      <c r="O897">
        <v>42.33</v>
      </c>
      <c r="P897">
        <v>1005.002</v>
      </c>
      <c r="Q897">
        <v>63</v>
      </c>
      <c r="R897">
        <v>14.75</v>
      </c>
    </row>
    <row r="898" spans="1:18" x14ac:dyDescent="0.25">
      <c r="A898" s="1" t="s">
        <v>195</v>
      </c>
      <c r="B898" s="2" t="s">
        <v>225</v>
      </c>
      <c r="C898" s="19">
        <v>49</v>
      </c>
      <c r="D898" s="3" t="s">
        <v>496</v>
      </c>
      <c r="E898" s="3" t="s">
        <v>18</v>
      </c>
      <c r="F898" s="23">
        <v>194359</v>
      </c>
      <c r="G898" s="15">
        <v>2005</v>
      </c>
      <c r="H898" s="15">
        <f>Table_7[[#This Row],[Listing Price (USD)]]/10000</f>
        <v>19.4359</v>
      </c>
      <c r="I898" s="28">
        <f>Table_7[[#This Row],[Length 
(ft)]]</f>
        <v>49</v>
      </c>
      <c r="J898" s="28">
        <f>2020-Table_7[[#This Row],[Year]]</f>
        <v>15</v>
      </c>
      <c r="K898">
        <v>188925995936.80701</v>
      </c>
      <c r="L898">
        <v>17658.947301119199</v>
      </c>
      <c r="M898">
        <v>-1.2479835558140799</v>
      </c>
      <c r="N898">
        <v>-9.0040436420214593</v>
      </c>
      <c r="O898">
        <v>42.33</v>
      </c>
      <c r="P898">
        <v>1005.002</v>
      </c>
      <c r="Q898">
        <v>63</v>
      </c>
      <c r="R898">
        <v>14.75</v>
      </c>
    </row>
    <row r="899" spans="1:18" x14ac:dyDescent="0.25">
      <c r="A899" s="1" t="s">
        <v>195</v>
      </c>
      <c r="B899" s="2" t="s">
        <v>225</v>
      </c>
      <c r="C899" s="19">
        <v>49</v>
      </c>
      <c r="D899" s="3" t="s">
        <v>496</v>
      </c>
      <c r="E899" s="3" t="s">
        <v>9</v>
      </c>
      <c r="F899" s="23">
        <v>222298</v>
      </c>
      <c r="G899" s="15">
        <v>2005</v>
      </c>
      <c r="H899" s="15">
        <f>Table_7[[#This Row],[Listing Price (USD)]]/10000</f>
        <v>22.229800000000001</v>
      </c>
      <c r="I899" s="28">
        <f>Table_7[[#This Row],[Length 
(ft)]]</f>
        <v>49</v>
      </c>
      <c r="J899" s="28">
        <f>2020-Table_7[[#This Row],[Year]]</f>
        <v>15</v>
      </c>
      <c r="K899">
        <v>1276962685648.25</v>
      </c>
      <c r="L899">
        <v>26959.675436732599</v>
      </c>
      <c r="M899">
        <v>-0.32275301729970501</v>
      </c>
      <c r="N899">
        <v>-11.3254383222864</v>
      </c>
      <c r="O899">
        <v>42.33</v>
      </c>
      <c r="P899">
        <v>1005.002</v>
      </c>
      <c r="Q899">
        <v>63</v>
      </c>
      <c r="R899">
        <v>14.75</v>
      </c>
    </row>
    <row r="900" spans="1:18" x14ac:dyDescent="0.25">
      <c r="A900" s="1" t="s">
        <v>195</v>
      </c>
      <c r="B900" s="3" t="s">
        <v>225</v>
      </c>
      <c r="C900" s="19">
        <v>49</v>
      </c>
      <c r="D900" s="3" t="s">
        <v>495</v>
      </c>
      <c r="E900" s="3" t="s">
        <v>545</v>
      </c>
      <c r="F900" s="23">
        <v>249900</v>
      </c>
      <c r="G900" s="15">
        <v>2006</v>
      </c>
      <c r="H900" s="15">
        <f>Table_7[[#This Row],[Listing Price (USD)]]/10000</f>
        <v>24.99</v>
      </c>
      <c r="I900" s="28">
        <f>Table_7[[#This Row],[Length 
(ft)]]</f>
        <v>49</v>
      </c>
      <c r="J900" s="28">
        <f>2020-Table_7[[#This Row],[Year]]</f>
        <v>14</v>
      </c>
      <c r="K900">
        <v>515120000000</v>
      </c>
      <c r="L900">
        <v>51165.75</v>
      </c>
      <c r="M900">
        <v>1.23</v>
      </c>
      <c r="N900">
        <v>2.6</v>
      </c>
      <c r="O900">
        <v>42.33</v>
      </c>
      <c r="P900">
        <v>1005.002</v>
      </c>
      <c r="Q900">
        <v>63</v>
      </c>
      <c r="R900">
        <v>14.75</v>
      </c>
    </row>
    <row r="901" spans="1:18" x14ac:dyDescent="0.25">
      <c r="A901" s="1" t="s">
        <v>195</v>
      </c>
      <c r="B901" s="3" t="s">
        <v>225</v>
      </c>
      <c r="C901" s="19">
        <v>49</v>
      </c>
      <c r="D901" s="3" t="s">
        <v>495</v>
      </c>
      <c r="E901" s="3" t="s">
        <v>526</v>
      </c>
      <c r="F901" s="23">
        <v>255000</v>
      </c>
      <c r="G901" s="15">
        <v>2005</v>
      </c>
      <c r="H901" s="15">
        <f>Table_7[[#This Row],[Listing Price (USD)]]/10000</f>
        <v>25.5</v>
      </c>
      <c r="I901" s="28">
        <f>Table_7[[#This Row],[Length 
(ft)]]</f>
        <v>49</v>
      </c>
      <c r="J901" s="28">
        <f>2020-Table_7[[#This Row],[Year]]</f>
        <v>15</v>
      </c>
      <c r="K901">
        <v>4200000000</v>
      </c>
      <c r="L901">
        <v>39553.199999999997</v>
      </c>
      <c r="M901">
        <v>4.0999999999999996</v>
      </c>
      <c r="N901">
        <v>-2.1</v>
      </c>
      <c r="O901">
        <v>42.33</v>
      </c>
      <c r="P901">
        <v>1005.002</v>
      </c>
      <c r="Q901">
        <v>63</v>
      </c>
      <c r="R901">
        <v>14.75</v>
      </c>
    </row>
    <row r="902" spans="1:18" x14ac:dyDescent="0.25">
      <c r="A902" s="1" t="s">
        <v>195</v>
      </c>
      <c r="B902" s="3" t="s">
        <v>225</v>
      </c>
      <c r="C902" s="19">
        <v>49</v>
      </c>
      <c r="D902" s="3" t="s">
        <v>495</v>
      </c>
      <c r="E902" s="3" t="s">
        <v>545</v>
      </c>
      <c r="F902" s="23">
        <v>279900</v>
      </c>
      <c r="G902" s="15">
        <v>2006</v>
      </c>
      <c r="H902" s="15">
        <f>Table_7[[#This Row],[Listing Price (USD)]]/10000</f>
        <v>27.99</v>
      </c>
      <c r="I902" s="28">
        <f>Table_7[[#This Row],[Length 
(ft)]]</f>
        <v>49</v>
      </c>
      <c r="J902" s="28">
        <f>2020-Table_7[[#This Row],[Year]]</f>
        <v>14</v>
      </c>
      <c r="K902">
        <v>515120000000</v>
      </c>
      <c r="L902">
        <v>51165.75</v>
      </c>
      <c r="M902">
        <v>1.23</v>
      </c>
      <c r="N902">
        <v>2.6</v>
      </c>
      <c r="O902">
        <v>42.33</v>
      </c>
      <c r="P902">
        <v>1005.002</v>
      </c>
      <c r="Q902">
        <v>63</v>
      </c>
      <c r="R902">
        <v>14.75</v>
      </c>
    </row>
    <row r="903" spans="1:18" x14ac:dyDescent="0.25">
      <c r="A903" s="1" t="s">
        <v>195</v>
      </c>
      <c r="B903" s="2" t="s">
        <v>226</v>
      </c>
      <c r="C903" s="19">
        <v>49</v>
      </c>
      <c r="D903" s="3" t="s">
        <v>496</v>
      </c>
      <c r="E903" s="3" t="s">
        <v>31</v>
      </c>
      <c r="F903" s="23">
        <v>132407</v>
      </c>
      <c r="G903" s="15">
        <v>2006</v>
      </c>
      <c r="H903" s="15">
        <f>Table_7[[#This Row],[Listing Price (USD)]]/10000</f>
        <v>13.2407</v>
      </c>
      <c r="I903" s="28">
        <f>Table_7[[#This Row],[Length 
(ft)]]</f>
        <v>49</v>
      </c>
      <c r="J903" s="28">
        <f>2020-Table_7[[#This Row],[Year]]</f>
        <v>14</v>
      </c>
      <c r="K903">
        <v>57472012426.685303</v>
      </c>
      <c r="L903">
        <v>14198.753959474399</v>
      </c>
      <c r="M903">
        <v>0.15481137456202801</v>
      </c>
      <c r="N903">
        <v>-8.5803430210621805</v>
      </c>
      <c r="O903">
        <v>42.32</v>
      </c>
      <c r="P903">
        <v>977</v>
      </c>
      <c r="Q903">
        <v>63</v>
      </c>
      <c r="R903">
        <v>16.37</v>
      </c>
    </row>
    <row r="904" spans="1:18" x14ac:dyDescent="0.25">
      <c r="A904" s="1" t="s">
        <v>195</v>
      </c>
      <c r="B904" s="3" t="s">
        <v>226</v>
      </c>
      <c r="C904" s="19">
        <v>49</v>
      </c>
      <c r="D904" s="3" t="s">
        <v>495</v>
      </c>
      <c r="E904" s="3" t="s">
        <v>333</v>
      </c>
      <c r="F904" s="23">
        <v>169000</v>
      </c>
      <c r="G904" s="15">
        <v>2007</v>
      </c>
      <c r="H904" s="15">
        <f>Table_7[[#This Row],[Listing Price (USD)]]/10000</f>
        <v>16.899999999999999</v>
      </c>
      <c r="I904" s="28">
        <f>Table_7[[#This Row],[Length 
(ft)]]</f>
        <v>49</v>
      </c>
      <c r="J904" s="28">
        <f>2020-Table_7[[#This Row],[Year]]</f>
        <v>13</v>
      </c>
      <c r="K904">
        <v>1106036000000</v>
      </c>
      <c r="L904">
        <v>51276.72</v>
      </c>
      <c r="M904">
        <v>1.23</v>
      </c>
      <c r="N904">
        <v>2.9</v>
      </c>
      <c r="O904">
        <v>42.32</v>
      </c>
      <c r="P904">
        <v>977</v>
      </c>
      <c r="Q904">
        <v>63</v>
      </c>
      <c r="R904">
        <v>16.37</v>
      </c>
    </row>
    <row r="905" spans="1:18" x14ac:dyDescent="0.25">
      <c r="A905" s="1" t="s">
        <v>195</v>
      </c>
      <c r="B905" s="3" t="s">
        <v>226</v>
      </c>
      <c r="C905" s="19">
        <v>49</v>
      </c>
      <c r="D905" s="3" t="s">
        <v>495</v>
      </c>
      <c r="E905" s="3" t="s">
        <v>333</v>
      </c>
      <c r="F905" s="23">
        <v>175000</v>
      </c>
      <c r="G905" s="15">
        <v>2006</v>
      </c>
      <c r="H905" s="15">
        <f>Table_7[[#This Row],[Listing Price (USD)]]/10000</f>
        <v>17.5</v>
      </c>
      <c r="I905" s="28">
        <f>Table_7[[#This Row],[Length 
(ft)]]</f>
        <v>49</v>
      </c>
      <c r="J905" s="28">
        <f>2020-Table_7[[#This Row],[Year]]</f>
        <v>14</v>
      </c>
      <c r="K905">
        <v>1106036000000</v>
      </c>
      <c r="L905">
        <v>51276.72</v>
      </c>
      <c r="M905">
        <v>1.23</v>
      </c>
      <c r="N905">
        <v>2.9</v>
      </c>
      <c r="O905">
        <v>42.32</v>
      </c>
      <c r="P905">
        <v>977</v>
      </c>
      <c r="Q905">
        <v>63</v>
      </c>
      <c r="R905">
        <v>16.37</v>
      </c>
    </row>
    <row r="906" spans="1:18" x14ac:dyDescent="0.25">
      <c r="A906" s="1" t="s">
        <v>195</v>
      </c>
      <c r="B906" s="2" t="s">
        <v>226</v>
      </c>
      <c r="C906" s="19">
        <v>49</v>
      </c>
      <c r="D906" s="3" t="s">
        <v>496</v>
      </c>
      <c r="E906" s="3" t="s">
        <v>3</v>
      </c>
      <c r="F906" s="23">
        <v>200433</v>
      </c>
      <c r="G906" s="15">
        <v>2006</v>
      </c>
      <c r="H906" s="15">
        <f>Table_7[[#This Row],[Listing Price (USD)]]/10000</f>
        <v>20.043299999999999</v>
      </c>
      <c r="I906" s="28">
        <f>Table_7[[#This Row],[Length 
(ft)]]</f>
        <v>49</v>
      </c>
      <c r="J906" s="28">
        <f>2020-Table_7[[#This Row],[Year]]</f>
        <v>14</v>
      </c>
      <c r="K906">
        <v>2639008701648.2598</v>
      </c>
      <c r="L906">
        <v>39055.282928075401</v>
      </c>
      <c r="M906">
        <v>0.47649885272508302</v>
      </c>
      <c r="N906">
        <v>-7.7845864916787102</v>
      </c>
      <c r="O906">
        <v>42.32</v>
      </c>
      <c r="P906">
        <v>977</v>
      </c>
      <c r="Q906">
        <v>63</v>
      </c>
      <c r="R906">
        <v>16.37</v>
      </c>
    </row>
    <row r="907" spans="1:18" x14ac:dyDescent="0.25">
      <c r="A907" s="1" t="s">
        <v>195</v>
      </c>
      <c r="B907" s="2" t="s">
        <v>226</v>
      </c>
      <c r="C907" s="19">
        <v>49</v>
      </c>
      <c r="D907" s="3" t="s">
        <v>496</v>
      </c>
      <c r="E907" s="3" t="s">
        <v>24</v>
      </c>
      <c r="F907" s="23">
        <v>206507</v>
      </c>
      <c r="G907" s="15">
        <v>2006</v>
      </c>
      <c r="H907" s="15">
        <f>Table_7[[#This Row],[Listing Price (USD)]]/10000</f>
        <v>20.650700000000001</v>
      </c>
      <c r="I907" s="28">
        <f>Table_7[[#This Row],[Length 
(ft)]]</f>
        <v>49</v>
      </c>
      <c r="J907" s="28">
        <f>2020-Table_7[[#This Row],[Year]]</f>
        <v>14</v>
      </c>
      <c r="K907">
        <v>1896755301518.1399</v>
      </c>
      <c r="L907">
        <v>31911.0357890017</v>
      </c>
      <c r="M907">
        <v>-0.13770757391656999</v>
      </c>
      <c r="N907">
        <v>-9.0399534112288507</v>
      </c>
      <c r="O907">
        <v>42.32</v>
      </c>
      <c r="P907">
        <v>977</v>
      </c>
      <c r="Q907">
        <v>63</v>
      </c>
      <c r="R907">
        <v>16.37</v>
      </c>
    </row>
    <row r="908" spans="1:18" x14ac:dyDescent="0.25">
      <c r="A908" s="1" t="s">
        <v>195</v>
      </c>
      <c r="B908" s="2" t="s">
        <v>226</v>
      </c>
      <c r="C908" s="19">
        <v>49</v>
      </c>
      <c r="D908" s="3" t="s">
        <v>496</v>
      </c>
      <c r="E908" s="3" t="s">
        <v>31</v>
      </c>
      <c r="F908" s="23">
        <v>216225</v>
      </c>
      <c r="G908" s="15">
        <v>2005</v>
      </c>
      <c r="H908" s="15">
        <f>Table_7[[#This Row],[Listing Price (USD)]]/10000</f>
        <v>21.622499999999999</v>
      </c>
      <c r="I908" s="28">
        <f>Table_7[[#This Row],[Length 
(ft)]]</f>
        <v>49</v>
      </c>
      <c r="J908" s="28">
        <f>2020-Table_7[[#This Row],[Year]]</f>
        <v>15</v>
      </c>
      <c r="K908">
        <v>57472012426.685303</v>
      </c>
      <c r="L908">
        <v>14198.753959474399</v>
      </c>
      <c r="M908">
        <v>0.15481137456202801</v>
      </c>
      <c r="N908">
        <v>-8.5803430210621805</v>
      </c>
      <c r="O908">
        <v>42.32</v>
      </c>
      <c r="P908">
        <v>977</v>
      </c>
      <c r="Q908">
        <v>63</v>
      </c>
      <c r="R908">
        <v>16.37</v>
      </c>
    </row>
    <row r="909" spans="1:18" x14ac:dyDescent="0.25">
      <c r="A909" s="1" t="s">
        <v>195</v>
      </c>
      <c r="B909" s="2" t="s">
        <v>226</v>
      </c>
      <c r="C909" s="19">
        <v>49</v>
      </c>
      <c r="D909" s="3" t="s">
        <v>496</v>
      </c>
      <c r="E909" s="3" t="s">
        <v>9</v>
      </c>
      <c r="F909" s="23">
        <v>224728</v>
      </c>
      <c r="G909" s="15">
        <v>2006</v>
      </c>
      <c r="H909" s="15">
        <f>Table_7[[#This Row],[Listing Price (USD)]]/10000</f>
        <v>22.472799999999999</v>
      </c>
      <c r="I909" s="28">
        <f>Table_7[[#This Row],[Length 
(ft)]]</f>
        <v>49</v>
      </c>
      <c r="J909" s="28">
        <f>2020-Table_7[[#This Row],[Year]]</f>
        <v>14</v>
      </c>
      <c r="K909">
        <v>1276962685648.25</v>
      </c>
      <c r="L909">
        <v>26959.675436732599</v>
      </c>
      <c r="M909">
        <v>-0.32275301729970501</v>
      </c>
      <c r="N909">
        <v>-11.3254383222864</v>
      </c>
      <c r="O909">
        <v>42.32</v>
      </c>
      <c r="P909">
        <v>977</v>
      </c>
      <c r="Q909">
        <v>63</v>
      </c>
      <c r="R909">
        <v>16.37</v>
      </c>
    </row>
    <row r="910" spans="1:18" x14ac:dyDescent="0.25">
      <c r="A910" s="1" t="s">
        <v>195</v>
      </c>
      <c r="B910" s="2" t="s">
        <v>226</v>
      </c>
      <c r="C910" s="19">
        <v>49</v>
      </c>
      <c r="D910" s="3" t="s">
        <v>496</v>
      </c>
      <c r="E910" s="3" t="s">
        <v>31</v>
      </c>
      <c r="F910" s="23">
        <v>229578</v>
      </c>
      <c r="G910" s="15">
        <v>2007</v>
      </c>
      <c r="H910" s="15">
        <f>Table_7[[#This Row],[Listing Price (USD)]]/10000</f>
        <v>22.957799999999999</v>
      </c>
      <c r="I910" s="28">
        <f>Table_7[[#This Row],[Length 
(ft)]]</f>
        <v>49</v>
      </c>
      <c r="J910" s="28">
        <f>2020-Table_7[[#This Row],[Year]]</f>
        <v>13</v>
      </c>
      <c r="K910">
        <v>57472012426.685303</v>
      </c>
      <c r="L910">
        <v>14198.753959474399</v>
      </c>
      <c r="M910">
        <v>0.15481137456202801</v>
      </c>
      <c r="N910">
        <v>-8.5803430210621805</v>
      </c>
      <c r="O910">
        <v>42.32</v>
      </c>
      <c r="P910">
        <v>977</v>
      </c>
      <c r="Q910">
        <v>63</v>
      </c>
      <c r="R910">
        <v>16.37</v>
      </c>
    </row>
    <row r="911" spans="1:18" x14ac:dyDescent="0.25">
      <c r="A911" s="1" t="s">
        <v>195</v>
      </c>
      <c r="B911" s="2" t="s">
        <v>226</v>
      </c>
      <c r="C911" s="19">
        <v>49</v>
      </c>
      <c r="D911" s="3" t="s">
        <v>496</v>
      </c>
      <c r="E911" s="3" t="s">
        <v>31</v>
      </c>
      <c r="F911" s="23">
        <v>229587</v>
      </c>
      <c r="G911" s="15">
        <v>2007</v>
      </c>
      <c r="H911" s="15">
        <f>Table_7[[#This Row],[Listing Price (USD)]]/10000</f>
        <v>22.9587</v>
      </c>
      <c r="I911" s="28">
        <f>Table_7[[#This Row],[Length 
(ft)]]</f>
        <v>49</v>
      </c>
      <c r="J911" s="28">
        <f>2020-Table_7[[#This Row],[Year]]</f>
        <v>13</v>
      </c>
      <c r="K911">
        <v>57472012426.685303</v>
      </c>
      <c r="L911">
        <v>14198.753959474399</v>
      </c>
      <c r="M911">
        <v>0.15481137456202801</v>
      </c>
      <c r="N911">
        <v>-8.5803430210621805</v>
      </c>
      <c r="O911">
        <v>42.32</v>
      </c>
      <c r="P911">
        <v>977</v>
      </c>
      <c r="Q911">
        <v>63</v>
      </c>
      <c r="R911">
        <v>16.37</v>
      </c>
    </row>
    <row r="912" spans="1:18" x14ac:dyDescent="0.25">
      <c r="A912" s="1" t="s">
        <v>195</v>
      </c>
      <c r="B912" s="2" t="s">
        <v>226</v>
      </c>
      <c r="C912" s="19">
        <v>49</v>
      </c>
      <c r="D912" s="3" t="s">
        <v>496</v>
      </c>
      <c r="E912" s="3" t="s">
        <v>31</v>
      </c>
      <c r="F912" s="23">
        <v>230761</v>
      </c>
      <c r="G912" s="15">
        <v>2007</v>
      </c>
      <c r="H912" s="15">
        <f>Table_7[[#This Row],[Listing Price (USD)]]/10000</f>
        <v>23.0761</v>
      </c>
      <c r="I912" s="28">
        <f>Table_7[[#This Row],[Length 
(ft)]]</f>
        <v>49</v>
      </c>
      <c r="J912" s="28">
        <f>2020-Table_7[[#This Row],[Year]]</f>
        <v>13</v>
      </c>
      <c r="K912">
        <v>57472012426.685303</v>
      </c>
      <c r="L912">
        <v>14198.753959474399</v>
      </c>
      <c r="M912">
        <v>0.15481137456202801</v>
      </c>
      <c r="N912">
        <v>-8.5803430210621805</v>
      </c>
      <c r="O912">
        <v>42.32</v>
      </c>
      <c r="P912">
        <v>977</v>
      </c>
      <c r="Q912">
        <v>63</v>
      </c>
      <c r="R912">
        <v>16.37</v>
      </c>
    </row>
    <row r="913" spans="1:18" x14ac:dyDescent="0.25">
      <c r="A913" s="1" t="s">
        <v>195</v>
      </c>
      <c r="B913" s="2" t="s">
        <v>226</v>
      </c>
      <c r="C913" s="19">
        <v>49</v>
      </c>
      <c r="D913" s="3" t="s">
        <v>496</v>
      </c>
      <c r="E913" s="3" t="s">
        <v>31</v>
      </c>
      <c r="F913" s="23">
        <v>230792</v>
      </c>
      <c r="G913" s="15">
        <v>2007</v>
      </c>
      <c r="H913" s="15">
        <f>Table_7[[#This Row],[Listing Price (USD)]]/10000</f>
        <v>23.0792</v>
      </c>
      <c r="I913" s="28">
        <f>Table_7[[#This Row],[Length 
(ft)]]</f>
        <v>49</v>
      </c>
      <c r="J913" s="28">
        <f>2020-Table_7[[#This Row],[Year]]</f>
        <v>13</v>
      </c>
      <c r="K913">
        <v>57472012426.685303</v>
      </c>
      <c r="L913">
        <v>14198.753959474399</v>
      </c>
      <c r="M913">
        <v>0.15481137456202801</v>
      </c>
      <c r="N913">
        <v>-8.5803430210621805</v>
      </c>
      <c r="O913">
        <v>42.32</v>
      </c>
      <c r="P913">
        <v>977</v>
      </c>
      <c r="Q913">
        <v>63</v>
      </c>
      <c r="R913">
        <v>16.37</v>
      </c>
    </row>
    <row r="914" spans="1:18" x14ac:dyDescent="0.25">
      <c r="A914" s="1" t="s">
        <v>195</v>
      </c>
      <c r="B914" s="2" t="s">
        <v>226</v>
      </c>
      <c r="C914" s="19">
        <v>49</v>
      </c>
      <c r="D914" s="3" t="s">
        <v>496</v>
      </c>
      <c r="E914" s="3" t="s">
        <v>3</v>
      </c>
      <c r="F914" s="23">
        <v>236875</v>
      </c>
      <c r="G914" s="15">
        <v>2005</v>
      </c>
      <c r="H914" s="15">
        <f>Table_7[[#This Row],[Listing Price (USD)]]/10000</f>
        <v>23.6875</v>
      </c>
      <c r="I914" s="28">
        <f>Table_7[[#This Row],[Length 
(ft)]]</f>
        <v>49</v>
      </c>
      <c r="J914" s="28">
        <f>2020-Table_7[[#This Row],[Year]]</f>
        <v>15</v>
      </c>
      <c r="K914">
        <v>2639008701648.2598</v>
      </c>
      <c r="L914">
        <v>39055.282928075401</v>
      </c>
      <c r="M914">
        <v>0.47649885272508302</v>
      </c>
      <c r="N914">
        <v>-7.7845864916787102</v>
      </c>
      <c r="O914">
        <v>42.32</v>
      </c>
      <c r="P914">
        <v>977</v>
      </c>
      <c r="Q914">
        <v>63</v>
      </c>
      <c r="R914">
        <v>16.37</v>
      </c>
    </row>
    <row r="915" spans="1:18" x14ac:dyDescent="0.25">
      <c r="A915" s="1" t="s">
        <v>195</v>
      </c>
      <c r="B915" s="3" t="s">
        <v>226</v>
      </c>
      <c r="C915" s="19">
        <v>49</v>
      </c>
      <c r="D915" s="3" t="s">
        <v>495</v>
      </c>
      <c r="E915" s="3" t="s">
        <v>500</v>
      </c>
      <c r="F915" s="23">
        <v>249000</v>
      </c>
      <c r="G915" s="15">
        <v>2007</v>
      </c>
      <c r="H915" s="15">
        <f>Table_7[[#This Row],[Listing Price (USD)]]/10000</f>
        <v>24.9</v>
      </c>
      <c r="I915" s="28">
        <f>Table_7[[#This Row],[Length 
(ft)]]</f>
        <v>49</v>
      </c>
      <c r="J915" s="28">
        <f>2020-Table_7[[#This Row],[Year]]</f>
        <v>13</v>
      </c>
      <c r="K915">
        <v>3007188000000</v>
      </c>
      <c r="L915">
        <v>76131.839999999997</v>
      </c>
      <c r="M915">
        <v>1.23</v>
      </c>
      <c r="N915">
        <v>2.7</v>
      </c>
      <c r="O915">
        <v>42.32</v>
      </c>
      <c r="P915">
        <v>977</v>
      </c>
      <c r="Q915">
        <v>63</v>
      </c>
      <c r="R915">
        <v>16.37</v>
      </c>
    </row>
    <row r="916" spans="1:18" x14ac:dyDescent="0.25">
      <c r="A916" s="1" t="s">
        <v>195</v>
      </c>
      <c r="B916" s="3" t="s">
        <v>226</v>
      </c>
      <c r="C916" s="19">
        <v>49</v>
      </c>
      <c r="D916" s="3" t="s">
        <v>495</v>
      </c>
      <c r="E916" s="3" t="s">
        <v>333</v>
      </c>
      <c r="F916" s="23">
        <v>278165</v>
      </c>
      <c r="G916" s="15">
        <v>2006</v>
      </c>
      <c r="H916" s="15">
        <f>Table_7[[#This Row],[Listing Price (USD)]]/10000</f>
        <v>27.816500000000001</v>
      </c>
      <c r="I916" s="28">
        <f>Table_7[[#This Row],[Length 
(ft)]]</f>
        <v>49</v>
      </c>
      <c r="J916" s="28">
        <f>2020-Table_7[[#This Row],[Year]]</f>
        <v>14</v>
      </c>
      <c r="K916">
        <v>1106036000000</v>
      </c>
      <c r="L916">
        <v>51276.72</v>
      </c>
      <c r="M916">
        <v>1.23</v>
      </c>
      <c r="N916">
        <v>2.9</v>
      </c>
      <c r="O916">
        <v>42.32</v>
      </c>
      <c r="P916">
        <v>977</v>
      </c>
      <c r="Q916">
        <v>63</v>
      </c>
      <c r="R916">
        <v>16.37</v>
      </c>
    </row>
    <row r="917" spans="1:18" x14ac:dyDescent="0.25">
      <c r="A917" s="1" t="s">
        <v>195</v>
      </c>
      <c r="B917" s="3" t="s">
        <v>226</v>
      </c>
      <c r="C917" s="19">
        <v>49</v>
      </c>
      <c r="D917" s="3" t="s">
        <v>495</v>
      </c>
      <c r="E917" s="3" t="s">
        <v>500</v>
      </c>
      <c r="F917" s="23">
        <v>335000</v>
      </c>
      <c r="G917" s="15">
        <v>2005</v>
      </c>
      <c r="H917" s="15">
        <f>Table_7[[#This Row],[Listing Price (USD)]]/10000</f>
        <v>33.5</v>
      </c>
      <c r="I917" s="28">
        <f>Table_7[[#This Row],[Length 
(ft)]]</f>
        <v>49</v>
      </c>
      <c r="J917" s="28">
        <f>2020-Table_7[[#This Row],[Year]]</f>
        <v>15</v>
      </c>
      <c r="K917">
        <v>3007188000000</v>
      </c>
      <c r="L917">
        <v>76131.839999999997</v>
      </c>
      <c r="M917">
        <v>1.23</v>
      </c>
      <c r="N917">
        <v>2.7</v>
      </c>
      <c r="O917">
        <v>42.32</v>
      </c>
      <c r="P917">
        <v>977</v>
      </c>
      <c r="Q917">
        <v>63</v>
      </c>
      <c r="R917">
        <v>16.37</v>
      </c>
    </row>
    <row r="918" spans="1:18" x14ac:dyDescent="0.25">
      <c r="A918" s="1" t="s">
        <v>195</v>
      </c>
      <c r="B918" s="2" t="s">
        <v>230</v>
      </c>
      <c r="C918" s="19">
        <v>49</v>
      </c>
      <c r="D918" s="3" t="s">
        <v>496</v>
      </c>
      <c r="E918" s="3" t="s">
        <v>18</v>
      </c>
      <c r="F918" s="23">
        <v>236866</v>
      </c>
      <c r="G918" s="15">
        <v>2008</v>
      </c>
      <c r="H918" s="15">
        <f>Table_7[[#This Row],[Listing Price (USD)]]/10000</f>
        <v>23.686599999999999</v>
      </c>
      <c r="I918" s="28">
        <f>Table_7[[#This Row],[Length 
(ft)]]</f>
        <v>49</v>
      </c>
      <c r="J918" s="28">
        <f>2020-Table_7[[#This Row],[Year]]</f>
        <v>12</v>
      </c>
      <c r="K918">
        <v>188925995936.80701</v>
      </c>
      <c r="L918">
        <v>17658.947301119199</v>
      </c>
      <c r="M918">
        <v>-1.2479835558140799</v>
      </c>
      <c r="N918">
        <v>-9.0040436420214593</v>
      </c>
      <c r="O918">
        <v>42.33</v>
      </c>
      <c r="P918">
        <v>1005.002</v>
      </c>
      <c r="Q918">
        <v>63</v>
      </c>
      <c r="R918">
        <v>14.75</v>
      </c>
    </row>
    <row r="919" spans="1:18" x14ac:dyDescent="0.25">
      <c r="A919" s="1" t="s">
        <v>195</v>
      </c>
      <c r="B919" s="2" t="s">
        <v>231</v>
      </c>
      <c r="C919" s="19">
        <v>49</v>
      </c>
      <c r="D919" s="3" t="s">
        <v>496</v>
      </c>
      <c r="E919" s="3" t="s">
        <v>18</v>
      </c>
      <c r="F919" s="23">
        <v>252667</v>
      </c>
      <c r="G919" s="15">
        <v>2006</v>
      </c>
      <c r="H919" s="15">
        <f>Table_7[[#This Row],[Listing Price (USD)]]/10000</f>
        <v>25.2667</v>
      </c>
      <c r="I919" s="28">
        <f>Table_7[[#This Row],[Length 
(ft)]]</f>
        <v>49</v>
      </c>
      <c r="J919" s="28">
        <f>2020-Table_7[[#This Row],[Year]]</f>
        <v>14</v>
      </c>
      <c r="K919">
        <v>188925995936.80701</v>
      </c>
      <c r="L919">
        <v>17658.947301119199</v>
      </c>
      <c r="M919">
        <v>-1.2479835558140799</v>
      </c>
      <c r="N919">
        <v>-9.0040436420214593</v>
      </c>
      <c r="O919">
        <v>42.33</v>
      </c>
      <c r="P919">
        <v>1005.002</v>
      </c>
      <c r="Q919">
        <v>63</v>
      </c>
      <c r="R919">
        <v>14.75</v>
      </c>
    </row>
    <row r="920" spans="1:18" x14ac:dyDescent="0.25">
      <c r="A920" s="1" t="s">
        <v>195</v>
      </c>
      <c r="B920" s="2" t="s">
        <v>230</v>
      </c>
      <c r="C920" s="19">
        <v>49</v>
      </c>
      <c r="D920" s="3" t="s">
        <v>496</v>
      </c>
      <c r="E920" s="3" t="s">
        <v>31</v>
      </c>
      <c r="F920" s="23">
        <v>301245</v>
      </c>
      <c r="G920" s="15">
        <v>2019</v>
      </c>
      <c r="H920" s="15">
        <f>Table_7[[#This Row],[Listing Price (USD)]]/10000</f>
        <v>30.124500000000001</v>
      </c>
      <c r="I920" s="28">
        <f>Table_7[[#This Row],[Length 
(ft)]]</f>
        <v>49</v>
      </c>
      <c r="J920" s="28">
        <f>2020-Table_7[[#This Row],[Year]]</f>
        <v>1</v>
      </c>
      <c r="K920">
        <v>57472012426.685303</v>
      </c>
      <c r="L920">
        <v>14198.753959474399</v>
      </c>
      <c r="M920">
        <v>0.15481137456202801</v>
      </c>
      <c r="N920">
        <v>-8.5803430210621805</v>
      </c>
      <c r="O920">
        <v>42.33</v>
      </c>
      <c r="P920">
        <v>1005.002</v>
      </c>
      <c r="Q920">
        <v>63</v>
      </c>
      <c r="R920">
        <v>14.75</v>
      </c>
    </row>
    <row r="921" spans="1:18" x14ac:dyDescent="0.25">
      <c r="A921" s="1" t="s">
        <v>195</v>
      </c>
      <c r="B921" s="2" t="s">
        <v>232</v>
      </c>
      <c r="C921" s="19">
        <v>48</v>
      </c>
      <c r="D921" s="3" t="s">
        <v>496</v>
      </c>
      <c r="E921" s="3" t="s">
        <v>31</v>
      </c>
      <c r="F921" s="23">
        <v>291527</v>
      </c>
      <c r="G921" s="15">
        <v>2019</v>
      </c>
      <c r="H921" s="15">
        <f>Table_7[[#This Row],[Listing Price (USD)]]/10000</f>
        <v>29.152699999999999</v>
      </c>
      <c r="I921" s="28">
        <f>Table_7[[#This Row],[Length 
(ft)]]</f>
        <v>48</v>
      </c>
      <c r="J921" s="28">
        <f>2020-Table_7[[#This Row],[Year]]</f>
        <v>1</v>
      </c>
      <c r="K921">
        <v>57472012426.685303</v>
      </c>
      <c r="L921">
        <v>14198.753959474399</v>
      </c>
      <c r="M921">
        <v>0.15481137456202801</v>
      </c>
      <c r="N921">
        <v>-8.5803430210621805</v>
      </c>
      <c r="O921">
        <v>43.42</v>
      </c>
      <c r="P921">
        <v>1173.002</v>
      </c>
      <c r="Q921">
        <v>63</v>
      </c>
      <c r="R921">
        <v>14.67</v>
      </c>
    </row>
    <row r="922" spans="1:18" x14ac:dyDescent="0.25">
      <c r="A922" s="1" t="s">
        <v>195</v>
      </c>
      <c r="B922" s="2" t="s">
        <v>232</v>
      </c>
      <c r="C922" s="19">
        <v>48</v>
      </c>
      <c r="D922" s="3" t="s">
        <v>496</v>
      </c>
      <c r="E922" s="3" t="s">
        <v>31</v>
      </c>
      <c r="F922" s="23">
        <v>309748</v>
      </c>
      <c r="G922" s="15">
        <v>2019</v>
      </c>
      <c r="H922" s="15">
        <f>Table_7[[#This Row],[Listing Price (USD)]]/10000</f>
        <v>30.974799999999998</v>
      </c>
      <c r="I922" s="28">
        <f>Table_7[[#This Row],[Length 
(ft)]]</f>
        <v>48</v>
      </c>
      <c r="J922" s="28">
        <f>2020-Table_7[[#This Row],[Year]]</f>
        <v>1</v>
      </c>
      <c r="K922">
        <v>57472012426.685303</v>
      </c>
      <c r="L922">
        <v>14198.753959474399</v>
      </c>
      <c r="M922">
        <v>0.15481137456202801</v>
      </c>
      <c r="N922">
        <v>-8.5803430210621805</v>
      </c>
      <c r="O922">
        <v>43.42</v>
      </c>
      <c r="P922">
        <v>1173.002</v>
      </c>
      <c r="Q922">
        <v>63</v>
      </c>
      <c r="R922">
        <v>14.67</v>
      </c>
    </row>
    <row r="923" spans="1:18" x14ac:dyDescent="0.25">
      <c r="A923" s="1" t="s">
        <v>195</v>
      </c>
      <c r="B923" s="2" t="s">
        <v>232</v>
      </c>
      <c r="C923" s="19">
        <v>48</v>
      </c>
      <c r="D923" s="3" t="s">
        <v>496</v>
      </c>
      <c r="E923" s="3" t="s">
        <v>31</v>
      </c>
      <c r="F923" s="23">
        <v>309760</v>
      </c>
      <c r="G923" s="15">
        <v>2019</v>
      </c>
      <c r="H923" s="15">
        <f>Table_7[[#This Row],[Listing Price (USD)]]/10000</f>
        <v>30.975999999999999</v>
      </c>
      <c r="I923" s="28">
        <f>Table_7[[#This Row],[Length 
(ft)]]</f>
        <v>48</v>
      </c>
      <c r="J923" s="28">
        <f>2020-Table_7[[#This Row],[Year]]</f>
        <v>1</v>
      </c>
      <c r="K923">
        <v>57472012426.685303</v>
      </c>
      <c r="L923">
        <v>14198.753959474399</v>
      </c>
      <c r="M923">
        <v>0.15481137456202801</v>
      </c>
      <c r="N923">
        <v>-8.5803430210621805</v>
      </c>
      <c r="O923">
        <v>43.42</v>
      </c>
      <c r="P923">
        <v>1173.002</v>
      </c>
      <c r="Q923">
        <v>63</v>
      </c>
      <c r="R923">
        <v>14.67</v>
      </c>
    </row>
    <row r="924" spans="1:18" x14ac:dyDescent="0.25">
      <c r="A924" s="1" t="s">
        <v>195</v>
      </c>
      <c r="B924" s="2" t="s">
        <v>232</v>
      </c>
      <c r="C924" s="19">
        <v>48</v>
      </c>
      <c r="D924" s="3" t="s">
        <v>496</v>
      </c>
      <c r="E924" s="3" t="s">
        <v>541</v>
      </c>
      <c r="F924" s="23">
        <v>423929</v>
      </c>
      <c r="G924" s="15">
        <v>2019</v>
      </c>
      <c r="H924" s="15">
        <f>Table_7[[#This Row],[Listing Price (USD)]]/10000</f>
        <v>42.392899999999997</v>
      </c>
      <c r="I924" s="28">
        <f>Table_7[[#This Row],[Length 
(ft)]]</f>
        <v>48</v>
      </c>
      <c r="J924" s="28">
        <f>2020-Table_7[[#This Row],[Year]]</f>
        <v>1</v>
      </c>
      <c r="K924">
        <v>425852281928.12097</v>
      </c>
      <c r="L924">
        <v>85420.190855609704</v>
      </c>
      <c r="M924">
        <v>-0.33458462542844403</v>
      </c>
      <c r="N924">
        <v>6.1845380388162301</v>
      </c>
      <c r="O924">
        <v>43.42</v>
      </c>
      <c r="P924">
        <v>1173.002</v>
      </c>
      <c r="Q924">
        <v>63</v>
      </c>
      <c r="R924">
        <v>14.67</v>
      </c>
    </row>
    <row r="925" spans="1:18" x14ac:dyDescent="0.25">
      <c r="A925" s="1" t="s">
        <v>195</v>
      </c>
      <c r="B925" s="2" t="s">
        <v>228</v>
      </c>
      <c r="C925" s="19">
        <v>49</v>
      </c>
      <c r="D925" s="3" t="s">
        <v>496</v>
      </c>
      <c r="E925" s="3" t="s">
        <v>24</v>
      </c>
      <c r="F925" s="23">
        <v>205284</v>
      </c>
      <c r="G925" s="15">
        <v>2007</v>
      </c>
      <c r="H925" s="15">
        <f>Table_7[[#This Row],[Listing Price (USD)]]/10000</f>
        <v>20.528400000000001</v>
      </c>
      <c r="I925" s="28">
        <f>Table_7[[#This Row],[Length 
(ft)]]</f>
        <v>49</v>
      </c>
      <c r="J925" s="28">
        <f>2020-Table_7[[#This Row],[Year]]</f>
        <v>13</v>
      </c>
      <c r="K925">
        <v>1896755301518.1399</v>
      </c>
      <c r="L925">
        <v>31911.0357890017</v>
      </c>
      <c r="M925">
        <v>-0.13770757391656999</v>
      </c>
      <c r="N925">
        <v>-9.0399534112288507</v>
      </c>
      <c r="O925">
        <v>42.32</v>
      </c>
      <c r="P925">
        <v>977.00199999999995</v>
      </c>
      <c r="Q925">
        <v>63</v>
      </c>
      <c r="R925">
        <v>16.37</v>
      </c>
    </row>
    <row r="926" spans="1:18" x14ac:dyDescent="0.25">
      <c r="A926" s="1" t="s">
        <v>195</v>
      </c>
      <c r="B926" s="2" t="s">
        <v>224</v>
      </c>
      <c r="C926" s="19">
        <v>49</v>
      </c>
      <c r="D926" s="3" t="s">
        <v>497</v>
      </c>
      <c r="E926" s="3" t="s">
        <v>558</v>
      </c>
      <c r="F926" s="23">
        <v>99999</v>
      </c>
      <c r="G926" s="15">
        <v>2008</v>
      </c>
      <c r="H926" s="15">
        <f>Table_7[[#This Row],[Listing Price (USD)]]/10000</f>
        <v>9.9999000000000002</v>
      </c>
      <c r="I926" s="28">
        <f>Table_7[[#This Row],[Length 
(ft)]]</f>
        <v>49</v>
      </c>
      <c r="J926" s="28">
        <f>2020-Table_7[[#This Row],[Year]]</f>
        <v>12</v>
      </c>
      <c r="K926">
        <v>1190000000</v>
      </c>
      <c r="L926">
        <v>28988.3</v>
      </c>
      <c r="M926">
        <v>6.5</v>
      </c>
      <c r="N926">
        <v>-6.6</v>
      </c>
      <c r="O926">
        <v>42.58</v>
      </c>
      <c r="P926">
        <v>994</v>
      </c>
      <c r="Q926">
        <v>63</v>
      </c>
      <c r="R926">
        <v>14.73</v>
      </c>
    </row>
    <row r="927" spans="1:18" x14ac:dyDescent="0.25">
      <c r="A927" s="1" t="s">
        <v>195</v>
      </c>
      <c r="B927" s="2" t="s">
        <v>224</v>
      </c>
      <c r="C927" s="19">
        <v>49</v>
      </c>
      <c r="D927" s="3" t="s">
        <v>496</v>
      </c>
      <c r="E927" s="3" t="s">
        <v>24</v>
      </c>
      <c r="F927" s="23">
        <v>109327</v>
      </c>
      <c r="G927" s="15">
        <v>2009</v>
      </c>
      <c r="H927" s="15">
        <f>Table_7[[#This Row],[Listing Price (USD)]]/10000</f>
        <v>10.932700000000001</v>
      </c>
      <c r="I927" s="28">
        <f>Table_7[[#This Row],[Length 
(ft)]]</f>
        <v>49</v>
      </c>
      <c r="J927" s="28">
        <f>2020-Table_7[[#This Row],[Year]]</f>
        <v>11</v>
      </c>
      <c r="K927">
        <v>1896755301518.1399</v>
      </c>
      <c r="L927">
        <v>31911.0357890017</v>
      </c>
      <c r="M927">
        <v>-0.13770757391656999</v>
      </c>
      <c r="N927">
        <v>-9.0399534112288507</v>
      </c>
      <c r="O927">
        <v>42.58</v>
      </c>
      <c r="P927">
        <v>994</v>
      </c>
      <c r="Q927">
        <v>63</v>
      </c>
      <c r="R927">
        <v>14.73</v>
      </c>
    </row>
    <row r="928" spans="1:18" x14ac:dyDescent="0.25">
      <c r="A928" s="1" t="s">
        <v>391</v>
      </c>
      <c r="B928" s="2" t="s">
        <v>224</v>
      </c>
      <c r="C928" s="19">
        <v>49</v>
      </c>
      <c r="D928" s="3" t="s">
        <v>497</v>
      </c>
      <c r="E928" s="3" t="s">
        <v>551</v>
      </c>
      <c r="F928" s="23">
        <v>109363</v>
      </c>
      <c r="G928" s="15">
        <v>2009</v>
      </c>
      <c r="H928" s="15">
        <f>Table_7[[#This Row],[Listing Price (USD)]]/10000</f>
        <v>10.936299999999999</v>
      </c>
      <c r="I928" s="28">
        <f>Table_7[[#This Row],[Length 
(ft)]]</f>
        <v>49</v>
      </c>
      <c r="J928" s="28">
        <f>2020-Table_7[[#This Row],[Year]]</f>
        <v>11</v>
      </c>
      <c r="K928">
        <v>910149704</v>
      </c>
      <c r="L928">
        <v>8335.2999999999993</v>
      </c>
      <c r="M928">
        <v>4.3</v>
      </c>
      <c r="N928">
        <v>2.2999999999999998</v>
      </c>
      <c r="O928">
        <v>42.58</v>
      </c>
      <c r="P928">
        <v>994</v>
      </c>
      <c r="Q928">
        <v>63</v>
      </c>
      <c r="R928">
        <v>14.73</v>
      </c>
    </row>
    <row r="929" spans="1:18" x14ac:dyDescent="0.25">
      <c r="A929" s="1" t="s">
        <v>195</v>
      </c>
      <c r="B929" s="2" t="s">
        <v>224</v>
      </c>
      <c r="C929" s="19">
        <v>49</v>
      </c>
      <c r="D929" s="3" t="s">
        <v>496</v>
      </c>
      <c r="E929" s="3" t="s">
        <v>31</v>
      </c>
      <c r="F929" s="23">
        <v>113574</v>
      </c>
      <c r="G929" s="15">
        <v>2008</v>
      </c>
      <c r="H929" s="15">
        <f>Table_7[[#This Row],[Listing Price (USD)]]/10000</f>
        <v>11.3574</v>
      </c>
      <c r="I929" s="28">
        <f>Table_7[[#This Row],[Length 
(ft)]]</f>
        <v>49</v>
      </c>
      <c r="J929" s="28">
        <f>2020-Table_7[[#This Row],[Year]]</f>
        <v>12</v>
      </c>
      <c r="K929">
        <v>57472012426.685303</v>
      </c>
      <c r="L929">
        <v>14198.753959474399</v>
      </c>
      <c r="M929">
        <v>0.15481137456202801</v>
      </c>
      <c r="N929">
        <v>-8.5803430210621805</v>
      </c>
      <c r="O929">
        <v>42.58</v>
      </c>
      <c r="P929">
        <v>994</v>
      </c>
      <c r="Q929">
        <v>63</v>
      </c>
      <c r="R929">
        <v>14.73</v>
      </c>
    </row>
    <row r="930" spans="1:18" x14ac:dyDescent="0.25">
      <c r="A930" s="1" t="s">
        <v>195</v>
      </c>
      <c r="B930" s="2" t="s">
        <v>224</v>
      </c>
      <c r="C930" s="19">
        <v>49</v>
      </c>
      <c r="D930" s="3" t="s">
        <v>496</v>
      </c>
      <c r="E930" s="3" t="s">
        <v>31</v>
      </c>
      <c r="F930" s="23">
        <v>120255</v>
      </c>
      <c r="G930" s="15">
        <v>2008</v>
      </c>
      <c r="H930" s="15">
        <f>Table_7[[#This Row],[Listing Price (USD)]]/10000</f>
        <v>12.025499999999999</v>
      </c>
      <c r="I930" s="28">
        <f>Table_7[[#This Row],[Length 
(ft)]]</f>
        <v>49</v>
      </c>
      <c r="J930" s="28">
        <f>2020-Table_7[[#This Row],[Year]]</f>
        <v>12</v>
      </c>
      <c r="K930">
        <v>57472012426.685303</v>
      </c>
      <c r="L930">
        <v>14198.753959474399</v>
      </c>
      <c r="M930">
        <v>0.15481137456202801</v>
      </c>
      <c r="N930">
        <v>-8.5803430210621805</v>
      </c>
      <c r="O930">
        <v>42.58</v>
      </c>
      <c r="P930">
        <v>994</v>
      </c>
      <c r="Q930">
        <v>63</v>
      </c>
      <c r="R930">
        <v>14.73</v>
      </c>
    </row>
    <row r="931" spans="1:18" x14ac:dyDescent="0.25">
      <c r="A931" s="1" t="s">
        <v>195</v>
      </c>
      <c r="B931" s="2" t="s">
        <v>224</v>
      </c>
      <c r="C931" s="19">
        <v>49</v>
      </c>
      <c r="D931" s="3" t="s">
        <v>496</v>
      </c>
      <c r="E931" s="3" t="s">
        <v>18</v>
      </c>
      <c r="F931" s="23">
        <v>121409</v>
      </c>
      <c r="G931" s="15">
        <v>2008</v>
      </c>
      <c r="H931" s="15">
        <f>Table_7[[#This Row],[Listing Price (USD)]]/10000</f>
        <v>12.1409</v>
      </c>
      <c r="I931" s="28">
        <f>Table_7[[#This Row],[Length 
(ft)]]</f>
        <v>49</v>
      </c>
      <c r="J931" s="28">
        <f>2020-Table_7[[#This Row],[Year]]</f>
        <v>12</v>
      </c>
      <c r="K931">
        <v>188925995936.80701</v>
      </c>
      <c r="L931">
        <v>17658.947301119199</v>
      </c>
      <c r="M931">
        <v>-1.2479835558140799</v>
      </c>
      <c r="N931">
        <v>-9.0040436420214593</v>
      </c>
      <c r="O931">
        <v>42.58</v>
      </c>
      <c r="P931">
        <v>994</v>
      </c>
      <c r="Q931">
        <v>63</v>
      </c>
      <c r="R931">
        <v>14.73</v>
      </c>
    </row>
    <row r="932" spans="1:18" x14ac:dyDescent="0.25">
      <c r="A932" s="1" t="s">
        <v>195</v>
      </c>
      <c r="B932" s="2" t="s">
        <v>224</v>
      </c>
      <c r="C932" s="19">
        <v>49</v>
      </c>
      <c r="D932" s="3" t="s">
        <v>496</v>
      </c>
      <c r="E932" s="3" t="s">
        <v>31</v>
      </c>
      <c r="F932" s="23">
        <v>122684</v>
      </c>
      <c r="G932" s="15">
        <v>2008</v>
      </c>
      <c r="H932" s="15">
        <f>Table_7[[#This Row],[Listing Price (USD)]]/10000</f>
        <v>12.2684</v>
      </c>
      <c r="I932" s="28">
        <f>Table_7[[#This Row],[Length 
(ft)]]</f>
        <v>49</v>
      </c>
      <c r="J932" s="28">
        <f>2020-Table_7[[#This Row],[Year]]</f>
        <v>12</v>
      </c>
      <c r="K932">
        <v>57472012426.685303</v>
      </c>
      <c r="L932">
        <v>14198.753959474399</v>
      </c>
      <c r="M932">
        <v>0.15481137456202801</v>
      </c>
      <c r="N932">
        <v>-8.5803430210621805</v>
      </c>
      <c r="O932">
        <v>42.58</v>
      </c>
      <c r="P932">
        <v>994</v>
      </c>
      <c r="Q932">
        <v>63</v>
      </c>
      <c r="R932">
        <v>14.73</v>
      </c>
    </row>
    <row r="933" spans="1:18" x14ac:dyDescent="0.25">
      <c r="A933" s="1" t="s">
        <v>195</v>
      </c>
      <c r="B933" s="2" t="s">
        <v>224</v>
      </c>
      <c r="C933" s="19">
        <v>49</v>
      </c>
      <c r="D933" s="3" t="s">
        <v>496</v>
      </c>
      <c r="E933" s="3" t="s">
        <v>31</v>
      </c>
      <c r="F933" s="23">
        <v>127543</v>
      </c>
      <c r="G933" s="15">
        <v>2009</v>
      </c>
      <c r="H933" s="15">
        <f>Table_7[[#This Row],[Listing Price (USD)]]/10000</f>
        <v>12.754300000000001</v>
      </c>
      <c r="I933" s="28">
        <f>Table_7[[#This Row],[Length 
(ft)]]</f>
        <v>49</v>
      </c>
      <c r="J933" s="28">
        <f>2020-Table_7[[#This Row],[Year]]</f>
        <v>11</v>
      </c>
      <c r="K933">
        <v>57472012426.685303</v>
      </c>
      <c r="L933">
        <v>14198.753959474399</v>
      </c>
      <c r="M933">
        <v>0.15481137456202801</v>
      </c>
      <c r="N933">
        <v>-8.5803430210621805</v>
      </c>
      <c r="O933">
        <v>42.58</v>
      </c>
      <c r="P933">
        <v>994</v>
      </c>
      <c r="Q933">
        <v>63</v>
      </c>
      <c r="R933">
        <v>14.73</v>
      </c>
    </row>
    <row r="934" spans="1:18" x14ac:dyDescent="0.25">
      <c r="A934" s="1" t="s">
        <v>195</v>
      </c>
      <c r="B934" s="2" t="s">
        <v>224</v>
      </c>
      <c r="C934" s="19">
        <v>49</v>
      </c>
      <c r="D934" s="3" t="s">
        <v>496</v>
      </c>
      <c r="E934" s="3" t="s">
        <v>31</v>
      </c>
      <c r="F934" s="23">
        <v>127543</v>
      </c>
      <c r="G934" s="15">
        <v>2007</v>
      </c>
      <c r="H934" s="15">
        <f>Table_7[[#This Row],[Listing Price (USD)]]/10000</f>
        <v>12.754300000000001</v>
      </c>
      <c r="I934" s="28">
        <f>Table_7[[#This Row],[Length 
(ft)]]</f>
        <v>49</v>
      </c>
      <c r="J934" s="28">
        <f>2020-Table_7[[#This Row],[Year]]</f>
        <v>13</v>
      </c>
      <c r="K934">
        <v>57472012426.685303</v>
      </c>
      <c r="L934">
        <v>14198.753959474399</v>
      </c>
      <c r="M934">
        <v>0.15481137456202801</v>
      </c>
      <c r="N934">
        <v>-8.5803430210621805</v>
      </c>
      <c r="O934">
        <v>42.58</v>
      </c>
      <c r="P934">
        <v>994</v>
      </c>
      <c r="Q934">
        <v>63</v>
      </c>
      <c r="R934">
        <v>14.73</v>
      </c>
    </row>
    <row r="935" spans="1:18" x14ac:dyDescent="0.25">
      <c r="A935" s="1" t="s">
        <v>195</v>
      </c>
      <c r="B935" s="2" t="s">
        <v>224</v>
      </c>
      <c r="C935" s="19">
        <v>49</v>
      </c>
      <c r="D935" s="3" t="s">
        <v>496</v>
      </c>
      <c r="E935" s="3" t="s">
        <v>31</v>
      </c>
      <c r="F935" s="23">
        <v>132402</v>
      </c>
      <c r="G935" s="15">
        <v>2008</v>
      </c>
      <c r="H935" s="15">
        <f>Table_7[[#This Row],[Listing Price (USD)]]/10000</f>
        <v>13.2402</v>
      </c>
      <c r="I935" s="28">
        <f>Table_7[[#This Row],[Length 
(ft)]]</f>
        <v>49</v>
      </c>
      <c r="J935" s="28">
        <f>2020-Table_7[[#This Row],[Year]]</f>
        <v>12</v>
      </c>
      <c r="K935">
        <v>57472012426.685303</v>
      </c>
      <c r="L935">
        <v>14198.753959474399</v>
      </c>
      <c r="M935">
        <v>0.15481137456202801</v>
      </c>
      <c r="N935">
        <v>-8.5803430210621805</v>
      </c>
      <c r="O935">
        <v>42.58</v>
      </c>
      <c r="P935">
        <v>994</v>
      </c>
      <c r="Q935">
        <v>63</v>
      </c>
      <c r="R935">
        <v>14.73</v>
      </c>
    </row>
    <row r="936" spans="1:18" x14ac:dyDescent="0.25">
      <c r="A936" s="1" t="s">
        <v>195</v>
      </c>
      <c r="B936" s="2" t="s">
        <v>224</v>
      </c>
      <c r="C936" s="19">
        <v>49</v>
      </c>
      <c r="D936" s="3" t="s">
        <v>496</v>
      </c>
      <c r="E936" s="3" t="s">
        <v>31</v>
      </c>
      <c r="F936" s="23">
        <v>134710</v>
      </c>
      <c r="G936" s="15">
        <v>2008</v>
      </c>
      <c r="H936" s="15">
        <f>Table_7[[#This Row],[Listing Price (USD)]]/10000</f>
        <v>13.471</v>
      </c>
      <c r="I936" s="28">
        <f>Table_7[[#This Row],[Length 
(ft)]]</f>
        <v>49</v>
      </c>
      <c r="J936" s="28">
        <f>2020-Table_7[[#This Row],[Year]]</f>
        <v>12</v>
      </c>
      <c r="K936">
        <v>57472012426.685303</v>
      </c>
      <c r="L936">
        <v>14198.753959474399</v>
      </c>
      <c r="M936">
        <v>0.15481137456202801</v>
      </c>
      <c r="N936">
        <v>-8.5803430210621805</v>
      </c>
      <c r="O936">
        <v>42.58</v>
      </c>
      <c r="P936">
        <v>994</v>
      </c>
      <c r="Q936">
        <v>63</v>
      </c>
      <c r="R936">
        <v>14.73</v>
      </c>
    </row>
    <row r="937" spans="1:18" x14ac:dyDescent="0.25">
      <c r="A937" s="1" t="s">
        <v>195</v>
      </c>
      <c r="B937" s="2" t="s">
        <v>224</v>
      </c>
      <c r="C937" s="19">
        <v>49</v>
      </c>
      <c r="D937" s="3" t="s">
        <v>496</v>
      </c>
      <c r="E937" s="3" t="s">
        <v>24</v>
      </c>
      <c r="F937" s="23">
        <v>144555</v>
      </c>
      <c r="G937" s="15">
        <v>2009</v>
      </c>
      <c r="H937" s="15">
        <f>Table_7[[#This Row],[Listing Price (USD)]]/10000</f>
        <v>14.455500000000001</v>
      </c>
      <c r="I937" s="28">
        <f>Table_7[[#This Row],[Length 
(ft)]]</f>
        <v>49</v>
      </c>
      <c r="J937" s="28">
        <f>2020-Table_7[[#This Row],[Year]]</f>
        <v>11</v>
      </c>
      <c r="K937">
        <v>1896755301518.1399</v>
      </c>
      <c r="L937">
        <v>31911.0357890017</v>
      </c>
      <c r="M937">
        <v>-0.13770757391656999</v>
      </c>
      <c r="N937">
        <v>-9.0399534112288507</v>
      </c>
      <c r="O937">
        <v>42.58</v>
      </c>
      <c r="P937">
        <v>994</v>
      </c>
      <c r="Q937">
        <v>63</v>
      </c>
      <c r="R937">
        <v>14.73</v>
      </c>
    </row>
    <row r="938" spans="1:18" x14ac:dyDescent="0.25">
      <c r="A938" s="1" t="s">
        <v>195</v>
      </c>
      <c r="B938" s="2" t="s">
        <v>224</v>
      </c>
      <c r="C938" s="19">
        <v>49</v>
      </c>
      <c r="D938" s="3" t="s">
        <v>496</v>
      </c>
      <c r="E938" s="3" t="s">
        <v>31</v>
      </c>
      <c r="F938" s="23">
        <v>153052</v>
      </c>
      <c r="G938" s="15">
        <v>2011</v>
      </c>
      <c r="H938" s="15">
        <f>Table_7[[#This Row],[Listing Price (USD)]]/10000</f>
        <v>15.305199999999999</v>
      </c>
      <c r="I938" s="28">
        <f>Table_7[[#This Row],[Length 
(ft)]]</f>
        <v>49</v>
      </c>
      <c r="J938" s="28">
        <f>2020-Table_7[[#This Row],[Year]]</f>
        <v>9</v>
      </c>
      <c r="K938">
        <v>57472012426.685303</v>
      </c>
      <c r="L938">
        <v>14198.753959474399</v>
      </c>
      <c r="M938">
        <v>0.15481137456202801</v>
      </c>
      <c r="N938">
        <v>-8.5803430210621805</v>
      </c>
      <c r="O938">
        <v>42.58</v>
      </c>
      <c r="P938">
        <v>994</v>
      </c>
      <c r="Q938">
        <v>63</v>
      </c>
      <c r="R938">
        <v>14.73</v>
      </c>
    </row>
    <row r="939" spans="1:18" x14ac:dyDescent="0.25">
      <c r="A939" s="1" t="s">
        <v>195</v>
      </c>
      <c r="B939" s="2" t="s">
        <v>224</v>
      </c>
      <c r="C939" s="19">
        <v>49</v>
      </c>
      <c r="D939" s="3" t="s">
        <v>496</v>
      </c>
      <c r="E939" s="3" t="s">
        <v>31</v>
      </c>
      <c r="F939" s="23">
        <v>163984</v>
      </c>
      <c r="G939" s="15">
        <v>2009</v>
      </c>
      <c r="H939" s="15">
        <f>Table_7[[#This Row],[Listing Price (USD)]]/10000</f>
        <v>16.398399999999999</v>
      </c>
      <c r="I939" s="28">
        <f>Table_7[[#This Row],[Length 
(ft)]]</f>
        <v>49</v>
      </c>
      <c r="J939" s="28">
        <f>2020-Table_7[[#This Row],[Year]]</f>
        <v>11</v>
      </c>
      <c r="K939">
        <v>57472012426.685303</v>
      </c>
      <c r="L939">
        <v>14198.753959474399</v>
      </c>
      <c r="M939">
        <v>0.15481137456202801</v>
      </c>
      <c r="N939">
        <v>-8.5803430210621805</v>
      </c>
      <c r="O939">
        <v>42.58</v>
      </c>
      <c r="P939">
        <v>994</v>
      </c>
      <c r="Q939">
        <v>63</v>
      </c>
      <c r="R939">
        <v>14.73</v>
      </c>
    </row>
    <row r="940" spans="1:18" x14ac:dyDescent="0.25">
      <c r="A940" s="1" t="s">
        <v>195</v>
      </c>
      <c r="B940" s="2" t="s">
        <v>224</v>
      </c>
      <c r="C940" s="19">
        <v>49</v>
      </c>
      <c r="D940" s="3" t="s">
        <v>496</v>
      </c>
      <c r="E940" s="3" t="s">
        <v>31</v>
      </c>
      <c r="F940" s="23">
        <v>163991</v>
      </c>
      <c r="G940" s="15">
        <v>2007</v>
      </c>
      <c r="H940" s="15">
        <f>Table_7[[#This Row],[Listing Price (USD)]]/10000</f>
        <v>16.399100000000001</v>
      </c>
      <c r="I940" s="28">
        <f>Table_7[[#This Row],[Length 
(ft)]]</f>
        <v>49</v>
      </c>
      <c r="J940" s="28">
        <f>2020-Table_7[[#This Row],[Year]]</f>
        <v>13</v>
      </c>
      <c r="K940">
        <v>57472012426.685303</v>
      </c>
      <c r="L940">
        <v>14198.753959474399</v>
      </c>
      <c r="M940">
        <v>0.15481137456202801</v>
      </c>
      <c r="N940">
        <v>-8.5803430210621805</v>
      </c>
      <c r="O940">
        <v>42.58</v>
      </c>
      <c r="P940">
        <v>994</v>
      </c>
      <c r="Q940">
        <v>63</v>
      </c>
      <c r="R940">
        <v>14.73</v>
      </c>
    </row>
    <row r="941" spans="1:18" x14ac:dyDescent="0.25">
      <c r="A941" s="1" t="s">
        <v>195</v>
      </c>
      <c r="B941" s="2" t="s">
        <v>224</v>
      </c>
      <c r="C941" s="19">
        <v>49</v>
      </c>
      <c r="D941" s="3" t="s">
        <v>496</v>
      </c>
      <c r="E941" s="3" t="s">
        <v>24</v>
      </c>
      <c r="F941" s="23">
        <v>173709</v>
      </c>
      <c r="G941" s="15">
        <v>2008</v>
      </c>
      <c r="H941" s="15">
        <f>Table_7[[#This Row],[Listing Price (USD)]]/10000</f>
        <v>17.370899999999999</v>
      </c>
      <c r="I941" s="28">
        <f>Table_7[[#This Row],[Length 
(ft)]]</f>
        <v>49</v>
      </c>
      <c r="J941" s="28">
        <f>2020-Table_7[[#This Row],[Year]]</f>
        <v>12</v>
      </c>
      <c r="K941">
        <v>1896755301518.1399</v>
      </c>
      <c r="L941">
        <v>31911.0357890017</v>
      </c>
      <c r="M941">
        <v>-0.13770757391656999</v>
      </c>
      <c r="N941">
        <v>-9.0399534112288507</v>
      </c>
      <c r="O941">
        <v>42.58</v>
      </c>
      <c r="P941">
        <v>994</v>
      </c>
      <c r="Q941">
        <v>63</v>
      </c>
      <c r="R941">
        <v>14.73</v>
      </c>
    </row>
    <row r="942" spans="1:18" x14ac:dyDescent="0.25">
      <c r="A942" s="1" t="s">
        <v>195</v>
      </c>
      <c r="B942" s="2" t="s">
        <v>224</v>
      </c>
      <c r="C942" s="19">
        <v>49</v>
      </c>
      <c r="D942" s="3" t="s">
        <v>496</v>
      </c>
      <c r="E942" s="3" t="s">
        <v>63</v>
      </c>
      <c r="F942" s="23">
        <v>180990</v>
      </c>
      <c r="G942" s="15">
        <v>2009</v>
      </c>
      <c r="H942" s="15">
        <f>Table_7[[#This Row],[Listing Price (USD)]]/10000</f>
        <v>18.099</v>
      </c>
      <c r="I942" s="28">
        <f>Table_7[[#This Row],[Length 
(ft)]]</f>
        <v>49</v>
      </c>
      <c r="J942" s="28">
        <f>2020-Table_7[[#This Row],[Year]]</f>
        <v>11</v>
      </c>
      <c r="K942">
        <v>720290000031</v>
      </c>
      <c r="L942">
        <v>13341.6</v>
      </c>
      <c r="M942">
        <v>13</v>
      </c>
      <c r="N942">
        <v>-3</v>
      </c>
      <c r="O942">
        <v>42.58</v>
      </c>
      <c r="P942">
        <v>994</v>
      </c>
      <c r="Q942">
        <v>63</v>
      </c>
      <c r="R942">
        <v>14.73</v>
      </c>
    </row>
    <row r="943" spans="1:18" x14ac:dyDescent="0.25">
      <c r="A943" s="1" t="s">
        <v>195</v>
      </c>
      <c r="B943" s="2" t="s">
        <v>224</v>
      </c>
      <c r="C943" s="19">
        <v>49</v>
      </c>
      <c r="D943" s="3" t="s">
        <v>496</v>
      </c>
      <c r="E943" s="3" t="s">
        <v>24</v>
      </c>
      <c r="F943" s="23">
        <v>206507</v>
      </c>
      <c r="G943" s="15">
        <v>2009</v>
      </c>
      <c r="H943" s="15">
        <f>Table_7[[#This Row],[Listing Price (USD)]]/10000</f>
        <v>20.650700000000001</v>
      </c>
      <c r="I943" s="28">
        <f>Table_7[[#This Row],[Length 
(ft)]]</f>
        <v>49</v>
      </c>
      <c r="J943" s="28">
        <f>2020-Table_7[[#This Row],[Year]]</f>
        <v>11</v>
      </c>
      <c r="K943">
        <v>1896755301518.1399</v>
      </c>
      <c r="L943">
        <v>31911.0357890017</v>
      </c>
      <c r="M943">
        <v>-0.13770757391656999</v>
      </c>
      <c r="N943">
        <v>-9.0399534112288507</v>
      </c>
      <c r="O943">
        <v>42.58</v>
      </c>
      <c r="P943">
        <v>994</v>
      </c>
      <c r="Q943">
        <v>63</v>
      </c>
      <c r="R943">
        <v>14.73</v>
      </c>
    </row>
    <row r="944" spans="1:18" x14ac:dyDescent="0.25">
      <c r="A944" s="1" t="s">
        <v>195</v>
      </c>
      <c r="B944" s="3" t="s">
        <v>227</v>
      </c>
      <c r="C944" s="19">
        <v>49</v>
      </c>
      <c r="D944" s="3" t="s">
        <v>496</v>
      </c>
      <c r="E944" s="3" t="s">
        <v>31</v>
      </c>
      <c r="F944" s="23">
        <v>120161</v>
      </c>
      <c r="G944" s="15">
        <v>2008</v>
      </c>
      <c r="H944" s="15">
        <f>Table_7[[#This Row],[Listing Price (USD)]]/10000</f>
        <v>12.0161</v>
      </c>
      <c r="I944" s="28">
        <f>Table_7[[#This Row],[Length 
(ft)]]</f>
        <v>49</v>
      </c>
      <c r="J944" s="28">
        <f>2020-Table_7[[#This Row],[Year]]</f>
        <v>12</v>
      </c>
      <c r="K944">
        <v>57472012426.685303</v>
      </c>
      <c r="L944">
        <v>14198.753959474399</v>
      </c>
      <c r="M944">
        <v>0.15481137456202801</v>
      </c>
      <c r="N944">
        <v>-8.5803430210621805</v>
      </c>
      <c r="O944">
        <v>42.58</v>
      </c>
      <c r="P944">
        <v>994.00199999999995</v>
      </c>
      <c r="Q944">
        <v>63</v>
      </c>
      <c r="R944">
        <v>14.73</v>
      </c>
    </row>
    <row r="945" spans="1:18" x14ac:dyDescent="0.25">
      <c r="A945" s="1" t="s">
        <v>195</v>
      </c>
      <c r="B945" s="2" t="s">
        <v>227</v>
      </c>
      <c r="C945" s="19">
        <v>49</v>
      </c>
      <c r="D945" s="3" t="s">
        <v>496</v>
      </c>
      <c r="E945" s="3" t="s">
        <v>24</v>
      </c>
      <c r="F945" s="23">
        <v>176131</v>
      </c>
      <c r="G945" s="15">
        <v>2008</v>
      </c>
      <c r="H945" s="15">
        <f>Table_7[[#This Row],[Listing Price (USD)]]/10000</f>
        <v>17.613099999999999</v>
      </c>
      <c r="I945" s="28">
        <f>Table_7[[#This Row],[Length 
(ft)]]</f>
        <v>49</v>
      </c>
      <c r="J945" s="28">
        <f>2020-Table_7[[#This Row],[Year]]</f>
        <v>12</v>
      </c>
      <c r="K945">
        <v>1896755301518.1399</v>
      </c>
      <c r="L945">
        <v>31911.0357890017</v>
      </c>
      <c r="M945">
        <v>-0.13770757391656999</v>
      </c>
      <c r="N945">
        <v>-9.0399534112288507</v>
      </c>
      <c r="O945">
        <v>42.58</v>
      </c>
      <c r="P945">
        <v>994.00199999999995</v>
      </c>
      <c r="Q945">
        <v>63</v>
      </c>
      <c r="R945">
        <v>14.73</v>
      </c>
    </row>
    <row r="946" spans="1:18" x14ac:dyDescent="0.25">
      <c r="A946" s="1" t="s">
        <v>195</v>
      </c>
      <c r="B946" s="2" t="s">
        <v>233</v>
      </c>
      <c r="C946" s="19">
        <v>49</v>
      </c>
      <c r="D946" s="3" t="s">
        <v>496</v>
      </c>
      <c r="E946" s="3" t="s">
        <v>31</v>
      </c>
      <c r="F946" s="23">
        <v>143922</v>
      </c>
      <c r="G946" s="15">
        <v>2009</v>
      </c>
      <c r="H946" s="15">
        <f>Table_7[[#This Row],[Listing Price (USD)]]/10000</f>
        <v>14.392200000000001</v>
      </c>
      <c r="I946" s="28">
        <f>Table_7[[#This Row],[Length 
(ft)]]</f>
        <v>49</v>
      </c>
      <c r="J946" s="28">
        <f>2020-Table_7[[#This Row],[Year]]</f>
        <v>11</v>
      </c>
      <c r="K946">
        <v>57472012426.685303</v>
      </c>
      <c r="L946">
        <v>14198.753959474399</v>
      </c>
      <c r="M946">
        <v>0.15481137456202801</v>
      </c>
      <c r="N946">
        <v>-8.5803430210621805</v>
      </c>
      <c r="O946">
        <v>43.04</v>
      </c>
      <c r="P946">
        <v>1088.232</v>
      </c>
      <c r="Q946">
        <v>63</v>
      </c>
      <c r="R946">
        <v>14.73</v>
      </c>
    </row>
    <row r="947" spans="1:18" x14ac:dyDescent="0.25">
      <c r="A947" s="1" t="s">
        <v>195</v>
      </c>
      <c r="B947" s="2" t="s">
        <v>233</v>
      </c>
      <c r="C947" s="19">
        <v>49</v>
      </c>
      <c r="D947" s="3" t="s">
        <v>496</v>
      </c>
      <c r="E947" s="3" t="s">
        <v>31</v>
      </c>
      <c r="F947" s="23">
        <v>145769</v>
      </c>
      <c r="G947" s="15">
        <v>2009</v>
      </c>
      <c r="H947" s="15">
        <f>Table_7[[#This Row],[Listing Price (USD)]]/10000</f>
        <v>14.5769</v>
      </c>
      <c r="I947" s="28">
        <f>Table_7[[#This Row],[Length 
(ft)]]</f>
        <v>49</v>
      </c>
      <c r="J947" s="28">
        <f>2020-Table_7[[#This Row],[Year]]</f>
        <v>11</v>
      </c>
      <c r="K947">
        <v>57472012426.685303</v>
      </c>
      <c r="L947">
        <v>14198.753959474399</v>
      </c>
      <c r="M947">
        <v>0.15481137456202801</v>
      </c>
      <c r="N947">
        <v>-8.5803430210621805</v>
      </c>
      <c r="O947">
        <v>43.04</v>
      </c>
      <c r="P947">
        <v>1088.232</v>
      </c>
      <c r="Q947">
        <v>63</v>
      </c>
      <c r="R947">
        <v>14.73</v>
      </c>
    </row>
    <row r="948" spans="1:18" x14ac:dyDescent="0.25">
      <c r="A948" s="1" t="s">
        <v>195</v>
      </c>
      <c r="B948" s="2" t="s">
        <v>233</v>
      </c>
      <c r="C948" s="19">
        <v>49</v>
      </c>
      <c r="D948" s="3" t="s">
        <v>496</v>
      </c>
      <c r="E948" s="3" t="s">
        <v>18</v>
      </c>
      <c r="F948" s="23">
        <v>151843</v>
      </c>
      <c r="G948" s="15">
        <v>2009</v>
      </c>
      <c r="H948" s="15">
        <f>Table_7[[#This Row],[Listing Price (USD)]]/10000</f>
        <v>15.1843</v>
      </c>
      <c r="I948" s="28">
        <f>Table_7[[#This Row],[Length 
(ft)]]</f>
        <v>49</v>
      </c>
      <c r="J948" s="28">
        <f>2020-Table_7[[#This Row],[Year]]</f>
        <v>11</v>
      </c>
      <c r="K948">
        <v>188925995936.80701</v>
      </c>
      <c r="L948">
        <v>17658.947301119199</v>
      </c>
      <c r="M948">
        <v>-1.2479835558140799</v>
      </c>
      <c r="N948">
        <v>-9.0040436420214593</v>
      </c>
      <c r="O948">
        <v>43.04</v>
      </c>
      <c r="P948">
        <v>1088.232</v>
      </c>
      <c r="Q948">
        <v>63</v>
      </c>
      <c r="R948">
        <v>14.73</v>
      </c>
    </row>
    <row r="949" spans="1:18" x14ac:dyDescent="0.25">
      <c r="A949" s="1" t="s">
        <v>195</v>
      </c>
      <c r="B949" s="2" t="s">
        <v>233</v>
      </c>
      <c r="C949" s="19">
        <v>49</v>
      </c>
      <c r="D949" s="3" t="s">
        <v>496</v>
      </c>
      <c r="E949" s="3" t="s">
        <v>31</v>
      </c>
      <c r="F949" s="23">
        <v>153052</v>
      </c>
      <c r="G949" s="15">
        <v>2009</v>
      </c>
      <c r="H949" s="15">
        <f>Table_7[[#This Row],[Listing Price (USD)]]/10000</f>
        <v>15.305199999999999</v>
      </c>
      <c r="I949" s="28">
        <f>Table_7[[#This Row],[Length 
(ft)]]</f>
        <v>49</v>
      </c>
      <c r="J949" s="28">
        <f>2020-Table_7[[#This Row],[Year]]</f>
        <v>11</v>
      </c>
      <c r="K949">
        <v>57472012426.685303</v>
      </c>
      <c r="L949">
        <v>14198.753959474399</v>
      </c>
      <c r="M949">
        <v>0.15481137456202801</v>
      </c>
      <c r="N949">
        <v>-8.5803430210621805</v>
      </c>
      <c r="O949">
        <v>43.04</v>
      </c>
      <c r="P949">
        <v>1088.232</v>
      </c>
      <c r="Q949">
        <v>63</v>
      </c>
      <c r="R949">
        <v>14.73</v>
      </c>
    </row>
    <row r="950" spans="1:18" x14ac:dyDescent="0.25">
      <c r="A950" s="1" t="s">
        <v>195</v>
      </c>
      <c r="B950" s="2" t="s">
        <v>233</v>
      </c>
      <c r="C950" s="19">
        <v>49</v>
      </c>
      <c r="D950" s="3" t="s">
        <v>496</v>
      </c>
      <c r="E950" s="3" t="s">
        <v>31</v>
      </c>
      <c r="F950" s="23">
        <v>157911</v>
      </c>
      <c r="G950" s="15">
        <v>2009</v>
      </c>
      <c r="H950" s="15">
        <f>Table_7[[#This Row],[Listing Price (USD)]]/10000</f>
        <v>15.7911</v>
      </c>
      <c r="I950" s="28">
        <f>Table_7[[#This Row],[Length 
(ft)]]</f>
        <v>49</v>
      </c>
      <c r="J950" s="28">
        <f>2020-Table_7[[#This Row],[Year]]</f>
        <v>11</v>
      </c>
      <c r="K950">
        <v>57472012426.685303</v>
      </c>
      <c r="L950">
        <v>14198.753959474399</v>
      </c>
      <c r="M950">
        <v>0.15481137456202801</v>
      </c>
      <c r="N950">
        <v>-8.5803430210621805</v>
      </c>
      <c r="O950">
        <v>43.04</v>
      </c>
      <c r="P950">
        <v>1088.232</v>
      </c>
      <c r="Q950">
        <v>63</v>
      </c>
      <c r="R950">
        <v>14.73</v>
      </c>
    </row>
    <row r="951" spans="1:18" x14ac:dyDescent="0.25">
      <c r="A951" s="1" t="s">
        <v>195</v>
      </c>
      <c r="B951" s="2" t="s">
        <v>233</v>
      </c>
      <c r="C951" s="19">
        <v>49</v>
      </c>
      <c r="D951" s="3" t="s">
        <v>496</v>
      </c>
      <c r="E951" s="3" t="s">
        <v>18</v>
      </c>
      <c r="F951" s="23">
        <v>157917</v>
      </c>
      <c r="G951" s="15">
        <v>2009</v>
      </c>
      <c r="H951" s="15">
        <f>Table_7[[#This Row],[Listing Price (USD)]]/10000</f>
        <v>15.791700000000001</v>
      </c>
      <c r="I951" s="28">
        <f>Table_7[[#This Row],[Length 
(ft)]]</f>
        <v>49</v>
      </c>
      <c r="J951" s="28">
        <f>2020-Table_7[[#This Row],[Year]]</f>
        <v>11</v>
      </c>
      <c r="K951">
        <v>188925995936.80701</v>
      </c>
      <c r="L951">
        <v>17658.947301119199</v>
      </c>
      <c r="M951">
        <v>-1.2479835558140799</v>
      </c>
      <c r="N951">
        <v>-9.0040436420214593</v>
      </c>
      <c r="O951">
        <v>43.04</v>
      </c>
      <c r="P951">
        <v>1088.232</v>
      </c>
      <c r="Q951">
        <v>63</v>
      </c>
      <c r="R951">
        <v>14.73</v>
      </c>
    </row>
    <row r="952" spans="1:18" x14ac:dyDescent="0.25">
      <c r="A952" s="1" t="s">
        <v>195</v>
      </c>
      <c r="B952" s="2" t="s">
        <v>233</v>
      </c>
      <c r="C952" s="19">
        <v>49</v>
      </c>
      <c r="D952" s="3" t="s">
        <v>496</v>
      </c>
      <c r="E952" s="3" t="s">
        <v>18</v>
      </c>
      <c r="F952" s="23">
        <v>193137</v>
      </c>
      <c r="G952" s="15">
        <v>2009</v>
      </c>
      <c r="H952" s="15">
        <f>Table_7[[#This Row],[Listing Price (USD)]]/10000</f>
        <v>19.313700000000001</v>
      </c>
      <c r="I952" s="28">
        <f>Table_7[[#This Row],[Length 
(ft)]]</f>
        <v>49</v>
      </c>
      <c r="J952" s="28">
        <f>2020-Table_7[[#This Row],[Year]]</f>
        <v>11</v>
      </c>
      <c r="K952">
        <v>188925995936.80701</v>
      </c>
      <c r="L952">
        <v>17658.947301119199</v>
      </c>
      <c r="M952">
        <v>-1.2479835558140799</v>
      </c>
      <c r="N952">
        <v>-9.0040436420214593</v>
      </c>
      <c r="O952">
        <v>43.04</v>
      </c>
      <c r="P952">
        <v>1088.232</v>
      </c>
      <c r="Q952">
        <v>63</v>
      </c>
      <c r="R952">
        <v>14.73</v>
      </c>
    </row>
    <row r="953" spans="1:18" x14ac:dyDescent="0.25">
      <c r="A953" s="1" t="s">
        <v>195</v>
      </c>
      <c r="B953" s="2" t="s">
        <v>233</v>
      </c>
      <c r="C953" s="19">
        <v>49</v>
      </c>
      <c r="D953" s="3" t="s">
        <v>496</v>
      </c>
      <c r="E953" s="3" t="s">
        <v>31</v>
      </c>
      <c r="F953" s="23">
        <v>201640</v>
      </c>
      <c r="G953" s="15">
        <v>2013</v>
      </c>
      <c r="H953" s="15">
        <f>Table_7[[#This Row],[Listing Price (USD)]]/10000</f>
        <v>20.164000000000001</v>
      </c>
      <c r="I953" s="28">
        <f>Table_7[[#This Row],[Length 
(ft)]]</f>
        <v>49</v>
      </c>
      <c r="J953" s="28">
        <f>2020-Table_7[[#This Row],[Year]]</f>
        <v>7</v>
      </c>
      <c r="K953">
        <v>57472012426.685303</v>
      </c>
      <c r="L953">
        <v>14198.753959474399</v>
      </c>
      <c r="M953">
        <v>0.15481137456202801</v>
      </c>
      <c r="N953">
        <v>-8.5803430210621805</v>
      </c>
      <c r="O953">
        <v>43.04</v>
      </c>
      <c r="P953">
        <v>1088.232</v>
      </c>
      <c r="Q953">
        <v>63</v>
      </c>
      <c r="R953">
        <v>14.73</v>
      </c>
    </row>
    <row r="954" spans="1:18" x14ac:dyDescent="0.25">
      <c r="A954" s="1" t="s">
        <v>391</v>
      </c>
      <c r="B954" s="2" t="s">
        <v>233</v>
      </c>
      <c r="C954" s="19">
        <v>49</v>
      </c>
      <c r="D954" s="3" t="s">
        <v>497</v>
      </c>
      <c r="E954" s="3" t="s">
        <v>483</v>
      </c>
      <c r="F954" s="23">
        <v>206574</v>
      </c>
      <c r="G954" s="15">
        <v>2009</v>
      </c>
      <c r="H954" s="15">
        <f>Table_7[[#This Row],[Listing Price (USD)]]/10000</f>
        <v>20.657399999999999</v>
      </c>
      <c r="I954" s="28">
        <f>Table_7[[#This Row],[Length 
(ft)]]</f>
        <v>49</v>
      </c>
      <c r="J954" s="28">
        <f>2020-Table_7[[#This Row],[Year]]</f>
        <v>11</v>
      </c>
      <c r="K954">
        <v>4200000000</v>
      </c>
      <c r="L954">
        <v>39553.199999999997</v>
      </c>
      <c r="M954">
        <v>2.5</v>
      </c>
      <c r="N954">
        <v>-2.1</v>
      </c>
      <c r="O954">
        <v>43.04</v>
      </c>
      <c r="P954">
        <v>1088.232</v>
      </c>
      <c r="Q954">
        <v>63</v>
      </c>
      <c r="R954">
        <v>14.73</v>
      </c>
    </row>
    <row r="955" spans="1:18" x14ac:dyDescent="0.25">
      <c r="A955" s="1" t="s">
        <v>391</v>
      </c>
      <c r="B955" s="2" t="s">
        <v>233</v>
      </c>
      <c r="C955" s="19">
        <v>49</v>
      </c>
      <c r="D955" s="3" t="s">
        <v>497</v>
      </c>
      <c r="E955" s="3" t="s">
        <v>392</v>
      </c>
      <c r="F955" s="23">
        <v>220000</v>
      </c>
      <c r="G955" s="15">
        <v>2009</v>
      </c>
      <c r="H955" s="15">
        <f>Table_7[[#This Row],[Listing Price (USD)]]/10000</f>
        <v>22</v>
      </c>
      <c r="I955" s="28">
        <f>Table_7[[#This Row],[Length 
(ft)]]</f>
        <v>49</v>
      </c>
      <c r="J955" s="28">
        <f>2020-Table_7[[#This Row],[Year]]</f>
        <v>11</v>
      </c>
      <c r="K955">
        <v>1043414814.81481</v>
      </c>
      <c r="L955">
        <v>8437.5667322870595</v>
      </c>
      <c r="M955">
        <v>-0.74073259704550098</v>
      </c>
      <c r="N955">
        <v>-13.7559294530644</v>
      </c>
      <c r="O955">
        <v>43.04</v>
      </c>
      <c r="P955">
        <v>1088.232</v>
      </c>
      <c r="Q955">
        <v>63</v>
      </c>
      <c r="R955">
        <v>14.73</v>
      </c>
    </row>
    <row r="956" spans="1:18" x14ac:dyDescent="0.25">
      <c r="A956" s="1" t="s">
        <v>195</v>
      </c>
      <c r="B956" s="2" t="s">
        <v>233</v>
      </c>
      <c r="C956" s="19">
        <v>49</v>
      </c>
      <c r="D956" s="3" t="s">
        <v>496</v>
      </c>
      <c r="E956" s="3" t="s">
        <v>24</v>
      </c>
      <c r="F956" s="23">
        <v>236866</v>
      </c>
      <c r="G956" s="15">
        <v>2010</v>
      </c>
      <c r="H956" s="15">
        <f>Table_7[[#This Row],[Listing Price (USD)]]/10000</f>
        <v>23.686599999999999</v>
      </c>
      <c r="I956" s="28">
        <f>Table_7[[#This Row],[Length 
(ft)]]</f>
        <v>49</v>
      </c>
      <c r="J956" s="28">
        <f>2020-Table_7[[#This Row],[Year]]</f>
        <v>10</v>
      </c>
      <c r="K956">
        <v>1896755301518.1399</v>
      </c>
      <c r="L956">
        <v>31911.0357890017</v>
      </c>
      <c r="M956">
        <v>-0.13770757391656999</v>
      </c>
      <c r="N956">
        <v>-9.0399534112288507</v>
      </c>
      <c r="O956">
        <v>43.04</v>
      </c>
      <c r="P956">
        <v>1088.232</v>
      </c>
      <c r="Q956">
        <v>63</v>
      </c>
      <c r="R956">
        <v>14.73</v>
      </c>
    </row>
    <row r="957" spans="1:18" x14ac:dyDescent="0.25">
      <c r="A957" s="1" t="s">
        <v>195</v>
      </c>
      <c r="B957" s="2" t="s">
        <v>233</v>
      </c>
      <c r="C957" s="19">
        <v>49</v>
      </c>
      <c r="D957" s="3" t="s">
        <v>496</v>
      </c>
      <c r="E957" s="3" t="s">
        <v>9</v>
      </c>
      <c r="F957" s="23">
        <v>239817</v>
      </c>
      <c r="G957" s="15">
        <v>2015</v>
      </c>
      <c r="H957" s="15">
        <f>Table_7[[#This Row],[Listing Price (USD)]]/10000</f>
        <v>23.9817</v>
      </c>
      <c r="I957" s="28">
        <f>Table_7[[#This Row],[Length 
(ft)]]</f>
        <v>49</v>
      </c>
      <c r="J957" s="28">
        <f>2020-Table_7[[#This Row],[Year]]</f>
        <v>5</v>
      </c>
      <c r="K957">
        <v>1276962685648.25</v>
      </c>
      <c r="L957">
        <v>26959.675436732599</v>
      </c>
      <c r="M957">
        <v>-0.32275301729970501</v>
      </c>
      <c r="N957">
        <v>-11.3254383222864</v>
      </c>
      <c r="O957">
        <v>43.04</v>
      </c>
      <c r="P957">
        <v>1088.232</v>
      </c>
      <c r="Q957">
        <v>63</v>
      </c>
      <c r="R957">
        <v>14.73</v>
      </c>
    </row>
    <row r="958" spans="1:18" x14ac:dyDescent="0.25">
      <c r="A958" s="1" t="s">
        <v>195</v>
      </c>
      <c r="B958" s="2" t="s">
        <v>233</v>
      </c>
      <c r="C958" s="19">
        <v>49</v>
      </c>
      <c r="D958" s="3" t="s">
        <v>496</v>
      </c>
      <c r="E958" s="3" t="s">
        <v>31</v>
      </c>
      <c r="F958" s="23">
        <v>241725</v>
      </c>
      <c r="G958" s="15">
        <v>2013</v>
      </c>
      <c r="H958" s="15">
        <f>Table_7[[#This Row],[Listing Price (USD)]]/10000</f>
        <v>24.172499999999999</v>
      </c>
      <c r="I958" s="28">
        <f>Table_7[[#This Row],[Length 
(ft)]]</f>
        <v>49</v>
      </c>
      <c r="J958" s="28">
        <f>2020-Table_7[[#This Row],[Year]]</f>
        <v>7</v>
      </c>
      <c r="K958">
        <v>57472012426.685303</v>
      </c>
      <c r="L958">
        <v>14198.753959474399</v>
      </c>
      <c r="M958">
        <v>0.15481137456202801</v>
      </c>
      <c r="N958">
        <v>-8.5803430210621805</v>
      </c>
      <c r="O958">
        <v>43.04</v>
      </c>
      <c r="P958">
        <v>1088.232</v>
      </c>
      <c r="Q958">
        <v>63</v>
      </c>
      <c r="R958">
        <v>14.73</v>
      </c>
    </row>
    <row r="959" spans="1:18" x14ac:dyDescent="0.25">
      <c r="A959" s="1" t="s">
        <v>195</v>
      </c>
      <c r="B959" s="2" t="s">
        <v>233</v>
      </c>
      <c r="C959" s="19">
        <v>49</v>
      </c>
      <c r="D959" s="3" t="s">
        <v>496</v>
      </c>
      <c r="E959" s="3" t="s">
        <v>31</v>
      </c>
      <c r="F959" s="23">
        <v>242939</v>
      </c>
      <c r="G959" s="15">
        <v>2013</v>
      </c>
      <c r="H959" s="15">
        <f>Table_7[[#This Row],[Listing Price (USD)]]/10000</f>
        <v>24.293900000000001</v>
      </c>
      <c r="I959" s="28">
        <f>Table_7[[#This Row],[Length 
(ft)]]</f>
        <v>49</v>
      </c>
      <c r="J959" s="28">
        <f>2020-Table_7[[#This Row],[Year]]</f>
        <v>7</v>
      </c>
      <c r="K959">
        <v>57472012426.685303</v>
      </c>
      <c r="L959">
        <v>14198.753959474399</v>
      </c>
      <c r="M959">
        <v>0.15481137456202801</v>
      </c>
      <c r="N959">
        <v>-8.5803430210621805</v>
      </c>
      <c r="O959">
        <v>43.04</v>
      </c>
      <c r="P959">
        <v>1088.232</v>
      </c>
      <c r="Q959">
        <v>63</v>
      </c>
      <c r="R959">
        <v>14.73</v>
      </c>
    </row>
    <row r="960" spans="1:18" x14ac:dyDescent="0.25">
      <c r="A960" s="1" t="s">
        <v>195</v>
      </c>
      <c r="B960" s="2" t="s">
        <v>233</v>
      </c>
      <c r="C960" s="19">
        <v>49</v>
      </c>
      <c r="D960" s="3" t="s">
        <v>495</v>
      </c>
      <c r="E960" s="3" t="s">
        <v>545</v>
      </c>
      <c r="F960" s="23">
        <v>244900</v>
      </c>
      <c r="G960" s="15">
        <v>2008</v>
      </c>
      <c r="H960" s="15">
        <f>Table_7[[#This Row],[Listing Price (USD)]]/10000</f>
        <v>24.49</v>
      </c>
      <c r="I960" s="28">
        <f>Table_7[[#This Row],[Length 
(ft)]]</f>
        <v>49</v>
      </c>
      <c r="J960" s="28">
        <f>2020-Table_7[[#This Row],[Year]]</f>
        <v>12</v>
      </c>
      <c r="K960">
        <v>515120000000</v>
      </c>
      <c r="L960">
        <v>51165.75</v>
      </c>
      <c r="M960">
        <v>1.23</v>
      </c>
      <c r="N960">
        <v>2.6</v>
      </c>
      <c r="O960">
        <v>43.04</v>
      </c>
      <c r="P960">
        <v>1088.232</v>
      </c>
      <c r="Q960">
        <v>63</v>
      </c>
      <c r="R960">
        <v>14.73</v>
      </c>
    </row>
    <row r="961" spans="1:18" x14ac:dyDescent="0.25">
      <c r="A961" s="1" t="s">
        <v>195</v>
      </c>
      <c r="B961" s="2" t="s">
        <v>233</v>
      </c>
      <c r="C961" s="19">
        <v>49</v>
      </c>
      <c r="D961" s="3" t="s">
        <v>496</v>
      </c>
      <c r="E961" s="3" t="s">
        <v>18</v>
      </c>
      <c r="F961" s="23">
        <v>249013</v>
      </c>
      <c r="G961" s="15">
        <v>2008</v>
      </c>
      <c r="H961" s="15">
        <f>Table_7[[#This Row],[Listing Price (USD)]]/10000</f>
        <v>24.901299999999999</v>
      </c>
      <c r="I961" s="28">
        <f>Table_7[[#This Row],[Length 
(ft)]]</f>
        <v>49</v>
      </c>
      <c r="J961" s="28">
        <f>2020-Table_7[[#This Row],[Year]]</f>
        <v>12</v>
      </c>
      <c r="K961">
        <v>188925995936.80701</v>
      </c>
      <c r="L961">
        <v>17658.947301119199</v>
      </c>
      <c r="M961">
        <v>-1.2479835558140799</v>
      </c>
      <c r="N961">
        <v>-9.0040436420214593</v>
      </c>
      <c r="O961">
        <v>43.04</v>
      </c>
      <c r="P961">
        <v>1088.232</v>
      </c>
      <c r="Q961">
        <v>63</v>
      </c>
      <c r="R961">
        <v>14.73</v>
      </c>
    </row>
    <row r="962" spans="1:18" x14ac:dyDescent="0.25">
      <c r="A962" s="1" t="s">
        <v>195</v>
      </c>
      <c r="B962" s="2" t="s">
        <v>233</v>
      </c>
      <c r="C962" s="19">
        <v>49</v>
      </c>
      <c r="D962" s="3" t="s">
        <v>496</v>
      </c>
      <c r="E962" s="3" t="s">
        <v>9</v>
      </c>
      <c r="F962" s="23">
        <v>249013</v>
      </c>
      <c r="G962" s="15">
        <v>2011</v>
      </c>
      <c r="H962" s="15">
        <f>Table_7[[#This Row],[Listing Price (USD)]]/10000</f>
        <v>24.901299999999999</v>
      </c>
      <c r="I962" s="28">
        <f>Table_7[[#This Row],[Length 
(ft)]]</f>
        <v>49</v>
      </c>
      <c r="J962" s="28">
        <f>2020-Table_7[[#This Row],[Year]]</f>
        <v>9</v>
      </c>
      <c r="K962">
        <v>1276962685648.25</v>
      </c>
      <c r="L962">
        <v>26959.675436732599</v>
      </c>
      <c r="M962">
        <v>-0.32275301729970501</v>
      </c>
      <c r="N962">
        <v>-11.3254383222864</v>
      </c>
      <c r="O962">
        <v>43.04</v>
      </c>
      <c r="P962">
        <v>1088.232</v>
      </c>
      <c r="Q962">
        <v>63</v>
      </c>
      <c r="R962">
        <v>14.73</v>
      </c>
    </row>
    <row r="963" spans="1:18" x14ac:dyDescent="0.25">
      <c r="A963" s="1" t="s">
        <v>195</v>
      </c>
      <c r="B963" s="2" t="s">
        <v>233</v>
      </c>
      <c r="C963" s="19">
        <v>49</v>
      </c>
      <c r="D963" s="3" t="s">
        <v>496</v>
      </c>
      <c r="E963" s="3" t="s">
        <v>31</v>
      </c>
      <c r="F963" s="23">
        <v>255086</v>
      </c>
      <c r="G963" s="15">
        <v>2013</v>
      </c>
      <c r="H963" s="15">
        <f>Table_7[[#This Row],[Listing Price (USD)]]/10000</f>
        <v>25.508600000000001</v>
      </c>
      <c r="I963" s="28">
        <f>Table_7[[#This Row],[Length 
(ft)]]</f>
        <v>49</v>
      </c>
      <c r="J963" s="28">
        <f>2020-Table_7[[#This Row],[Year]]</f>
        <v>7</v>
      </c>
      <c r="K963">
        <v>57472012426.685303</v>
      </c>
      <c r="L963">
        <v>14198.753959474399</v>
      </c>
      <c r="M963">
        <v>0.15481137456202801</v>
      </c>
      <c r="N963">
        <v>-8.5803430210621805</v>
      </c>
      <c r="O963">
        <v>43.04</v>
      </c>
      <c r="P963">
        <v>1088.232</v>
      </c>
      <c r="Q963">
        <v>63</v>
      </c>
      <c r="R963">
        <v>14.73</v>
      </c>
    </row>
    <row r="964" spans="1:18" x14ac:dyDescent="0.25">
      <c r="A964" s="1" t="s">
        <v>195</v>
      </c>
      <c r="B964" s="2" t="s">
        <v>233</v>
      </c>
      <c r="C964" s="19">
        <v>49</v>
      </c>
      <c r="D964" s="3" t="s">
        <v>496</v>
      </c>
      <c r="E964" s="3" t="s">
        <v>3</v>
      </c>
      <c r="F964" s="23">
        <v>255086</v>
      </c>
      <c r="G964" s="15">
        <v>2010</v>
      </c>
      <c r="H964" s="15">
        <f>Table_7[[#This Row],[Listing Price (USD)]]/10000</f>
        <v>25.508600000000001</v>
      </c>
      <c r="I964" s="28">
        <f>Table_7[[#This Row],[Length 
(ft)]]</f>
        <v>49</v>
      </c>
      <c r="J964" s="28">
        <f>2020-Table_7[[#This Row],[Year]]</f>
        <v>10</v>
      </c>
      <c r="K964">
        <v>2639008701648.2598</v>
      </c>
      <c r="L964">
        <v>39055.282928075401</v>
      </c>
      <c r="M964">
        <v>0.47649885272508302</v>
      </c>
      <c r="N964">
        <v>-7.7845864916787102</v>
      </c>
      <c r="O964">
        <v>43.04</v>
      </c>
      <c r="P964">
        <v>1088.232</v>
      </c>
      <c r="Q964">
        <v>63</v>
      </c>
      <c r="R964">
        <v>14.73</v>
      </c>
    </row>
    <row r="965" spans="1:18" x14ac:dyDescent="0.25">
      <c r="A965" s="1" t="s">
        <v>195</v>
      </c>
      <c r="B965" s="2" t="s">
        <v>233</v>
      </c>
      <c r="C965" s="19">
        <v>49</v>
      </c>
      <c r="D965" s="3" t="s">
        <v>496</v>
      </c>
      <c r="E965" s="3" t="s">
        <v>24</v>
      </c>
      <c r="F965" s="23">
        <v>255096</v>
      </c>
      <c r="G965" s="15">
        <v>2011</v>
      </c>
      <c r="H965" s="15">
        <f>Table_7[[#This Row],[Listing Price (USD)]]/10000</f>
        <v>25.509599999999999</v>
      </c>
      <c r="I965" s="28">
        <f>Table_7[[#This Row],[Length 
(ft)]]</f>
        <v>49</v>
      </c>
      <c r="J965" s="28">
        <f>2020-Table_7[[#This Row],[Year]]</f>
        <v>9</v>
      </c>
      <c r="K965">
        <v>1896755301518.1399</v>
      </c>
      <c r="L965">
        <v>31911.0357890017</v>
      </c>
      <c r="M965">
        <v>-0.13770757391656999</v>
      </c>
      <c r="N965">
        <v>-9.0399534112288507</v>
      </c>
      <c r="O965">
        <v>43.04</v>
      </c>
      <c r="P965">
        <v>1088.232</v>
      </c>
      <c r="Q965">
        <v>63</v>
      </c>
      <c r="R965">
        <v>14.73</v>
      </c>
    </row>
    <row r="966" spans="1:18" x14ac:dyDescent="0.25">
      <c r="A966" s="1" t="s">
        <v>195</v>
      </c>
      <c r="B966" s="2" t="s">
        <v>233</v>
      </c>
      <c r="C966" s="19">
        <v>49</v>
      </c>
      <c r="D966" s="3" t="s">
        <v>496</v>
      </c>
      <c r="E966" s="3" t="s">
        <v>24</v>
      </c>
      <c r="F966" s="23">
        <v>266019</v>
      </c>
      <c r="G966" s="15">
        <v>2009</v>
      </c>
      <c r="H966" s="15">
        <f>Table_7[[#This Row],[Listing Price (USD)]]/10000</f>
        <v>26.601900000000001</v>
      </c>
      <c r="I966" s="28">
        <f>Table_7[[#This Row],[Length 
(ft)]]</f>
        <v>49</v>
      </c>
      <c r="J966" s="28">
        <f>2020-Table_7[[#This Row],[Year]]</f>
        <v>11</v>
      </c>
      <c r="K966">
        <v>1896755301518.1399</v>
      </c>
      <c r="L966">
        <v>31911.0357890017</v>
      </c>
      <c r="M966">
        <v>-0.13770757391656999</v>
      </c>
      <c r="N966">
        <v>-9.0399534112288507</v>
      </c>
      <c r="O966">
        <v>43.04</v>
      </c>
      <c r="P966">
        <v>1088.232</v>
      </c>
      <c r="Q966">
        <v>63</v>
      </c>
      <c r="R966">
        <v>14.73</v>
      </c>
    </row>
    <row r="967" spans="1:18" x14ac:dyDescent="0.25">
      <c r="A967" s="1" t="s">
        <v>195</v>
      </c>
      <c r="B967" s="2" t="s">
        <v>233</v>
      </c>
      <c r="C967" s="19">
        <v>49</v>
      </c>
      <c r="D967" s="3" t="s">
        <v>496</v>
      </c>
      <c r="E967" s="3" t="s">
        <v>18</v>
      </c>
      <c r="F967" s="23">
        <v>266626</v>
      </c>
      <c r="G967" s="15">
        <v>2009</v>
      </c>
      <c r="H967" s="15">
        <f>Table_7[[#This Row],[Listing Price (USD)]]/10000</f>
        <v>26.662600000000001</v>
      </c>
      <c r="I967" s="28">
        <f>Table_7[[#This Row],[Length 
(ft)]]</f>
        <v>49</v>
      </c>
      <c r="J967" s="28">
        <f>2020-Table_7[[#This Row],[Year]]</f>
        <v>11</v>
      </c>
      <c r="K967">
        <v>188925995936.80701</v>
      </c>
      <c r="L967">
        <v>17658.947301119199</v>
      </c>
      <c r="M967">
        <v>-1.2479835558140799</v>
      </c>
      <c r="N967">
        <v>-9.0040436420214593</v>
      </c>
      <c r="O967">
        <v>43.04</v>
      </c>
      <c r="P967">
        <v>1088.232</v>
      </c>
      <c r="Q967">
        <v>63</v>
      </c>
      <c r="R967">
        <v>14.73</v>
      </c>
    </row>
    <row r="968" spans="1:18" x14ac:dyDescent="0.25">
      <c r="A968" s="1" t="s">
        <v>195</v>
      </c>
      <c r="B968" s="2" t="s">
        <v>233</v>
      </c>
      <c r="C968" s="19">
        <v>49</v>
      </c>
      <c r="D968" s="3" t="s">
        <v>496</v>
      </c>
      <c r="E968" s="3" t="s">
        <v>63</v>
      </c>
      <c r="F968" s="23">
        <v>273307</v>
      </c>
      <c r="G968" s="15">
        <v>2012</v>
      </c>
      <c r="H968" s="15">
        <f>Table_7[[#This Row],[Listing Price (USD)]]/10000</f>
        <v>27.3307</v>
      </c>
      <c r="I968" s="28">
        <f>Table_7[[#This Row],[Length 
(ft)]]</f>
        <v>49</v>
      </c>
      <c r="J968" s="28">
        <f>2020-Table_7[[#This Row],[Year]]</f>
        <v>8</v>
      </c>
      <c r="K968">
        <v>720290000000</v>
      </c>
      <c r="L968">
        <v>13341.6</v>
      </c>
      <c r="M968">
        <v>13</v>
      </c>
      <c r="N968">
        <v>-3</v>
      </c>
      <c r="O968">
        <v>43.04</v>
      </c>
      <c r="P968">
        <v>1088.232</v>
      </c>
      <c r="Q968">
        <v>63</v>
      </c>
      <c r="R968">
        <v>14.73</v>
      </c>
    </row>
    <row r="969" spans="1:18" x14ac:dyDescent="0.25">
      <c r="A969" s="1" t="s">
        <v>195</v>
      </c>
      <c r="B969" s="2" t="s">
        <v>233</v>
      </c>
      <c r="C969" s="19">
        <v>49</v>
      </c>
      <c r="D969" s="3" t="s">
        <v>495</v>
      </c>
      <c r="E969" s="3" t="s">
        <v>518</v>
      </c>
      <c r="F969" s="23">
        <v>274500</v>
      </c>
      <c r="G969" s="15">
        <v>2009</v>
      </c>
      <c r="H969" s="15">
        <f>Table_7[[#This Row],[Listing Price (USD)]]/10000</f>
        <v>27.45</v>
      </c>
      <c r="I969" s="28">
        <f>Table_7[[#This Row],[Length 
(ft)]]</f>
        <v>49</v>
      </c>
      <c r="J969" s="28">
        <f>2020-Table_7[[#This Row],[Year]]</f>
        <v>11</v>
      </c>
      <c r="K969">
        <v>1724759000000</v>
      </c>
      <c r="L969">
        <v>85575.039999999994</v>
      </c>
      <c r="M969">
        <v>1.23</v>
      </c>
      <c r="N969">
        <v>3.8</v>
      </c>
      <c r="O969">
        <v>43.04</v>
      </c>
      <c r="P969">
        <v>1088.232</v>
      </c>
      <c r="Q969">
        <v>63</v>
      </c>
      <c r="R969">
        <v>14.73</v>
      </c>
    </row>
    <row r="970" spans="1:18" x14ac:dyDescent="0.25">
      <c r="A970" s="1" t="s">
        <v>195</v>
      </c>
      <c r="B970" s="2" t="s">
        <v>233</v>
      </c>
      <c r="C970" s="19">
        <v>49</v>
      </c>
      <c r="D970" s="3" t="s">
        <v>495</v>
      </c>
      <c r="E970" s="3" t="s">
        <v>550</v>
      </c>
      <c r="F970" s="23">
        <v>279900</v>
      </c>
      <c r="G970" s="15">
        <v>2011</v>
      </c>
      <c r="H970" s="15">
        <f>Table_7[[#This Row],[Listing Price (USD)]]/10000</f>
        <v>27.99</v>
      </c>
      <c r="I970" s="28">
        <f>Table_7[[#This Row],[Length 
(ft)]]</f>
        <v>49</v>
      </c>
      <c r="J970" s="28">
        <f>2020-Table_7[[#This Row],[Year]]</f>
        <v>9</v>
      </c>
      <c r="K970">
        <v>677561000000</v>
      </c>
      <c r="L970">
        <v>57466.28</v>
      </c>
      <c r="M970">
        <v>1.23</v>
      </c>
      <c r="N970">
        <v>3.5</v>
      </c>
      <c r="O970">
        <v>43.04</v>
      </c>
      <c r="P970">
        <v>1088.232</v>
      </c>
      <c r="Q970">
        <v>63</v>
      </c>
      <c r="R970">
        <v>14.73</v>
      </c>
    </row>
    <row r="971" spans="1:18" x14ac:dyDescent="0.25">
      <c r="A971" s="1" t="s">
        <v>195</v>
      </c>
      <c r="B971" s="2" t="s">
        <v>233</v>
      </c>
      <c r="C971" s="19">
        <v>49</v>
      </c>
      <c r="D971" s="3" t="s">
        <v>495</v>
      </c>
      <c r="E971" s="3" t="s">
        <v>499</v>
      </c>
      <c r="F971" s="23">
        <v>285000</v>
      </c>
      <c r="G971" s="15">
        <v>2010</v>
      </c>
      <c r="H971" s="15">
        <f>Table_7[[#This Row],[Listing Price (USD)]]/10000</f>
        <v>28.5</v>
      </c>
      <c r="I971" s="28">
        <f>Table_7[[#This Row],[Length 
(ft)]]</f>
        <v>49</v>
      </c>
      <c r="J971" s="28">
        <f>2020-Table_7[[#This Row],[Year]]</f>
        <v>10</v>
      </c>
      <c r="K971">
        <v>212540000000</v>
      </c>
      <c r="L971">
        <v>76778.559999999998</v>
      </c>
      <c r="M971">
        <v>1.23</v>
      </c>
      <c r="N971">
        <v>2.2000000000000002</v>
      </c>
      <c r="O971">
        <v>43.04</v>
      </c>
      <c r="P971">
        <v>1088.232</v>
      </c>
      <c r="Q971">
        <v>63</v>
      </c>
      <c r="R971">
        <v>14.73</v>
      </c>
    </row>
    <row r="972" spans="1:18" x14ac:dyDescent="0.25">
      <c r="A972" s="1" t="s">
        <v>195</v>
      </c>
      <c r="B972" s="2" t="s">
        <v>233</v>
      </c>
      <c r="C972" s="19">
        <v>49</v>
      </c>
      <c r="D972" s="3" t="s">
        <v>496</v>
      </c>
      <c r="E972" s="3" t="s">
        <v>3</v>
      </c>
      <c r="F972" s="23">
        <v>303686</v>
      </c>
      <c r="G972" s="15">
        <v>2013</v>
      </c>
      <c r="H972" s="15">
        <f>Table_7[[#This Row],[Listing Price (USD)]]/10000</f>
        <v>30.368600000000001</v>
      </c>
      <c r="I972" s="28">
        <f>Table_7[[#This Row],[Length 
(ft)]]</f>
        <v>49</v>
      </c>
      <c r="J972" s="28">
        <f>2020-Table_7[[#This Row],[Year]]</f>
        <v>7</v>
      </c>
      <c r="K972">
        <v>2639008701648.2598</v>
      </c>
      <c r="L972">
        <v>39055.282928075401</v>
      </c>
      <c r="M972">
        <v>0.47649885272508302</v>
      </c>
      <c r="N972">
        <v>-7.7845864916787102</v>
      </c>
      <c r="O972">
        <v>43.04</v>
      </c>
      <c r="P972">
        <v>1088.232</v>
      </c>
      <c r="Q972">
        <v>63</v>
      </c>
      <c r="R972">
        <v>14.73</v>
      </c>
    </row>
    <row r="973" spans="1:18" x14ac:dyDescent="0.25">
      <c r="A973" s="1" t="s">
        <v>195</v>
      </c>
      <c r="B973" s="2" t="s">
        <v>233</v>
      </c>
      <c r="C973" s="19">
        <v>49</v>
      </c>
      <c r="D973" s="3" t="s">
        <v>496</v>
      </c>
      <c r="E973" s="3" t="s">
        <v>9</v>
      </c>
      <c r="F973" s="23">
        <v>334042</v>
      </c>
      <c r="G973" s="15">
        <v>2010</v>
      </c>
      <c r="H973" s="15">
        <f>Table_7[[#This Row],[Listing Price (USD)]]/10000</f>
        <v>33.404200000000003</v>
      </c>
      <c r="I973" s="28">
        <f>Table_7[[#This Row],[Length 
(ft)]]</f>
        <v>49</v>
      </c>
      <c r="J973" s="28">
        <f>2020-Table_7[[#This Row],[Year]]</f>
        <v>10</v>
      </c>
      <c r="K973">
        <v>1276962685648.25</v>
      </c>
      <c r="L973">
        <v>26959.675436732599</v>
      </c>
      <c r="M973">
        <v>-0.32275301729970501</v>
      </c>
      <c r="N973">
        <v>-11.3254383222864</v>
      </c>
      <c r="O973">
        <v>43.04</v>
      </c>
      <c r="P973">
        <v>1088.232</v>
      </c>
      <c r="Q973">
        <v>63</v>
      </c>
      <c r="R973">
        <v>14.73</v>
      </c>
    </row>
    <row r="974" spans="1:18" x14ac:dyDescent="0.25">
      <c r="A974" s="1" t="s">
        <v>195</v>
      </c>
      <c r="B974" s="2" t="s">
        <v>234</v>
      </c>
      <c r="C974" s="19">
        <v>50</v>
      </c>
      <c r="D974" s="3" t="s">
        <v>496</v>
      </c>
      <c r="E974" s="3" t="s">
        <v>9</v>
      </c>
      <c r="F974" s="23">
        <v>180990</v>
      </c>
      <c r="G974" s="15">
        <v>2012</v>
      </c>
      <c r="H974" s="15">
        <f>Table_7[[#This Row],[Listing Price (USD)]]/10000</f>
        <v>18.099</v>
      </c>
      <c r="I974" s="28">
        <f>Table_7[[#This Row],[Length 
(ft)]]</f>
        <v>50</v>
      </c>
      <c r="J974" s="28">
        <f>2020-Table_7[[#This Row],[Year]]</f>
        <v>8</v>
      </c>
      <c r="K974">
        <v>1276962685648.25</v>
      </c>
      <c r="L974">
        <v>26959.675436732599</v>
      </c>
      <c r="M974">
        <v>-0.32275301729970501</v>
      </c>
      <c r="N974">
        <v>-11.3254383222864</v>
      </c>
      <c r="O974">
        <v>45.67</v>
      </c>
      <c r="P974">
        <v>1226.002</v>
      </c>
      <c r="Q974">
        <v>63</v>
      </c>
      <c r="R974">
        <v>15.39</v>
      </c>
    </row>
    <row r="975" spans="1:18" x14ac:dyDescent="0.25">
      <c r="A975" s="1" t="s">
        <v>391</v>
      </c>
      <c r="B975" s="3" t="s">
        <v>234</v>
      </c>
      <c r="C975" s="19">
        <v>50</v>
      </c>
      <c r="D975" s="3" t="s">
        <v>497</v>
      </c>
      <c r="E975" s="3" t="s">
        <v>370</v>
      </c>
      <c r="F975" s="23">
        <v>189000</v>
      </c>
      <c r="G975" s="15">
        <v>2015</v>
      </c>
      <c r="H975" s="15">
        <f>Table_7[[#This Row],[Listing Price (USD)]]/10000</f>
        <v>18.899999999999999</v>
      </c>
      <c r="I975" s="28">
        <f>Table_7[[#This Row],[Length 
(ft)]]</f>
        <v>50</v>
      </c>
      <c r="J975" s="28">
        <f>2020-Table_7[[#This Row],[Year]]</f>
        <v>5</v>
      </c>
      <c r="K975">
        <v>500000000</v>
      </c>
      <c r="L975">
        <v>34200</v>
      </c>
      <c r="M975">
        <v>1.1000000000000001</v>
      </c>
      <c r="N975">
        <v>2</v>
      </c>
      <c r="O975">
        <v>45.67</v>
      </c>
      <c r="P975">
        <v>1226.002</v>
      </c>
      <c r="Q975">
        <v>63</v>
      </c>
      <c r="R975">
        <v>15.39</v>
      </c>
    </row>
    <row r="976" spans="1:18" x14ac:dyDescent="0.25">
      <c r="A976" s="1" t="s">
        <v>391</v>
      </c>
      <c r="B976" s="3" t="s">
        <v>234</v>
      </c>
      <c r="C976" s="19">
        <v>50</v>
      </c>
      <c r="D976" s="3" t="s">
        <v>497</v>
      </c>
      <c r="E976" s="3" t="s">
        <v>370</v>
      </c>
      <c r="F976" s="23">
        <v>199000</v>
      </c>
      <c r="G976" s="15">
        <v>2015</v>
      </c>
      <c r="H976" s="15">
        <f>Table_7[[#This Row],[Listing Price (USD)]]/10000</f>
        <v>19.899999999999999</v>
      </c>
      <c r="I976" s="28">
        <f>Table_7[[#This Row],[Length 
(ft)]]</f>
        <v>50</v>
      </c>
      <c r="J976" s="28">
        <f>2020-Table_7[[#This Row],[Year]]</f>
        <v>5</v>
      </c>
      <c r="K976">
        <v>500000000</v>
      </c>
      <c r="L976">
        <v>34200</v>
      </c>
      <c r="M976">
        <v>1.1000000000000001</v>
      </c>
      <c r="N976">
        <v>2</v>
      </c>
      <c r="O976">
        <v>45.67</v>
      </c>
      <c r="P976">
        <v>1226.002</v>
      </c>
      <c r="Q976">
        <v>63</v>
      </c>
      <c r="R976">
        <v>15.39</v>
      </c>
    </row>
    <row r="977" spans="1:18" x14ac:dyDescent="0.25">
      <c r="A977" s="1" t="s">
        <v>195</v>
      </c>
      <c r="B977" s="2" t="s">
        <v>234</v>
      </c>
      <c r="C977" s="19">
        <v>50</v>
      </c>
      <c r="D977" s="3" t="s">
        <v>496</v>
      </c>
      <c r="E977" s="3" t="s">
        <v>18</v>
      </c>
      <c r="F977" s="23">
        <v>205284</v>
      </c>
      <c r="G977" s="15">
        <v>2013</v>
      </c>
      <c r="H977" s="15">
        <f>Table_7[[#This Row],[Listing Price (USD)]]/10000</f>
        <v>20.528400000000001</v>
      </c>
      <c r="I977" s="28">
        <f>Table_7[[#This Row],[Length 
(ft)]]</f>
        <v>50</v>
      </c>
      <c r="J977" s="28">
        <f>2020-Table_7[[#This Row],[Year]]</f>
        <v>7</v>
      </c>
      <c r="K977">
        <v>188925995936.80701</v>
      </c>
      <c r="L977">
        <v>17658.947301119199</v>
      </c>
      <c r="M977">
        <v>-1.2479835558140799</v>
      </c>
      <c r="N977">
        <v>-9.0040436420214593</v>
      </c>
      <c r="O977">
        <v>45.67</v>
      </c>
      <c r="P977">
        <v>1226.002</v>
      </c>
      <c r="Q977">
        <v>63</v>
      </c>
      <c r="R977">
        <v>15.39</v>
      </c>
    </row>
    <row r="978" spans="1:18" x14ac:dyDescent="0.25">
      <c r="A978" s="1" t="s">
        <v>195</v>
      </c>
      <c r="B978" s="3" t="s">
        <v>234</v>
      </c>
      <c r="C978" s="19">
        <v>50</v>
      </c>
      <c r="D978" s="3" t="s">
        <v>497</v>
      </c>
      <c r="E978" s="3" t="s">
        <v>370</v>
      </c>
      <c r="F978" s="23">
        <v>209000</v>
      </c>
      <c r="G978" s="15">
        <v>2015</v>
      </c>
      <c r="H978" s="15">
        <f>Table_7[[#This Row],[Listing Price (USD)]]/10000</f>
        <v>20.9</v>
      </c>
      <c r="I978" s="28">
        <f>Table_7[[#This Row],[Length 
(ft)]]</f>
        <v>50</v>
      </c>
      <c r="J978" s="28">
        <f>2020-Table_7[[#This Row],[Year]]</f>
        <v>5</v>
      </c>
      <c r="K978">
        <v>500000000</v>
      </c>
      <c r="L978">
        <v>34200</v>
      </c>
      <c r="M978">
        <v>1.1000000000000001</v>
      </c>
      <c r="N978">
        <v>2</v>
      </c>
      <c r="O978">
        <v>45.67</v>
      </c>
      <c r="P978">
        <v>1226.002</v>
      </c>
      <c r="Q978">
        <v>63</v>
      </c>
      <c r="R978">
        <v>15.39</v>
      </c>
    </row>
    <row r="979" spans="1:18" x14ac:dyDescent="0.25">
      <c r="A979" s="1" t="s">
        <v>195</v>
      </c>
      <c r="B979" s="2" t="s">
        <v>234</v>
      </c>
      <c r="C979" s="19">
        <v>50</v>
      </c>
      <c r="D979" s="3" t="s">
        <v>496</v>
      </c>
      <c r="E979" s="3" t="s">
        <v>18</v>
      </c>
      <c r="F979" s="23">
        <v>209900</v>
      </c>
      <c r="G979" s="15">
        <v>2015</v>
      </c>
      <c r="H979" s="15">
        <f>Table_7[[#This Row],[Listing Price (USD)]]/10000</f>
        <v>20.99</v>
      </c>
      <c r="I979" s="28">
        <f>Table_7[[#This Row],[Length 
(ft)]]</f>
        <v>50</v>
      </c>
      <c r="J979" s="28">
        <f>2020-Table_7[[#This Row],[Year]]</f>
        <v>5</v>
      </c>
      <c r="K979">
        <v>188925995936.80701</v>
      </c>
      <c r="L979">
        <v>17658.947301119199</v>
      </c>
      <c r="M979">
        <v>-1.2479835558140799</v>
      </c>
      <c r="N979">
        <v>-9.0040436420214593</v>
      </c>
      <c r="O979">
        <v>45.67</v>
      </c>
      <c r="P979">
        <v>1226.002</v>
      </c>
      <c r="Q979">
        <v>63</v>
      </c>
      <c r="R979">
        <v>15.39</v>
      </c>
    </row>
    <row r="980" spans="1:18" x14ac:dyDescent="0.25">
      <c r="A980" s="1" t="s">
        <v>195</v>
      </c>
      <c r="B980" s="2" t="s">
        <v>234</v>
      </c>
      <c r="C980" s="19">
        <v>50</v>
      </c>
      <c r="D980" s="3" t="s">
        <v>496</v>
      </c>
      <c r="E980" s="3" t="s">
        <v>31</v>
      </c>
      <c r="F980" s="23">
        <v>217431</v>
      </c>
      <c r="G980" s="15">
        <v>2015</v>
      </c>
      <c r="H980" s="15">
        <f>Table_7[[#This Row],[Listing Price (USD)]]/10000</f>
        <v>21.743099999999998</v>
      </c>
      <c r="I980" s="28">
        <f>Table_7[[#This Row],[Length 
(ft)]]</f>
        <v>50</v>
      </c>
      <c r="J980" s="28">
        <f>2020-Table_7[[#This Row],[Year]]</f>
        <v>5</v>
      </c>
      <c r="K980">
        <v>57472012426.685303</v>
      </c>
      <c r="L980">
        <v>14198.753959474399</v>
      </c>
      <c r="M980">
        <v>0.15481137456202801</v>
      </c>
      <c r="N980">
        <v>-8.5803430210621805</v>
      </c>
      <c r="O980">
        <v>45.67</v>
      </c>
      <c r="P980">
        <v>1226.002</v>
      </c>
      <c r="Q980">
        <v>63</v>
      </c>
      <c r="R980">
        <v>15.39</v>
      </c>
    </row>
    <row r="981" spans="1:18" x14ac:dyDescent="0.25">
      <c r="A981" s="1" t="s">
        <v>195</v>
      </c>
      <c r="B981" s="2" t="s">
        <v>234</v>
      </c>
      <c r="C981" s="19">
        <v>50</v>
      </c>
      <c r="D981" s="3" t="s">
        <v>496</v>
      </c>
      <c r="E981" s="3" t="s">
        <v>18</v>
      </c>
      <c r="F981" s="23">
        <v>217431</v>
      </c>
      <c r="G981" s="15">
        <v>2015</v>
      </c>
      <c r="H981" s="15">
        <f>Table_7[[#This Row],[Listing Price (USD)]]/10000</f>
        <v>21.743099999999998</v>
      </c>
      <c r="I981" s="28">
        <f>Table_7[[#This Row],[Length 
(ft)]]</f>
        <v>50</v>
      </c>
      <c r="J981" s="28">
        <f>2020-Table_7[[#This Row],[Year]]</f>
        <v>5</v>
      </c>
      <c r="K981">
        <v>188925995936.80701</v>
      </c>
      <c r="L981">
        <v>17658.947301119199</v>
      </c>
      <c r="M981">
        <v>-1.2479835558140799</v>
      </c>
      <c r="N981">
        <v>-9.0040436420214593</v>
      </c>
      <c r="O981">
        <v>45.67</v>
      </c>
      <c r="P981">
        <v>1226.002</v>
      </c>
      <c r="Q981">
        <v>63</v>
      </c>
      <c r="R981">
        <v>15.39</v>
      </c>
    </row>
    <row r="982" spans="1:18" x14ac:dyDescent="0.25">
      <c r="A982" s="1" t="s">
        <v>195</v>
      </c>
      <c r="B982" s="2" t="s">
        <v>234</v>
      </c>
      <c r="C982" s="19">
        <v>50</v>
      </c>
      <c r="D982" s="3" t="s">
        <v>496</v>
      </c>
      <c r="E982" s="3" t="s">
        <v>31</v>
      </c>
      <c r="F982" s="23">
        <v>218038</v>
      </c>
      <c r="G982" s="15">
        <v>2015</v>
      </c>
      <c r="H982" s="15">
        <f>Table_7[[#This Row],[Listing Price (USD)]]/10000</f>
        <v>21.803799999999999</v>
      </c>
      <c r="I982" s="28">
        <f>Table_7[[#This Row],[Length 
(ft)]]</f>
        <v>50</v>
      </c>
      <c r="J982" s="28">
        <f>2020-Table_7[[#This Row],[Year]]</f>
        <v>5</v>
      </c>
      <c r="K982">
        <v>57472012426.685303</v>
      </c>
      <c r="L982">
        <v>14198.753959474399</v>
      </c>
      <c r="M982">
        <v>0.15481137456202801</v>
      </c>
      <c r="N982">
        <v>-8.5803430210621805</v>
      </c>
      <c r="O982">
        <v>45.67</v>
      </c>
      <c r="P982">
        <v>1226.002</v>
      </c>
      <c r="Q982">
        <v>63</v>
      </c>
      <c r="R982">
        <v>15.39</v>
      </c>
    </row>
    <row r="983" spans="1:18" x14ac:dyDescent="0.25">
      <c r="A983" s="1" t="s">
        <v>195</v>
      </c>
      <c r="B983" s="2" t="s">
        <v>234</v>
      </c>
      <c r="C983" s="19">
        <v>50</v>
      </c>
      <c r="D983" s="3" t="s">
        <v>496</v>
      </c>
      <c r="E983" s="3" t="s">
        <v>31</v>
      </c>
      <c r="F983" s="23">
        <v>224719</v>
      </c>
      <c r="G983" s="15">
        <v>2015</v>
      </c>
      <c r="H983" s="15">
        <f>Table_7[[#This Row],[Listing Price (USD)]]/10000</f>
        <v>22.471900000000002</v>
      </c>
      <c r="I983" s="28">
        <f>Table_7[[#This Row],[Length 
(ft)]]</f>
        <v>50</v>
      </c>
      <c r="J983" s="28">
        <f>2020-Table_7[[#This Row],[Year]]</f>
        <v>5</v>
      </c>
      <c r="K983">
        <v>57472012426.685303</v>
      </c>
      <c r="L983">
        <v>14198.753959474399</v>
      </c>
      <c r="M983">
        <v>0.15481137456202801</v>
      </c>
      <c r="N983">
        <v>-8.5803430210621805</v>
      </c>
      <c r="O983">
        <v>45.67</v>
      </c>
      <c r="P983">
        <v>1226.002</v>
      </c>
      <c r="Q983">
        <v>63</v>
      </c>
      <c r="R983">
        <v>15.39</v>
      </c>
    </row>
    <row r="984" spans="1:18" x14ac:dyDescent="0.25">
      <c r="A984" s="1" t="s">
        <v>195</v>
      </c>
      <c r="B984" s="2" t="s">
        <v>234</v>
      </c>
      <c r="C984" s="19">
        <v>50</v>
      </c>
      <c r="D984" s="3" t="s">
        <v>496</v>
      </c>
      <c r="E984" s="3" t="s">
        <v>18</v>
      </c>
      <c r="F984" s="23">
        <v>236866</v>
      </c>
      <c r="G984" s="15">
        <v>2015</v>
      </c>
      <c r="H984" s="15">
        <f>Table_7[[#This Row],[Listing Price (USD)]]/10000</f>
        <v>23.686599999999999</v>
      </c>
      <c r="I984" s="28">
        <f>Table_7[[#This Row],[Length 
(ft)]]</f>
        <v>50</v>
      </c>
      <c r="J984" s="28">
        <f>2020-Table_7[[#This Row],[Year]]</f>
        <v>5</v>
      </c>
      <c r="K984">
        <v>188925995936.80701</v>
      </c>
      <c r="L984">
        <v>17658.947301119199</v>
      </c>
      <c r="M984">
        <v>-1.2479835558140799</v>
      </c>
      <c r="N984">
        <v>-9.0040436420214593</v>
      </c>
      <c r="O984">
        <v>45.67</v>
      </c>
      <c r="P984">
        <v>1226.002</v>
      </c>
      <c r="Q984">
        <v>63</v>
      </c>
      <c r="R984">
        <v>15.39</v>
      </c>
    </row>
    <row r="985" spans="1:18" x14ac:dyDescent="0.25">
      <c r="A985" s="1" t="s">
        <v>195</v>
      </c>
      <c r="B985" s="2" t="s">
        <v>234</v>
      </c>
      <c r="C985" s="19">
        <v>50</v>
      </c>
      <c r="D985" s="3" t="s">
        <v>496</v>
      </c>
      <c r="E985" s="3" t="s">
        <v>9</v>
      </c>
      <c r="F985" s="23">
        <v>236866</v>
      </c>
      <c r="G985" s="15">
        <v>2012</v>
      </c>
      <c r="H985" s="15">
        <f>Table_7[[#This Row],[Listing Price (USD)]]/10000</f>
        <v>23.686599999999999</v>
      </c>
      <c r="I985" s="28">
        <f>Table_7[[#This Row],[Length 
(ft)]]</f>
        <v>50</v>
      </c>
      <c r="J985" s="28">
        <f>2020-Table_7[[#This Row],[Year]]</f>
        <v>8</v>
      </c>
      <c r="K985">
        <v>1276962685648.25</v>
      </c>
      <c r="L985">
        <v>26959.675436732599</v>
      </c>
      <c r="M985">
        <v>-0.32275301729970501</v>
      </c>
      <c r="N985">
        <v>-11.3254383222864</v>
      </c>
      <c r="O985">
        <v>45.67</v>
      </c>
      <c r="P985">
        <v>1226.002</v>
      </c>
      <c r="Q985">
        <v>63</v>
      </c>
      <c r="R985">
        <v>15.39</v>
      </c>
    </row>
    <row r="986" spans="1:18" x14ac:dyDescent="0.25">
      <c r="A986" s="1" t="s">
        <v>195</v>
      </c>
      <c r="B986" s="2" t="s">
        <v>234</v>
      </c>
      <c r="C986" s="19">
        <v>50</v>
      </c>
      <c r="D986" s="3" t="s">
        <v>496</v>
      </c>
      <c r="E986" s="3" t="s">
        <v>18</v>
      </c>
      <c r="F986" s="23">
        <v>241725</v>
      </c>
      <c r="G986" s="15">
        <v>2015</v>
      </c>
      <c r="H986" s="15">
        <f>Table_7[[#This Row],[Listing Price (USD)]]/10000</f>
        <v>24.172499999999999</v>
      </c>
      <c r="I986" s="28">
        <f>Table_7[[#This Row],[Length 
(ft)]]</f>
        <v>50</v>
      </c>
      <c r="J986" s="28">
        <f>2020-Table_7[[#This Row],[Year]]</f>
        <v>5</v>
      </c>
      <c r="K986">
        <v>188925995936.80701</v>
      </c>
      <c r="L986">
        <v>17658.947301119199</v>
      </c>
      <c r="M986">
        <v>-1.2479835558140799</v>
      </c>
      <c r="N986">
        <v>-9.0040436420214593</v>
      </c>
      <c r="O986">
        <v>45.67</v>
      </c>
      <c r="P986">
        <v>1226.002</v>
      </c>
      <c r="Q986">
        <v>63</v>
      </c>
      <c r="R986">
        <v>15.39</v>
      </c>
    </row>
    <row r="987" spans="1:18" x14ac:dyDescent="0.25">
      <c r="A987" s="1" t="s">
        <v>195</v>
      </c>
      <c r="B987" s="2" t="s">
        <v>234</v>
      </c>
      <c r="C987" s="19">
        <v>50</v>
      </c>
      <c r="D987" s="3" t="s">
        <v>496</v>
      </c>
      <c r="E987" s="3" t="s">
        <v>24</v>
      </c>
      <c r="F987" s="23">
        <v>242939</v>
      </c>
      <c r="G987" s="15">
        <v>2012</v>
      </c>
      <c r="H987" s="15">
        <f>Table_7[[#This Row],[Listing Price (USD)]]/10000</f>
        <v>24.293900000000001</v>
      </c>
      <c r="I987" s="28">
        <f>Table_7[[#This Row],[Length 
(ft)]]</f>
        <v>50</v>
      </c>
      <c r="J987" s="28">
        <f>2020-Table_7[[#This Row],[Year]]</f>
        <v>8</v>
      </c>
      <c r="K987">
        <v>1896755301518.1399</v>
      </c>
      <c r="L987">
        <v>31911.0357890017</v>
      </c>
      <c r="M987">
        <v>-0.13770757391656999</v>
      </c>
      <c r="N987">
        <v>-9.0399534112288507</v>
      </c>
      <c r="O987">
        <v>45.67</v>
      </c>
      <c r="P987">
        <v>1226.002</v>
      </c>
      <c r="Q987">
        <v>63</v>
      </c>
      <c r="R987">
        <v>15.39</v>
      </c>
    </row>
    <row r="988" spans="1:18" x14ac:dyDescent="0.25">
      <c r="A988" s="1" t="s">
        <v>195</v>
      </c>
      <c r="B988" s="2" t="s">
        <v>234</v>
      </c>
      <c r="C988" s="19">
        <v>50</v>
      </c>
      <c r="D988" s="3" t="s">
        <v>496</v>
      </c>
      <c r="E988" s="3" t="s">
        <v>3</v>
      </c>
      <c r="F988" s="23">
        <v>249013</v>
      </c>
      <c r="G988" s="15">
        <v>2014</v>
      </c>
      <c r="H988" s="15">
        <f>Table_7[[#This Row],[Listing Price (USD)]]/10000</f>
        <v>24.901299999999999</v>
      </c>
      <c r="I988" s="28">
        <f>Table_7[[#This Row],[Length 
(ft)]]</f>
        <v>50</v>
      </c>
      <c r="J988" s="28">
        <f>2020-Table_7[[#This Row],[Year]]</f>
        <v>6</v>
      </c>
      <c r="K988">
        <v>2639008701648.2598</v>
      </c>
      <c r="L988">
        <v>39055.282928075401</v>
      </c>
      <c r="M988">
        <v>0.47649885272508302</v>
      </c>
      <c r="N988">
        <v>-7.7845864916787102</v>
      </c>
      <c r="O988">
        <v>45.67</v>
      </c>
      <c r="P988">
        <v>1226.002</v>
      </c>
      <c r="Q988">
        <v>63</v>
      </c>
      <c r="R988">
        <v>15.39</v>
      </c>
    </row>
    <row r="989" spans="1:18" x14ac:dyDescent="0.25">
      <c r="A989" s="1" t="s">
        <v>195</v>
      </c>
      <c r="B989" s="2" t="s">
        <v>234</v>
      </c>
      <c r="C989" s="19">
        <v>50</v>
      </c>
      <c r="D989" s="3" t="s">
        <v>496</v>
      </c>
      <c r="E989" s="3" t="s">
        <v>9</v>
      </c>
      <c r="F989" s="23">
        <v>266019</v>
      </c>
      <c r="G989" s="15">
        <v>2013</v>
      </c>
      <c r="H989" s="15">
        <f>Table_7[[#This Row],[Listing Price (USD)]]/10000</f>
        <v>26.601900000000001</v>
      </c>
      <c r="I989" s="28">
        <f>Table_7[[#This Row],[Length 
(ft)]]</f>
        <v>50</v>
      </c>
      <c r="J989" s="28">
        <f>2020-Table_7[[#This Row],[Year]]</f>
        <v>7</v>
      </c>
      <c r="K989">
        <v>1276962685648.25</v>
      </c>
      <c r="L989">
        <v>26959.675436732599</v>
      </c>
      <c r="M989">
        <v>-0.32275301729970501</v>
      </c>
      <c r="N989">
        <v>-11.3254383222864</v>
      </c>
      <c r="O989">
        <v>45.67</v>
      </c>
      <c r="P989">
        <v>1226.002</v>
      </c>
      <c r="Q989">
        <v>63</v>
      </c>
      <c r="R989">
        <v>15.39</v>
      </c>
    </row>
    <row r="990" spans="1:18" x14ac:dyDescent="0.25">
      <c r="A990" s="1" t="s">
        <v>195</v>
      </c>
      <c r="B990" s="2" t="s">
        <v>234</v>
      </c>
      <c r="C990" s="19">
        <v>50</v>
      </c>
      <c r="D990" s="3" t="s">
        <v>496</v>
      </c>
      <c r="E990" s="3" t="s">
        <v>18</v>
      </c>
      <c r="F990" s="23">
        <v>267233</v>
      </c>
      <c r="G990" s="15">
        <v>2015</v>
      </c>
      <c r="H990" s="15">
        <f>Table_7[[#This Row],[Listing Price (USD)]]/10000</f>
        <v>26.723299999999998</v>
      </c>
      <c r="I990" s="28">
        <f>Table_7[[#This Row],[Length 
(ft)]]</f>
        <v>50</v>
      </c>
      <c r="J990" s="28">
        <f>2020-Table_7[[#This Row],[Year]]</f>
        <v>5</v>
      </c>
      <c r="K990">
        <v>188925995936.80701</v>
      </c>
      <c r="L990">
        <v>17658.947301119199</v>
      </c>
      <c r="M990">
        <v>-1.2479835558140799</v>
      </c>
      <c r="N990">
        <v>-9.0040436420214593</v>
      </c>
      <c r="O990">
        <v>45.67</v>
      </c>
      <c r="P990">
        <v>1226.002</v>
      </c>
      <c r="Q990">
        <v>63</v>
      </c>
      <c r="R990">
        <v>15.39</v>
      </c>
    </row>
    <row r="991" spans="1:18" x14ac:dyDescent="0.25">
      <c r="A991" s="1" t="s">
        <v>195</v>
      </c>
      <c r="B991" s="2" t="s">
        <v>234</v>
      </c>
      <c r="C991" s="19">
        <v>50</v>
      </c>
      <c r="D991" s="3" t="s">
        <v>496</v>
      </c>
      <c r="E991" s="3" t="s">
        <v>9</v>
      </c>
      <c r="F991" s="23">
        <v>267233</v>
      </c>
      <c r="G991" s="15">
        <v>2013</v>
      </c>
      <c r="H991" s="15">
        <f>Table_7[[#This Row],[Listing Price (USD)]]/10000</f>
        <v>26.723299999999998</v>
      </c>
      <c r="I991" s="28">
        <f>Table_7[[#This Row],[Length 
(ft)]]</f>
        <v>50</v>
      </c>
      <c r="J991" s="28">
        <f>2020-Table_7[[#This Row],[Year]]</f>
        <v>7</v>
      </c>
      <c r="K991">
        <v>1276962685648.25</v>
      </c>
      <c r="L991">
        <v>26959.675436732599</v>
      </c>
      <c r="M991">
        <v>-0.32275301729970501</v>
      </c>
      <c r="N991">
        <v>-11.3254383222864</v>
      </c>
      <c r="O991">
        <v>45.67</v>
      </c>
      <c r="P991">
        <v>1226.002</v>
      </c>
      <c r="Q991">
        <v>63</v>
      </c>
      <c r="R991">
        <v>15.39</v>
      </c>
    </row>
    <row r="992" spans="1:18" x14ac:dyDescent="0.25">
      <c r="A992" s="1" t="s">
        <v>195</v>
      </c>
      <c r="B992" s="2" t="s">
        <v>234</v>
      </c>
      <c r="C992" s="19">
        <v>50</v>
      </c>
      <c r="D992" s="3" t="s">
        <v>496</v>
      </c>
      <c r="E992" s="3" t="s">
        <v>3</v>
      </c>
      <c r="F992" s="23">
        <v>334042</v>
      </c>
      <c r="G992" s="15">
        <v>2013</v>
      </c>
      <c r="H992" s="15">
        <f>Table_7[[#This Row],[Listing Price (USD)]]/10000</f>
        <v>33.404200000000003</v>
      </c>
      <c r="I992" s="28">
        <f>Table_7[[#This Row],[Length 
(ft)]]</f>
        <v>50</v>
      </c>
      <c r="J992" s="28">
        <f>2020-Table_7[[#This Row],[Year]]</f>
        <v>7</v>
      </c>
      <c r="K992">
        <v>2639008701648.2598</v>
      </c>
      <c r="L992">
        <v>39055.282928075401</v>
      </c>
      <c r="M992">
        <v>0.47649885272508302</v>
      </c>
      <c r="N992">
        <v>-7.7845864916787102</v>
      </c>
      <c r="O992">
        <v>45.67</v>
      </c>
      <c r="P992">
        <v>1226.002</v>
      </c>
      <c r="Q992">
        <v>63</v>
      </c>
      <c r="R992">
        <v>15.39</v>
      </c>
    </row>
    <row r="993" spans="1:18" x14ac:dyDescent="0.25">
      <c r="A993" s="1" t="s">
        <v>195</v>
      </c>
      <c r="B993" s="3" t="s">
        <v>234</v>
      </c>
      <c r="C993" s="19">
        <v>50</v>
      </c>
      <c r="D993" s="3" t="s">
        <v>495</v>
      </c>
      <c r="E993" s="3" t="s">
        <v>518</v>
      </c>
      <c r="F993" s="23">
        <v>349000</v>
      </c>
      <c r="G993" s="15">
        <v>2012</v>
      </c>
      <c r="H993" s="15">
        <f>Table_7[[#This Row],[Listing Price (USD)]]/10000</f>
        <v>34.9</v>
      </c>
      <c r="I993" s="28">
        <f>Table_7[[#This Row],[Length 
(ft)]]</f>
        <v>50</v>
      </c>
      <c r="J993" s="28">
        <f>2020-Table_7[[#This Row],[Year]]</f>
        <v>8</v>
      </c>
      <c r="K993">
        <v>1724759000000</v>
      </c>
      <c r="L993">
        <v>85575.039999999994</v>
      </c>
      <c r="M993">
        <v>1.23</v>
      </c>
      <c r="N993">
        <v>3.8</v>
      </c>
      <c r="O993">
        <v>45.67</v>
      </c>
      <c r="P993">
        <v>1226.002</v>
      </c>
      <c r="Q993">
        <v>63</v>
      </c>
      <c r="R993">
        <v>15.39</v>
      </c>
    </row>
    <row r="994" spans="1:18" x14ac:dyDescent="0.25">
      <c r="A994" s="1" t="s">
        <v>195</v>
      </c>
      <c r="B994" s="3" t="s">
        <v>234</v>
      </c>
      <c r="C994" s="19">
        <v>50</v>
      </c>
      <c r="D994" s="3" t="s">
        <v>495</v>
      </c>
      <c r="E994" s="3" t="s">
        <v>333</v>
      </c>
      <c r="F994" s="23">
        <v>350000</v>
      </c>
      <c r="G994" s="15">
        <v>2015</v>
      </c>
      <c r="H994" s="15">
        <f>Table_7[[#This Row],[Listing Price (USD)]]/10000</f>
        <v>35</v>
      </c>
      <c r="I994" s="28">
        <f>Table_7[[#This Row],[Length 
(ft)]]</f>
        <v>50</v>
      </c>
      <c r="J994" s="28">
        <f>2020-Table_7[[#This Row],[Year]]</f>
        <v>5</v>
      </c>
      <c r="K994">
        <v>1106036000000</v>
      </c>
      <c r="L994">
        <v>51276.72</v>
      </c>
      <c r="M994">
        <v>1.23</v>
      </c>
      <c r="N994">
        <v>2.9</v>
      </c>
      <c r="O994">
        <v>45.67</v>
      </c>
      <c r="P994">
        <v>1226.002</v>
      </c>
      <c r="Q994">
        <v>63</v>
      </c>
      <c r="R994">
        <v>15.39</v>
      </c>
    </row>
    <row r="995" spans="1:18" x14ac:dyDescent="0.25">
      <c r="A995" s="1" t="s">
        <v>195</v>
      </c>
      <c r="B995" s="2" t="s">
        <v>234</v>
      </c>
      <c r="C995" s="19">
        <v>50</v>
      </c>
      <c r="D995" s="3" t="s">
        <v>496</v>
      </c>
      <c r="E995" s="3" t="s">
        <v>9</v>
      </c>
      <c r="F995" s="23">
        <v>352276</v>
      </c>
      <c r="G995" s="15">
        <v>2012</v>
      </c>
      <c r="H995" s="15">
        <f>Table_7[[#This Row],[Listing Price (USD)]]/10000</f>
        <v>35.227600000000002</v>
      </c>
      <c r="I995" s="28">
        <f>Table_7[[#This Row],[Length 
(ft)]]</f>
        <v>50</v>
      </c>
      <c r="J995" s="28">
        <f>2020-Table_7[[#This Row],[Year]]</f>
        <v>8</v>
      </c>
      <c r="K995">
        <v>1276962685648.25</v>
      </c>
      <c r="L995">
        <v>26959.675436732599</v>
      </c>
      <c r="M995">
        <v>-0.32275301729970501</v>
      </c>
      <c r="N995">
        <v>-11.3254383222864</v>
      </c>
      <c r="O995">
        <v>45.67</v>
      </c>
      <c r="P995">
        <v>1226.002</v>
      </c>
      <c r="Q995">
        <v>63</v>
      </c>
      <c r="R995">
        <v>15.39</v>
      </c>
    </row>
    <row r="996" spans="1:18" x14ac:dyDescent="0.25">
      <c r="A996" s="1" t="s">
        <v>195</v>
      </c>
      <c r="B996" s="3" t="s">
        <v>234</v>
      </c>
      <c r="C996" s="19">
        <v>50</v>
      </c>
      <c r="D996" s="3" t="s">
        <v>495</v>
      </c>
      <c r="E996" s="3" t="s">
        <v>500</v>
      </c>
      <c r="F996" s="23">
        <v>389000</v>
      </c>
      <c r="G996" s="15">
        <v>2014</v>
      </c>
      <c r="H996" s="15">
        <f>Table_7[[#This Row],[Listing Price (USD)]]/10000</f>
        <v>38.9</v>
      </c>
      <c r="I996" s="28">
        <f>Table_7[[#This Row],[Length 
(ft)]]</f>
        <v>50</v>
      </c>
      <c r="J996" s="28">
        <f>2020-Table_7[[#This Row],[Year]]</f>
        <v>6</v>
      </c>
      <c r="K996">
        <v>3007188000000</v>
      </c>
      <c r="L996">
        <v>76131.839999999997</v>
      </c>
      <c r="M996">
        <v>1.23</v>
      </c>
      <c r="N996">
        <v>2.7</v>
      </c>
      <c r="O996">
        <v>45.67</v>
      </c>
      <c r="P996">
        <v>1226.002</v>
      </c>
      <c r="Q996">
        <v>63</v>
      </c>
      <c r="R996">
        <v>15.39</v>
      </c>
    </row>
    <row r="997" spans="1:18" x14ac:dyDescent="0.25">
      <c r="A997" s="1" t="s">
        <v>195</v>
      </c>
      <c r="B997" s="2" t="s">
        <v>235</v>
      </c>
      <c r="C997" s="19">
        <v>51</v>
      </c>
      <c r="D997" s="3" t="s">
        <v>496</v>
      </c>
      <c r="E997" s="3" t="s">
        <v>9</v>
      </c>
      <c r="F997" s="23">
        <v>253872</v>
      </c>
      <c r="G997" s="15">
        <v>2017</v>
      </c>
      <c r="H997" s="15">
        <f>Table_7[[#This Row],[Listing Price (USD)]]/10000</f>
        <v>25.3872</v>
      </c>
      <c r="I997" s="28">
        <f>Table_7[[#This Row],[Length 
(ft)]]</f>
        <v>51</v>
      </c>
      <c r="J997" s="28">
        <f>2020-Table_7[[#This Row],[Year]]</f>
        <v>3</v>
      </c>
      <c r="K997">
        <v>1276962685648.25</v>
      </c>
      <c r="L997">
        <v>26959.675436732599</v>
      </c>
      <c r="M997">
        <v>-0.32275301729970501</v>
      </c>
      <c r="N997">
        <v>-11.3254383222864</v>
      </c>
      <c r="O997">
        <v>45.67</v>
      </c>
      <c r="P997">
        <v>1227.002</v>
      </c>
      <c r="Q997">
        <v>63</v>
      </c>
      <c r="R997">
        <v>15.33</v>
      </c>
    </row>
    <row r="998" spans="1:18" x14ac:dyDescent="0.25">
      <c r="A998" s="1" t="s">
        <v>391</v>
      </c>
      <c r="B998" s="3" t="s">
        <v>235</v>
      </c>
      <c r="C998" s="19">
        <v>51</v>
      </c>
      <c r="D998" s="3" t="s">
        <v>497</v>
      </c>
      <c r="E998" s="3" t="s">
        <v>370</v>
      </c>
      <c r="F998" s="23">
        <v>259000</v>
      </c>
      <c r="G998" s="15">
        <v>2016</v>
      </c>
      <c r="H998" s="15">
        <f>Table_7[[#This Row],[Listing Price (USD)]]/10000</f>
        <v>25.9</v>
      </c>
      <c r="I998" s="28">
        <f>Table_7[[#This Row],[Length 
(ft)]]</f>
        <v>51</v>
      </c>
      <c r="J998" s="28">
        <f>2020-Table_7[[#This Row],[Year]]</f>
        <v>4</v>
      </c>
      <c r="K998">
        <v>500000000</v>
      </c>
      <c r="L998">
        <v>34200</v>
      </c>
      <c r="M998">
        <v>1.1000000000000001</v>
      </c>
      <c r="N998">
        <v>2</v>
      </c>
      <c r="O998">
        <v>45.67</v>
      </c>
      <c r="P998">
        <v>1227.002</v>
      </c>
      <c r="Q998">
        <v>63</v>
      </c>
      <c r="R998">
        <v>15.33</v>
      </c>
    </row>
    <row r="999" spans="1:18" x14ac:dyDescent="0.25">
      <c r="A999" s="1" t="s">
        <v>195</v>
      </c>
      <c r="B999" s="2" t="s">
        <v>235</v>
      </c>
      <c r="C999" s="19">
        <v>51</v>
      </c>
      <c r="D999" s="3" t="s">
        <v>496</v>
      </c>
      <c r="E999" s="3" t="s">
        <v>31</v>
      </c>
      <c r="F999" s="23">
        <v>279137</v>
      </c>
      <c r="G999" s="15">
        <v>2016</v>
      </c>
      <c r="H999" s="15">
        <f>Table_7[[#This Row],[Listing Price (USD)]]/10000</f>
        <v>27.913699999999999</v>
      </c>
      <c r="I999" s="28">
        <f>Table_7[[#This Row],[Length 
(ft)]]</f>
        <v>51</v>
      </c>
      <c r="J999" s="28">
        <f>2020-Table_7[[#This Row],[Year]]</f>
        <v>4</v>
      </c>
      <c r="K999">
        <v>57472012426.685303</v>
      </c>
      <c r="L999">
        <v>14198.753959474399</v>
      </c>
      <c r="M999">
        <v>0.15481137456202801</v>
      </c>
      <c r="N999">
        <v>-8.5803430210621805</v>
      </c>
      <c r="O999">
        <v>45.67</v>
      </c>
      <c r="P999">
        <v>1227.002</v>
      </c>
      <c r="Q999">
        <v>63</v>
      </c>
      <c r="R999">
        <v>15.33</v>
      </c>
    </row>
    <row r="1000" spans="1:18" x14ac:dyDescent="0.25">
      <c r="A1000" s="1" t="s">
        <v>195</v>
      </c>
      <c r="B1000" s="2" t="s">
        <v>235</v>
      </c>
      <c r="C1000" s="19">
        <v>51</v>
      </c>
      <c r="D1000" s="3" t="s">
        <v>496</v>
      </c>
      <c r="E1000" s="3" t="s">
        <v>31</v>
      </c>
      <c r="F1000" s="23">
        <v>285454</v>
      </c>
      <c r="G1000" s="15">
        <v>2016</v>
      </c>
      <c r="H1000" s="15">
        <f>Table_7[[#This Row],[Listing Price (USD)]]/10000</f>
        <v>28.545400000000001</v>
      </c>
      <c r="I1000" s="28">
        <f>Table_7[[#This Row],[Length 
(ft)]]</f>
        <v>51</v>
      </c>
      <c r="J1000" s="28">
        <f>2020-Table_7[[#This Row],[Year]]</f>
        <v>4</v>
      </c>
      <c r="K1000">
        <v>57472012426.685303</v>
      </c>
      <c r="L1000">
        <v>14198.753959474399</v>
      </c>
      <c r="M1000">
        <v>0.15481137456202801</v>
      </c>
      <c r="N1000">
        <v>-8.5803430210621805</v>
      </c>
      <c r="O1000">
        <v>45.67</v>
      </c>
      <c r="P1000">
        <v>1227.002</v>
      </c>
      <c r="Q1000">
        <v>63</v>
      </c>
      <c r="R1000">
        <v>15.33</v>
      </c>
    </row>
    <row r="1001" spans="1:18" x14ac:dyDescent="0.25">
      <c r="A1001" s="1" t="s">
        <v>195</v>
      </c>
      <c r="B1001" s="2" t="s">
        <v>235</v>
      </c>
      <c r="C1001" s="19">
        <v>51</v>
      </c>
      <c r="D1001" s="3" t="s">
        <v>496</v>
      </c>
      <c r="E1001" s="3" t="s">
        <v>9</v>
      </c>
      <c r="F1001" s="23">
        <v>303674</v>
      </c>
      <c r="G1001" s="15">
        <v>2018</v>
      </c>
      <c r="H1001" s="15">
        <f>Table_7[[#This Row],[Listing Price (USD)]]/10000</f>
        <v>30.3674</v>
      </c>
      <c r="I1001" s="28">
        <f>Table_7[[#This Row],[Length 
(ft)]]</f>
        <v>51</v>
      </c>
      <c r="J1001" s="28">
        <f>2020-Table_7[[#This Row],[Year]]</f>
        <v>2</v>
      </c>
      <c r="K1001">
        <v>1276962685648.25</v>
      </c>
      <c r="L1001">
        <v>26959.675436732599</v>
      </c>
      <c r="M1001">
        <v>-0.32275301729970501</v>
      </c>
      <c r="N1001">
        <v>-11.3254383222864</v>
      </c>
      <c r="O1001">
        <v>45.67</v>
      </c>
      <c r="P1001">
        <v>1227.002</v>
      </c>
      <c r="Q1001">
        <v>63</v>
      </c>
      <c r="R1001">
        <v>15.33</v>
      </c>
    </row>
    <row r="1002" spans="1:18" x14ac:dyDescent="0.25">
      <c r="A1002" s="1" t="s">
        <v>195</v>
      </c>
      <c r="B1002" s="2" t="s">
        <v>235</v>
      </c>
      <c r="C1002" s="19">
        <v>51</v>
      </c>
      <c r="D1002" s="3" t="s">
        <v>496</v>
      </c>
      <c r="E1002" s="3" t="s">
        <v>24</v>
      </c>
      <c r="F1002" s="23">
        <v>325539</v>
      </c>
      <c r="G1002" s="15">
        <v>2018</v>
      </c>
      <c r="H1002" s="15">
        <f>Table_7[[#This Row],[Listing Price (USD)]]/10000</f>
        <v>32.553899999999999</v>
      </c>
      <c r="I1002" s="28">
        <f>Table_7[[#This Row],[Length 
(ft)]]</f>
        <v>51</v>
      </c>
      <c r="J1002" s="28">
        <f>2020-Table_7[[#This Row],[Year]]</f>
        <v>2</v>
      </c>
      <c r="K1002">
        <v>1896755301518.1399</v>
      </c>
      <c r="L1002">
        <v>31911.0357890017</v>
      </c>
      <c r="M1002">
        <v>-0.13770757391656999</v>
      </c>
      <c r="N1002">
        <v>-9.0399534112288507</v>
      </c>
      <c r="O1002">
        <v>45.67</v>
      </c>
      <c r="P1002">
        <v>1227.002</v>
      </c>
      <c r="Q1002">
        <v>63</v>
      </c>
      <c r="R1002">
        <v>15.33</v>
      </c>
    </row>
    <row r="1003" spans="1:18" x14ac:dyDescent="0.25">
      <c r="A1003" s="1" t="s">
        <v>195</v>
      </c>
      <c r="B1003" s="2" t="s">
        <v>235</v>
      </c>
      <c r="C1003" s="19">
        <v>51</v>
      </c>
      <c r="D1003" s="3" t="s">
        <v>496</v>
      </c>
      <c r="E1003" s="3" t="s">
        <v>18</v>
      </c>
      <c r="F1003" s="23">
        <v>354691</v>
      </c>
      <c r="G1003" s="15">
        <v>2017</v>
      </c>
      <c r="H1003" s="15">
        <f>Table_7[[#This Row],[Listing Price (USD)]]/10000</f>
        <v>35.469099999999997</v>
      </c>
      <c r="I1003" s="28">
        <f>Table_7[[#This Row],[Length 
(ft)]]</f>
        <v>51</v>
      </c>
      <c r="J1003" s="28">
        <f>2020-Table_7[[#This Row],[Year]]</f>
        <v>3</v>
      </c>
      <c r="K1003">
        <v>188925995936.80701</v>
      </c>
      <c r="L1003">
        <v>17658.947301119199</v>
      </c>
      <c r="M1003">
        <v>-1.2479835558140799</v>
      </c>
      <c r="N1003">
        <v>-9.0040436420214593</v>
      </c>
      <c r="O1003">
        <v>45.67</v>
      </c>
      <c r="P1003">
        <v>1227.002</v>
      </c>
      <c r="Q1003">
        <v>63</v>
      </c>
      <c r="R1003">
        <v>15.33</v>
      </c>
    </row>
    <row r="1004" spans="1:18" x14ac:dyDescent="0.25">
      <c r="A1004" s="1" t="s">
        <v>195</v>
      </c>
      <c r="B1004" s="2" t="s">
        <v>235</v>
      </c>
      <c r="C1004" s="19">
        <v>51</v>
      </c>
      <c r="D1004" s="3" t="s">
        <v>496</v>
      </c>
      <c r="E1004" s="3" t="s">
        <v>3</v>
      </c>
      <c r="F1004" s="23">
        <v>360765</v>
      </c>
      <c r="G1004" s="15">
        <v>2017</v>
      </c>
      <c r="H1004" s="15">
        <f>Table_7[[#This Row],[Listing Price (USD)]]/10000</f>
        <v>36.076500000000003</v>
      </c>
      <c r="I1004" s="28">
        <f>Table_7[[#This Row],[Length 
(ft)]]</f>
        <v>51</v>
      </c>
      <c r="J1004" s="28">
        <f>2020-Table_7[[#This Row],[Year]]</f>
        <v>3</v>
      </c>
      <c r="K1004">
        <v>2639008701648.2598</v>
      </c>
      <c r="L1004">
        <v>39055.282928075401</v>
      </c>
      <c r="M1004">
        <v>0.47649885272508302</v>
      </c>
      <c r="N1004">
        <v>-7.7845864916787102</v>
      </c>
      <c r="O1004">
        <v>45.67</v>
      </c>
      <c r="P1004">
        <v>1227.002</v>
      </c>
      <c r="Q1004">
        <v>63</v>
      </c>
      <c r="R1004">
        <v>15.33</v>
      </c>
    </row>
    <row r="1005" spans="1:18" x14ac:dyDescent="0.25">
      <c r="A1005" s="1" t="s">
        <v>195</v>
      </c>
      <c r="B1005" s="2" t="s">
        <v>235</v>
      </c>
      <c r="C1005" s="19">
        <v>51</v>
      </c>
      <c r="D1005" s="3" t="s">
        <v>496</v>
      </c>
      <c r="E1005" s="3" t="s">
        <v>18</v>
      </c>
      <c r="F1005" s="23">
        <v>363194</v>
      </c>
      <c r="G1005" s="15">
        <v>2016</v>
      </c>
      <c r="H1005" s="15">
        <f>Table_7[[#This Row],[Listing Price (USD)]]/10000</f>
        <v>36.319400000000002</v>
      </c>
      <c r="I1005" s="28">
        <f>Table_7[[#This Row],[Length 
(ft)]]</f>
        <v>51</v>
      </c>
      <c r="J1005" s="28">
        <f>2020-Table_7[[#This Row],[Year]]</f>
        <v>4</v>
      </c>
      <c r="K1005">
        <v>188925995936.80701</v>
      </c>
      <c r="L1005">
        <v>17658.947301119199</v>
      </c>
      <c r="M1005">
        <v>-1.2479835558140799</v>
      </c>
      <c r="N1005">
        <v>-9.0040436420214593</v>
      </c>
      <c r="O1005">
        <v>45.67</v>
      </c>
      <c r="P1005">
        <v>1227.002</v>
      </c>
      <c r="Q1005">
        <v>63</v>
      </c>
      <c r="R1005">
        <v>15.33</v>
      </c>
    </row>
    <row r="1006" spans="1:18" x14ac:dyDescent="0.25">
      <c r="A1006" s="1" t="s">
        <v>391</v>
      </c>
      <c r="B1006" s="3" t="s">
        <v>235</v>
      </c>
      <c r="C1006" s="19">
        <v>51</v>
      </c>
      <c r="D1006" s="3" t="s">
        <v>497</v>
      </c>
      <c r="E1006" s="3" t="s">
        <v>392</v>
      </c>
      <c r="F1006" s="23">
        <v>420000</v>
      </c>
      <c r="G1006" s="15">
        <v>2017</v>
      </c>
      <c r="H1006" s="15">
        <f>Table_7[[#This Row],[Listing Price (USD)]]/10000</f>
        <v>42</v>
      </c>
      <c r="I1006" s="28">
        <f>Table_7[[#This Row],[Length 
(ft)]]</f>
        <v>51</v>
      </c>
      <c r="J1006" s="28">
        <f>2020-Table_7[[#This Row],[Year]]</f>
        <v>3</v>
      </c>
      <c r="K1006">
        <v>1043414814.81481</v>
      </c>
      <c r="L1006">
        <v>8437.5667322870595</v>
      </c>
      <c r="M1006">
        <v>-0.74073259704550098</v>
      </c>
      <c r="N1006">
        <v>-13.7559294530644</v>
      </c>
      <c r="O1006">
        <v>45.67</v>
      </c>
      <c r="P1006">
        <v>1227.002</v>
      </c>
      <c r="Q1006">
        <v>63</v>
      </c>
      <c r="R1006">
        <v>15.33</v>
      </c>
    </row>
    <row r="1007" spans="1:18" x14ac:dyDescent="0.25">
      <c r="A1007" s="1" t="s">
        <v>195</v>
      </c>
      <c r="B1007" s="3" t="s">
        <v>235</v>
      </c>
      <c r="C1007" s="19">
        <v>51</v>
      </c>
      <c r="D1007" s="3" t="s">
        <v>495</v>
      </c>
      <c r="E1007" s="3" t="s">
        <v>554</v>
      </c>
      <c r="F1007" s="23">
        <v>450000</v>
      </c>
      <c r="G1007" s="15">
        <v>2017</v>
      </c>
      <c r="H1007" s="15">
        <f>Table_7[[#This Row],[Listing Price (USD)]]/10000</f>
        <v>45</v>
      </c>
      <c r="I1007" s="28">
        <f>Table_7[[#This Row],[Length 
(ft)]]</f>
        <v>51</v>
      </c>
      <c r="J1007" s="28">
        <f>2020-Table_7[[#This Row],[Year]]</f>
        <v>3</v>
      </c>
      <c r="K1007">
        <v>4200000000</v>
      </c>
      <c r="L1007">
        <v>39553.199999999997</v>
      </c>
      <c r="M1007">
        <v>4.0999999999999996</v>
      </c>
      <c r="N1007">
        <v>-2.1</v>
      </c>
      <c r="O1007">
        <v>45.67</v>
      </c>
      <c r="P1007">
        <v>1227.002</v>
      </c>
      <c r="Q1007">
        <v>63</v>
      </c>
      <c r="R1007">
        <v>15.33</v>
      </c>
    </row>
    <row r="1008" spans="1:18" x14ac:dyDescent="0.25">
      <c r="A1008" s="1" t="s">
        <v>195</v>
      </c>
      <c r="B1008" s="3" t="s">
        <v>235</v>
      </c>
      <c r="C1008" s="19">
        <v>51</v>
      </c>
      <c r="D1008" s="3" t="s">
        <v>495</v>
      </c>
      <c r="E1008" s="3" t="s">
        <v>523</v>
      </c>
      <c r="F1008" s="23">
        <v>499999</v>
      </c>
      <c r="G1008" s="15">
        <v>2018</v>
      </c>
      <c r="H1008" s="15">
        <f>Table_7[[#This Row],[Listing Price (USD)]]/10000</f>
        <v>49.999899999999997</v>
      </c>
      <c r="I1008" s="28">
        <f>Table_7[[#This Row],[Length 
(ft)]]</f>
        <v>51</v>
      </c>
      <c r="J1008" s="28">
        <f>2020-Table_7[[#This Row],[Year]]</f>
        <v>2</v>
      </c>
      <c r="K1008">
        <v>1775588000000</v>
      </c>
      <c r="L1008">
        <v>60771.06</v>
      </c>
      <c r="M1008">
        <v>1.23</v>
      </c>
      <c r="N1008">
        <v>5.0999999999999996</v>
      </c>
      <c r="O1008">
        <v>45.67</v>
      </c>
      <c r="P1008">
        <v>1227.002</v>
      </c>
      <c r="Q1008">
        <v>63</v>
      </c>
      <c r="R1008">
        <v>15.33</v>
      </c>
    </row>
    <row r="1009" spans="1:18" x14ac:dyDescent="0.25">
      <c r="A1009" s="1" t="s">
        <v>195</v>
      </c>
      <c r="B1009" s="3" t="s">
        <v>235</v>
      </c>
      <c r="C1009" s="19">
        <v>51</v>
      </c>
      <c r="D1009" s="3" t="s">
        <v>497</v>
      </c>
      <c r="E1009" s="3" t="s">
        <v>370</v>
      </c>
      <c r="F1009" s="23">
        <v>545950</v>
      </c>
      <c r="G1009" s="15">
        <v>2018</v>
      </c>
      <c r="H1009" s="15">
        <f>Table_7[[#This Row],[Listing Price (USD)]]/10000</f>
        <v>54.594999999999999</v>
      </c>
      <c r="I1009" s="28">
        <f>Table_7[[#This Row],[Length 
(ft)]]</f>
        <v>51</v>
      </c>
      <c r="J1009" s="28">
        <f>2020-Table_7[[#This Row],[Year]]</f>
        <v>2</v>
      </c>
      <c r="K1009">
        <v>500000000</v>
      </c>
      <c r="L1009">
        <v>34200</v>
      </c>
      <c r="M1009">
        <v>1.1000000000000001</v>
      </c>
      <c r="N1009">
        <v>2</v>
      </c>
      <c r="O1009">
        <v>45.67</v>
      </c>
      <c r="P1009">
        <v>1227.002</v>
      </c>
      <c r="Q1009">
        <v>63</v>
      </c>
      <c r="R1009">
        <v>15.33</v>
      </c>
    </row>
    <row r="1010" spans="1:18" x14ac:dyDescent="0.25">
      <c r="A1010" s="1" t="s">
        <v>290</v>
      </c>
      <c r="B1010" s="2" t="s">
        <v>295</v>
      </c>
      <c r="C1010" s="19">
        <v>52</v>
      </c>
      <c r="D1010" s="3" t="s">
        <v>496</v>
      </c>
      <c r="E1010" s="3" t="s">
        <v>24</v>
      </c>
      <c r="F1010" s="23">
        <v>425144</v>
      </c>
      <c r="G1010" s="15">
        <v>2007</v>
      </c>
      <c r="H1010" s="15">
        <f>Table_7[[#This Row],[Listing Price (USD)]]/10000</f>
        <v>42.514400000000002</v>
      </c>
      <c r="I1010" s="28">
        <f>Table_7[[#This Row],[Length 
(ft)]]</f>
        <v>52</v>
      </c>
      <c r="J1010" s="28">
        <f>2020-Table_7[[#This Row],[Year]]</f>
        <v>13</v>
      </c>
      <c r="K1010">
        <v>1896755301518.1399</v>
      </c>
      <c r="L1010">
        <v>31911.0357890017</v>
      </c>
      <c r="M1010">
        <v>-0.13770757391656999</v>
      </c>
      <c r="N1010">
        <v>-9.0399534112288507</v>
      </c>
      <c r="O1010">
        <v>45.8</v>
      </c>
      <c r="P1010">
        <v>1420</v>
      </c>
      <c r="Q1010">
        <v>63</v>
      </c>
      <c r="R1010">
        <v>15.65</v>
      </c>
    </row>
    <row r="1011" spans="1:18" x14ac:dyDescent="0.25">
      <c r="A1011" s="1" t="s">
        <v>290</v>
      </c>
      <c r="B1011" s="2" t="s">
        <v>295</v>
      </c>
      <c r="C1011" s="19">
        <v>52</v>
      </c>
      <c r="D1011" s="3" t="s">
        <v>496</v>
      </c>
      <c r="E1011" s="3" t="s">
        <v>24</v>
      </c>
      <c r="F1011" s="23">
        <v>425161</v>
      </c>
      <c r="G1011" s="15">
        <v>2007</v>
      </c>
      <c r="H1011" s="15">
        <f>Table_7[[#This Row],[Listing Price (USD)]]/10000</f>
        <v>42.516100000000002</v>
      </c>
      <c r="I1011" s="28">
        <f>Table_7[[#This Row],[Length 
(ft)]]</f>
        <v>52</v>
      </c>
      <c r="J1011" s="28">
        <f>2020-Table_7[[#This Row],[Year]]</f>
        <v>13</v>
      </c>
      <c r="K1011">
        <v>1896755301518.1399</v>
      </c>
      <c r="L1011">
        <v>31911.0357890017</v>
      </c>
      <c r="M1011">
        <v>-0.13770757391656999</v>
      </c>
      <c r="N1011">
        <v>-9.0399534112288507</v>
      </c>
      <c r="O1011">
        <v>45.8</v>
      </c>
      <c r="P1011">
        <v>1420</v>
      </c>
      <c r="Q1011">
        <v>63</v>
      </c>
      <c r="R1011">
        <v>15.65</v>
      </c>
    </row>
    <row r="1012" spans="1:18" x14ac:dyDescent="0.25">
      <c r="A1012" s="1" t="s">
        <v>45</v>
      </c>
      <c r="B1012" s="2" t="s">
        <v>78</v>
      </c>
      <c r="C1012" s="19">
        <v>49</v>
      </c>
      <c r="D1012" s="3" t="s">
        <v>496</v>
      </c>
      <c r="E1012" s="3" t="s">
        <v>18</v>
      </c>
      <c r="F1012" s="23">
        <v>151837</v>
      </c>
      <c r="G1012" s="15">
        <v>2010</v>
      </c>
      <c r="H1012" s="15">
        <f>Table_7[[#This Row],[Listing Price (USD)]]/10000</f>
        <v>15.1837</v>
      </c>
      <c r="I1012" s="28">
        <f>Table_7[[#This Row],[Length 
(ft)]]</f>
        <v>49</v>
      </c>
      <c r="J1012" s="28">
        <f>2020-Table_7[[#This Row],[Year]]</f>
        <v>10</v>
      </c>
      <c r="K1012">
        <v>188925995936.80701</v>
      </c>
      <c r="L1012">
        <v>17658.947301119199</v>
      </c>
      <c r="M1012">
        <v>-1.2479835558140799</v>
      </c>
      <c r="N1012">
        <v>-9.0040436420214593</v>
      </c>
      <c r="O1012">
        <v>43.63</v>
      </c>
      <c r="P1012">
        <v>1183.002</v>
      </c>
      <c r="Q1012">
        <v>62</v>
      </c>
      <c r="R1012">
        <v>14.76</v>
      </c>
    </row>
    <row r="1013" spans="1:18" x14ac:dyDescent="0.25">
      <c r="A1013" s="1" t="s">
        <v>45</v>
      </c>
      <c r="B1013" s="2" t="s">
        <v>78</v>
      </c>
      <c r="C1013" s="19">
        <v>49</v>
      </c>
      <c r="D1013" s="3" t="s">
        <v>496</v>
      </c>
      <c r="E1013" s="3" t="s">
        <v>18</v>
      </c>
      <c r="F1013" s="23">
        <v>163984</v>
      </c>
      <c r="G1013" s="15">
        <v>2010</v>
      </c>
      <c r="H1013" s="15">
        <f>Table_7[[#This Row],[Listing Price (USD)]]/10000</f>
        <v>16.398399999999999</v>
      </c>
      <c r="I1013" s="28">
        <f>Table_7[[#This Row],[Length 
(ft)]]</f>
        <v>49</v>
      </c>
      <c r="J1013" s="28">
        <f>2020-Table_7[[#This Row],[Year]]</f>
        <v>10</v>
      </c>
      <c r="K1013">
        <v>188925995936.80701</v>
      </c>
      <c r="L1013">
        <v>17658.947301119199</v>
      </c>
      <c r="M1013">
        <v>-1.2479835558140799</v>
      </c>
      <c r="N1013">
        <v>-9.0040436420214593</v>
      </c>
      <c r="O1013">
        <v>43.63</v>
      </c>
      <c r="P1013">
        <v>1183.002</v>
      </c>
      <c r="Q1013">
        <v>62</v>
      </c>
      <c r="R1013">
        <v>14.76</v>
      </c>
    </row>
    <row r="1014" spans="1:18" x14ac:dyDescent="0.25">
      <c r="A1014" s="1" t="s">
        <v>45</v>
      </c>
      <c r="B1014" s="2" t="s">
        <v>78</v>
      </c>
      <c r="C1014" s="19">
        <v>49</v>
      </c>
      <c r="D1014" s="3" t="s">
        <v>496</v>
      </c>
      <c r="E1014" s="3" t="s">
        <v>31</v>
      </c>
      <c r="F1014" s="23">
        <v>176138</v>
      </c>
      <c r="G1014" s="15">
        <v>2011</v>
      </c>
      <c r="H1014" s="15">
        <f>Table_7[[#This Row],[Listing Price (USD)]]/10000</f>
        <v>17.613800000000001</v>
      </c>
      <c r="I1014" s="28">
        <f>Table_7[[#This Row],[Length 
(ft)]]</f>
        <v>49</v>
      </c>
      <c r="J1014" s="28">
        <f>2020-Table_7[[#This Row],[Year]]</f>
        <v>9</v>
      </c>
      <c r="K1014">
        <v>57472012426.685303</v>
      </c>
      <c r="L1014">
        <v>14198.753959474399</v>
      </c>
      <c r="M1014">
        <v>0.15481137456202801</v>
      </c>
      <c r="N1014">
        <v>-8.5803430210621805</v>
      </c>
      <c r="O1014">
        <v>43.63</v>
      </c>
      <c r="P1014">
        <v>1183.002</v>
      </c>
      <c r="Q1014">
        <v>62</v>
      </c>
      <c r="R1014">
        <v>14.76</v>
      </c>
    </row>
    <row r="1015" spans="1:18" x14ac:dyDescent="0.25">
      <c r="A1015" s="1" t="s">
        <v>378</v>
      </c>
      <c r="B1015" s="3" t="s">
        <v>78</v>
      </c>
      <c r="C1015" s="19">
        <v>49</v>
      </c>
      <c r="D1015" s="3" t="s">
        <v>497</v>
      </c>
      <c r="E1015" s="3" t="s">
        <v>506</v>
      </c>
      <c r="F1015" s="23">
        <v>185000</v>
      </c>
      <c r="G1015" s="15">
        <v>2011</v>
      </c>
      <c r="H1015" s="15">
        <f>Table_7[[#This Row],[Listing Price (USD)]]/10000</f>
        <v>18.5</v>
      </c>
      <c r="I1015" s="28">
        <f>Table_7[[#This Row],[Length 
(ft)]]</f>
        <v>49</v>
      </c>
      <c r="J1015" s="28">
        <f>2020-Table_7[[#This Row],[Year]]</f>
        <v>9</v>
      </c>
      <c r="K1015">
        <v>1370281481.4814799</v>
      </c>
      <c r="L1015">
        <v>14787.6357752901</v>
      </c>
      <c r="M1015">
        <v>0.62598970704669799</v>
      </c>
      <c r="N1015">
        <v>-20.1923705722071</v>
      </c>
      <c r="O1015">
        <v>43.63</v>
      </c>
      <c r="P1015">
        <v>1183.002</v>
      </c>
      <c r="Q1015">
        <v>62</v>
      </c>
      <c r="R1015">
        <v>14.76</v>
      </c>
    </row>
    <row r="1016" spans="1:18" x14ac:dyDescent="0.25">
      <c r="A1016" s="1" t="s">
        <v>45</v>
      </c>
      <c r="B1016" s="2" t="s">
        <v>78</v>
      </c>
      <c r="C1016" s="19">
        <v>49</v>
      </c>
      <c r="D1016" s="3" t="s">
        <v>496</v>
      </c>
      <c r="E1016" s="3" t="s">
        <v>18</v>
      </c>
      <c r="F1016" s="23">
        <v>185856</v>
      </c>
      <c r="G1016" s="15">
        <v>2011</v>
      </c>
      <c r="H1016" s="15">
        <f>Table_7[[#This Row],[Listing Price (USD)]]/10000</f>
        <v>18.585599999999999</v>
      </c>
      <c r="I1016" s="28">
        <f>Table_7[[#This Row],[Length 
(ft)]]</f>
        <v>49</v>
      </c>
      <c r="J1016" s="28">
        <f>2020-Table_7[[#This Row],[Year]]</f>
        <v>9</v>
      </c>
      <c r="K1016">
        <v>188925995936.80701</v>
      </c>
      <c r="L1016">
        <v>17658.947301119199</v>
      </c>
      <c r="M1016">
        <v>-1.2479835558140799</v>
      </c>
      <c r="N1016">
        <v>-9.0040436420214593</v>
      </c>
      <c r="O1016">
        <v>43.63</v>
      </c>
      <c r="P1016">
        <v>1183.002</v>
      </c>
      <c r="Q1016">
        <v>62</v>
      </c>
      <c r="R1016">
        <v>14.76</v>
      </c>
    </row>
    <row r="1017" spans="1:18" x14ac:dyDescent="0.25">
      <c r="A1017" s="1" t="s">
        <v>45</v>
      </c>
      <c r="B1017" s="2" t="s">
        <v>78</v>
      </c>
      <c r="C1017" s="19">
        <v>49</v>
      </c>
      <c r="D1017" s="3" t="s">
        <v>496</v>
      </c>
      <c r="E1017" s="3" t="s">
        <v>18</v>
      </c>
      <c r="F1017" s="23">
        <v>185858</v>
      </c>
      <c r="G1017" s="15">
        <v>2006</v>
      </c>
      <c r="H1017" s="15">
        <f>Table_7[[#This Row],[Listing Price (USD)]]/10000</f>
        <v>18.585799999999999</v>
      </c>
      <c r="I1017" s="28">
        <f>Table_7[[#This Row],[Length 
(ft)]]</f>
        <v>49</v>
      </c>
      <c r="J1017" s="28">
        <f>2020-Table_7[[#This Row],[Year]]</f>
        <v>14</v>
      </c>
      <c r="K1017">
        <v>188925995936.80701</v>
      </c>
      <c r="L1017">
        <v>17658.947301119199</v>
      </c>
      <c r="M1017">
        <v>-1.2479835558140799</v>
      </c>
      <c r="N1017">
        <v>-9.0040436420214593</v>
      </c>
      <c r="O1017">
        <v>43.63</v>
      </c>
      <c r="P1017">
        <v>1183.002</v>
      </c>
      <c r="Q1017">
        <v>62</v>
      </c>
      <c r="R1017">
        <v>14.76</v>
      </c>
    </row>
    <row r="1018" spans="1:18" x14ac:dyDescent="0.25">
      <c r="A1018" s="1" t="s">
        <v>45</v>
      </c>
      <c r="B1018" s="2" t="s">
        <v>78</v>
      </c>
      <c r="C1018" s="19">
        <v>49</v>
      </c>
      <c r="D1018" s="3" t="s">
        <v>496</v>
      </c>
      <c r="E1018" s="3" t="s">
        <v>63</v>
      </c>
      <c r="F1018" s="23">
        <v>186524</v>
      </c>
      <c r="G1018" s="15">
        <v>2009</v>
      </c>
      <c r="H1018" s="15">
        <f>Table_7[[#This Row],[Listing Price (USD)]]/10000</f>
        <v>18.6524</v>
      </c>
      <c r="I1018" s="28">
        <f>Table_7[[#This Row],[Length 
(ft)]]</f>
        <v>49</v>
      </c>
      <c r="J1018" s="28">
        <f>2020-Table_7[[#This Row],[Year]]</f>
        <v>11</v>
      </c>
      <c r="K1018">
        <v>720290000000</v>
      </c>
      <c r="L1018">
        <v>13341.6</v>
      </c>
      <c r="M1018">
        <v>13</v>
      </c>
      <c r="N1018">
        <v>-3</v>
      </c>
      <c r="O1018">
        <v>43.63</v>
      </c>
      <c r="P1018">
        <v>1183.002</v>
      </c>
      <c r="Q1018">
        <v>62</v>
      </c>
      <c r="R1018">
        <v>14.76</v>
      </c>
    </row>
    <row r="1019" spans="1:18" x14ac:dyDescent="0.25">
      <c r="A1019" s="1" t="s">
        <v>378</v>
      </c>
      <c r="B1019" s="3" t="s">
        <v>78</v>
      </c>
      <c r="C1019" s="19">
        <v>49</v>
      </c>
      <c r="D1019" s="3" t="s">
        <v>497</v>
      </c>
      <c r="E1019" s="3" t="s">
        <v>483</v>
      </c>
      <c r="F1019" s="23">
        <v>187131</v>
      </c>
      <c r="G1019" s="15">
        <v>2010</v>
      </c>
      <c r="H1019" s="15">
        <f>Table_7[[#This Row],[Listing Price (USD)]]/10000</f>
        <v>18.713100000000001</v>
      </c>
      <c r="I1019" s="28">
        <f>Table_7[[#This Row],[Length 
(ft)]]</f>
        <v>49</v>
      </c>
      <c r="J1019" s="28">
        <f>2020-Table_7[[#This Row],[Year]]</f>
        <v>10</v>
      </c>
      <c r="K1019">
        <v>4200000000</v>
      </c>
      <c r="L1019">
        <v>39553.199999999997</v>
      </c>
      <c r="M1019">
        <v>2.5</v>
      </c>
      <c r="N1019">
        <v>-2.1</v>
      </c>
      <c r="O1019">
        <v>43.63</v>
      </c>
      <c r="P1019">
        <v>1183.002</v>
      </c>
      <c r="Q1019">
        <v>62</v>
      </c>
      <c r="R1019">
        <v>14.76</v>
      </c>
    </row>
    <row r="1020" spans="1:18" x14ac:dyDescent="0.25">
      <c r="A1020" s="1" t="s">
        <v>45</v>
      </c>
      <c r="B1020" s="2" t="s">
        <v>78</v>
      </c>
      <c r="C1020" s="19">
        <v>49</v>
      </c>
      <c r="D1020" s="3" t="s">
        <v>496</v>
      </c>
      <c r="E1020" s="3" t="s">
        <v>18</v>
      </c>
      <c r="F1020" s="23">
        <v>188278</v>
      </c>
      <c r="G1020" s="15">
        <v>2006</v>
      </c>
      <c r="H1020" s="15">
        <f>Table_7[[#This Row],[Listing Price (USD)]]/10000</f>
        <v>18.8278</v>
      </c>
      <c r="I1020" s="28">
        <f>Table_7[[#This Row],[Length 
(ft)]]</f>
        <v>49</v>
      </c>
      <c r="J1020" s="28">
        <f>2020-Table_7[[#This Row],[Year]]</f>
        <v>14</v>
      </c>
      <c r="K1020">
        <v>188925995936.80701</v>
      </c>
      <c r="L1020">
        <v>17658.947301119199</v>
      </c>
      <c r="M1020">
        <v>-1.2479835558140799</v>
      </c>
      <c r="N1020">
        <v>-9.0040436420214593</v>
      </c>
      <c r="O1020">
        <v>43.63</v>
      </c>
      <c r="P1020">
        <v>1183.002</v>
      </c>
      <c r="Q1020">
        <v>62</v>
      </c>
      <c r="R1020">
        <v>14.76</v>
      </c>
    </row>
    <row r="1021" spans="1:18" x14ac:dyDescent="0.25">
      <c r="A1021" s="1" t="s">
        <v>45</v>
      </c>
      <c r="B1021" s="2" t="s">
        <v>78</v>
      </c>
      <c r="C1021" s="19">
        <v>49</v>
      </c>
      <c r="D1021" s="3" t="s">
        <v>496</v>
      </c>
      <c r="E1021" s="3" t="s">
        <v>24</v>
      </c>
      <c r="F1021" s="23">
        <v>188278</v>
      </c>
      <c r="G1021" s="15">
        <v>2007</v>
      </c>
      <c r="H1021" s="15">
        <f>Table_7[[#This Row],[Listing Price (USD)]]/10000</f>
        <v>18.8278</v>
      </c>
      <c r="I1021" s="28">
        <f>Table_7[[#This Row],[Length 
(ft)]]</f>
        <v>49</v>
      </c>
      <c r="J1021" s="28">
        <f>2020-Table_7[[#This Row],[Year]]</f>
        <v>13</v>
      </c>
      <c r="K1021">
        <v>1896755301518.1399</v>
      </c>
      <c r="L1021">
        <v>31911.0357890017</v>
      </c>
      <c r="M1021">
        <v>-0.13770757391656999</v>
      </c>
      <c r="N1021">
        <v>-9.0399534112288507</v>
      </c>
      <c r="O1021">
        <v>43.63</v>
      </c>
      <c r="P1021">
        <v>1183.002</v>
      </c>
      <c r="Q1021">
        <v>62</v>
      </c>
      <c r="R1021">
        <v>14.76</v>
      </c>
    </row>
    <row r="1022" spans="1:18" x14ac:dyDescent="0.25">
      <c r="A1022" s="1" t="s">
        <v>45</v>
      </c>
      <c r="B1022" s="2" t="s">
        <v>78</v>
      </c>
      <c r="C1022" s="19">
        <v>49</v>
      </c>
      <c r="D1022" s="3" t="s">
        <v>496</v>
      </c>
      <c r="E1022" s="3" t="s">
        <v>18</v>
      </c>
      <c r="F1022" s="23">
        <v>188285</v>
      </c>
      <c r="G1022" s="15">
        <v>2010</v>
      </c>
      <c r="H1022" s="15">
        <f>Table_7[[#This Row],[Listing Price (USD)]]/10000</f>
        <v>18.828499999999998</v>
      </c>
      <c r="I1022" s="28">
        <f>Table_7[[#This Row],[Length 
(ft)]]</f>
        <v>49</v>
      </c>
      <c r="J1022" s="28">
        <f>2020-Table_7[[#This Row],[Year]]</f>
        <v>10</v>
      </c>
      <c r="K1022">
        <v>188925995936.80701</v>
      </c>
      <c r="L1022">
        <v>17658.947301119199</v>
      </c>
      <c r="M1022">
        <v>-1.2479835558140799</v>
      </c>
      <c r="N1022">
        <v>-9.0040436420214593</v>
      </c>
      <c r="O1022">
        <v>43.63</v>
      </c>
      <c r="P1022">
        <v>1183.002</v>
      </c>
      <c r="Q1022">
        <v>62</v>
      </c>
      <c r="R1022">
        <v>14.76</v>
      </c>
    </row>
    <row r="1023" spans="1:18" x14ac:dyDescent="0.25">
      <c r="A1023" s="1" t="s">
        <v>45</v>
      </c>
      <c r="B1023" s="3" t="s">
        <v>78</v>
      </c>
      <c r="C1023" s="19">
        <v>49</v>
      </c>
      <c r="D1023" s="3" t="s">
        <v>497</v>
      </c>
      <c r="E1023" s="3" t="s">
        <v>392</v>
      </c>
      <c r="F1023" s="23">
        <v>189000</v>
      </c>
      <c r="G1023" s="15">
        <v>2006</v>
      </c>
      <c r="H1023" s="15">
        <f>Table_7[[#This Row],[Listing Price (USD)]]/10000</f>
        <v>18.899999999999999</v>
      </c>
      <c r="I1023" s="28">
        <f>Table_7[[#This Row],[Length 
(ft)]]</f>
        <v>49</v>
      </c>
      <c r="J1023" s="28">
        <f>2020-Table_7[[#This Row],[Year]]</f>
        <v>14</v>
      </c>
      <c r="K1023">
        <v>1043414814.81481</v>
      </c>
      <c r="L1023">
        <v>8437.5667322870595</v>
      </c>
      <c r="M1023">
        <v>-0.74073259704550098</v>
      </c>
      <c r="N1023">
        <v>-13.7559294530644</v>
      </c>
      <c r="O1023">
        <v>43.63</v>
      </c>
      <c r="P1023">
        <v>1183.002</v>
      </c>
      <c r="Q1023">
        <v>62</v>
      </c>
      <c r="R1023">
        <v>14.76</v>
      </c>
    </row>
    <row r="1024" spans="1:18" x14ac:dyDescent="0.25">
      <c r="A1024" s="1" t="s">
        <v>45</v>
      </c>
      <c r="B1024" s="2" t="s">
        <v>78</v>
      </c>
      <c r="C1024" s="19">
        <v>49</v>
      </c>
      <c r="D1024" s="3" t="s">
        <v>496</v>
      </c>
      <c r="E1024" s="3" t="s">
        <v>537</v>
      </c>
      <c r="F1024" s="23">
        <v>193186</v>
      </c>
      <c r="G1024" s="15">
        <v>2008</v>
      </c>
      <c r="H1024" s="15">
        <f>Table_7[[#This Row],[Listing Price (USD)]]/10000</f>
        <v>19.3186</v>
      </c>
      <c r="I1024" s="28">
        <f>Table_7[[#This Row],[Length 
(ft)]]</f>
        <v>49</v>
      </c>
      <c r="J1024" s="28">
        <f>2020-Table_7[[#This Row],[Year]]</f>
        <v>12</v>
      </c>
      <c r="K1024">
        <v>930371009830.08838</v>
      </c>
      <c r="L1024">
        <v>32045.28833705237</v>
      </c>
      <c r="M1024">
        <v>0.810222564232847</v>
      </c>
      <c r="N1024">
        <v>-6.18704127562025</v>
      </c>
      <c r="O1024">
        <v>43.63</v>
      </c>
      <c r="P1024">
        <v>1183.002</v>
      </c>
      <c r="Q1024">
        <v>62</v>
      </c>
      <c r="R1024">
        <v>14.76</v>
      </c>
    </row>
    <row r="1025" spans="1:18" x14ac:dyDescent="0.25">
      <c r="A1025" s="1" t="s">
        <v>45</v>
      </c>
      <c r="B1025" s="2" t="s">
        <v>78</v>
      </c>
      <c r="C1025" s="19">
        <v>49</v>
      </c>
      <c r="D1025" s="3" t="s">
        <v>496</v>
      </c>
      <c r="E1025" s="3" t="s">
        <v>18</v>
      </c>
      <c r="F1025" s="23">
        <v>194351</v>
      </c>
      <c r="G1025" s="15">
        <v>2006</v>
      </c>
      <c r="H1025" s="15">
        <f>Table_7[[#This Row],[Listing Price (USD)]]/10000</f>
        <v>19.435099999999998</v>
      </c>
      <c r="I1025" s="28">
        <f>Table_7[[#This Row],[Length 
(ft)]]</f>
        <v>49</v>
      </c>
      <c r="J1025" s="28">
        <f>2020-Table_7[[#This Row],[Year]]</f>
        <v>14</v>
      </c>
      <c r="K1025">
        <v>188925995936.80701</v>
      </c>
      <c r="L1025">
        <v>17658.947301119199</v>
      </c>
      <c r="M1025">
        <v>-1.2479835558140799</v>
      </c>
      <c r="N1025">
        <v>-9.0040436420214593</v>
      </c>
      <c r="O1025">
        <v>43.63</v>
      </c>
      <c r="P1025">
        <v>1183.002</v>
      </c>
      <c r="Q1025">
        <v>62</v>
      </c>
      <c r="R1025">
        <v>14.76</v>
      </c>
    </row>
    <row r="1026" spans="1:18" x14ac:dyDescent="0.25">
      <c r="A1026" s="1" t="s">
        <v>45</v>
      </c>
      <c r="B1026" s="2" t="s">
        <v>78</v>
      </c>
      <c r="C1026" s="19">
        <v>49</v>
      </c>
      <c r="D1026" s="3" t="s">
        <v>496</v>
      </c>
      <c r="E1026" s="3" t="s">
        <v>18</v>
      </c>
      <c r="F1026" s="23">
        <v>194359</v>
      </c>
      <c r="G1026" s="15">
        <v>2006</v>
      </c>
      <c r="H1026" s="15">
        <f>Table_7[[#This Row],[Listing Price (USD)]]/10000</f>
        <v>19.4359</v>
      </c>
      <c r="I1026" s="28">
        <f>Table_7[[#This Row],[Length 
(ft)]]</f>
        <v>49</v>
      </c>
      <c r="J1026" s="28">
        <f>2020-Table_7[[#This Row],[Year]]</f>
        <v>14</v>
      </c>
      <c r="K1026">
        <v>188925995936.80701</v>
      </c>
      <c r="L1026">
        <v>17658.947301119199</v>
      </c>
      <c r="M1026">
        <v>-1.2479835558140799</v>
      </c>
      <c r="N1026">
        <v>-9.0040436420214593</v>
      </c>
      <c r="O1026">
        <v>43.63</v>
      </c>
      <c r="P1026">
        <v>1183.002</v>
      </c>
      <c r="Q1026">
        <v>62</v>
      </c>
      <c r="R1026">
        <v>14.76</v>
      </c>
    </row>
    <row r="1027" spans="1:18" x14ac:dyDescent="0.25">
      <c r="A1027" s="1" t="s">
        <v>45</v>
      </c>
      <c r="B1027" s="2" t="s">
        <v>78</v>
      </c>
      <c r="C1027" s="19">
        <v>49</v>
      </c>
      <c r="D1027" s="3" t="s">
        <v>496</v>
      </c>
      <c r="E1027" s="3" t="s">
        <v>18</v>
      </c>
      <c r="F1027" s="23">
        <v>199183</v>
      </c>
      <c r="G1027" s="15">
        <v>2010</v>
      </c>
      <c r="H1027" s="15">
        <f>Table_7[[#This Row],[Listing Price (USD)]]/10000</f>
        <v>19.918299999999999</v>
      </c>
      <c r="I1027" s="28">
        <f>Table_7[[#This Row],[Length 
(ft)]]</f>
        <v>49</v>
      </c>
      <c r="J1027" s="28">
        <f>2020-Table_7[[#This Row],[Year]]</f>
        <v>10</v>
      </c>
      <c r="K1027">
        <v>188925995936.80701</v>
      </c>
      <c r="L1027">
        <v>17658.947301119199</v>
      </c>
      <c r="M1027">
        <v>-1.2479835558140799</v>
      </c>
      <c r="N1027">
        <v>-9.0040436420214593</v>
      </c>
      <c r="O1027">
        <v>43.63</v>
      </c>
      <c r="P1027">
        <v>1183.002</v>
      </c>
      <c r="Q1027">
        <v>62</v>
      </c>
      <c r="R1027">
        <v>14.76</v>
      </c>
    </row>
    <row r="1028" spans="1:18" x14ac:dyDescent="0.25">
      <c r="A1028" s="1" t="s">
        <v>45</v>
      </c>
      <c r="B1028" s="2" t="s">
        <v>78</v>
      </c>
      <c r="C1028" s="19">
        <v>49</v>
      </c>
      <c r="D1028" s="3" t="s">
        <v>496</v>
      </c>
      <c r="E1028" s="3" t="s">
        <v>19</v>
      </c>
      <c r="F1028" s="23">
        <v>199781</v>
      </c>
      <c r="G1028" s="15">
        <v>2006</v>
      </c>
      <c r="H1028" s="15">
        <f>Table_7[[#This Row],[Listing Price (USD)]]/10000</f>
        <v>19.978100000000001</v>
      </c>
      <c r="I1028" s="28">
        <f>Table_7[[#This Row],[Length 
(ft)]]</f>
        <v>49</v>
      </c>
      <c r="J1028" s="28">
        <f>2020-Table_7[[#This Row],[Year]]</f>
        <v>14</v>
      </c>
      <c r="K1028">
        <v>4200000000</v>
      </c>
      <c r="L1028">
        <v>39553.199999999997</v>
      </c>
      <c r="M1028">
        <v>4.0999999999999996</v>
      </c>
      <c r="N1028">
        <v>-2.1</v>
      </c>
      <c r="O1028">
        <v>43.63</v>
      </c>
      <c r="P1028">
        <v>1183.002</v>
      </c>
      <c r="Q1028">
        <v>62</v>
      </c>
      <c r="R1028">
        <v>14.76</v>
      </c>
    </row>
    <row r="1029" spans="1:18" x14ac:dyDescent="0.25">
      <c r="A1029" s="1" t="s">
        <v>45</v>
      </c>
      <c r="B1029" s="3" t="s">
        <v>78</v>
      </c>
      <c r="C1029" s="19">
        <v>49</v>
      </c>
      <c r="D1029" s="3" t="s">
        <v>495</v>
      </c>
      <c r="E1029" s="3" t="s">
        <v>527</v>
      </c>
      <c r="F1029" s="23">
        <v>199900</v>
      </c>
      <c r="G1029" s="15">
        <v>2007</v>
      </c>
      <c r="H1029" s="15">
        <f>Table_7[[#This Row],[Listing Price (USD)]]/10000</f>
        <v>19.989999999999998</v>
      </c>
      <c r="I1029" s="28">
        <f>Table_7[[#This Row],[Length 
(ft)]]</f>
        <v>49</v>
      </c>
      <c r="J1029" s="28">
        <f>2020-Table_7[[#This Row],[Year]]</f>
        <v>13</v>
      </c>
      <c r="K1029">
        <v>582477000000</v>
      </c>
      <c r="L1029">
        <v>82947.67</v>
      </c>
      <c r="M1029">
        <v>1.23</v>
      </c>
      <c r="N1029">
        <v>2.7</v>
      </c>
      <c r="O1029">
        <v>43.63</v>
      </c>
      <c r="P1029">
        <v>1183.002</v>
      </c>
      <c r="Q1029">
        <v>62</v>
      </c>
      <c r="R1029">
        <v>14.76</v>
      </c>
    </row>
    <row r="1030" spans="1:18" x14ac:dyDescent="0.25">
      <c r="A1030" s="1" t="s">
        <v>45</v>
      </c>
      <c r="B1030" s="2" t="s">
        <v>78</v>
      </c>
      <c r="C1030" s="19">
        <v>49</v>
      </c>
      <c r="D1030" s="3" t="s">
        <v>496</v>
      </c>
      <c r="E1030" s="3" t="s">
        <v>18</v>
      </c>
      <c r="F1030" s="23">
        <v>200425</v>
      </c>
      <c r="G1030" s="15">
        <v>2008</v>
      </c>
      <c r="H1030" s="15">
        <f>Table_7[[#This Row],[Listing Price (USD)]]/10000</f>
        <v>20.0425</v>
      </c>
      <c r="I1030" s="28">
        <f>Table_7[[#This Row],[Length 
(ft)]]</f>
        <v>49</v>
      </c>
      <c r="J1030" s="28">
        <f>2020-Table_7[[#This Row],[Year]]</f>
        <v>12</v>
      </c>
      <c r="K1030">
        <v>188925995936.80701</v>
      </c>
      <c r="L1030">
        <v>17658.947301119199</v>
      </c>
      <c r="M1030">
        <v>-1.2479835558140799</v>
      </c>
      <c r="N1030">
        <v>-9.0040436420214593</v>
      </c>
      <c r="O1030">
        <v>43.63</v>
      </c>
      <c r="P1030">
        <v>1183.002</v>
      </c>
      <c r="Q1030">
        <v>62</v>
      </c>
      <c r="R1030">
        <v>14.76</v>
      </c>
    </row>
    <row r="1031" spans="1:18" x14ac:dyDescent="0.25">
      <c r="A1031" s="1" t="s">
        <v>45</v>
      </c>
      <c r="B1031" s="2" t="s">
        <v>78</v>
      </c>
      <c r="C1031" s="19">
        <v>49</v>
      </c>
      <c r="D1031" s="3" t="s">
        <v>496</v>
      </c>
      <c r="E1031" s="3" t="s">
        <v>24</v>
      </c>
      <c r="F1031" s="23">
        <v>204077</v>
      </c>
      <c r="G1031" s="15">
        <v>2008</v>
      </c>
      <c r="H1031" s="15">
        <f>Table_7[[#This Row],[Listing Price (USD)]]/10000</f>
        <v>20.407699999999998</v>
      </c>
      <c r="I1031" s="28">
        <f>Table_7[[#This Row],[Length 
(ft)]]</f>
        <v>49</v>
      </c>
      <c r="J1031" s="28">
        <f>2020-Table_7[[#This Row],[Year]]</f>
        <v>12</v>
      </c>
      <c r="K1031">
        <v>1896755301518.1399</v>
      </c>
      <c r="L1031">
        <v>31911.0357890017</v>
      </c>
      <c r="M1031">
        <v>-0.13770757391656999</v>
      </c>
      <c r="N1031">
        <v>-9.0399534112288507</v>
      </c>
      <c r="O1031">
        <v>43.63</v>
      </c>
      <c r="P1031">
        <v>1183.002</v>
      </c>
      <c r="Q1031">
        <v>62</v>
      </c>
      <c r="R1031">
        <v>14.76</v>
      </c>
    </row>
    <row r="1032" spans="1:18" x14ac:dyDescent="0.25">
      <c r="A1032" s="1" t="s">
        <v>45</v>
      </c>
      <c r="B1032" s="2" t="s">
        <v>78</v>
      </c>
      <c r="C1032" s="19">
        <v>49</v>
      </c>
      <c r="D1032" s="3" t="s">
        <v>496</v>
      </c>
      <c r="E1032" s="3" t="s">
        <v>24</v>
      </c>
      <c r="F1032" s="23">
        <v>205284</v>
      </c>
      <c r="G1032" s="15">
        <v>2006</v>
      </c>
      <c r="H1032" s="15">
        <f>Table_7[[#This Row],[Listing Price (USD)]]/10000</f>
        <v>20.528400000000001</v>
      </c>
      <c r="I1032" s="28">
        <f>Table_7[[#This Row],[Length 
(ft)]]</f>
        <v>49</v>
      </c>
      <c r="J1032" s="28">
        <f>2020-Table_7[[#This Row],[Year]]</f>
        <v>14</v>
      </c>
      <c r="K1032">
        <v>1896755301518.1399</v>
      </c>
      <c r="L1032">
        <v>31911.0357890017</v>
      </c>
      <c r="M1032">
        <v>-0.13770757391656999</v>
      </c>
      <c r="N1032">
        <v>-9.0399534112288507</v>
      </c>
      <c r="O1032">
        <v>43.63</v>
      </c>
      <c r="P1032">
        <v>1183.002</v>
      </c>
      <c r="Q1032">
        <v>62</v>
      </c>
      <c r="R1032">
        <v>14.76</v>
      </c>
    </row>
    <row r="1033" spans="1:18" x14ac:dyDescent="0.25">
      <c r="A1033" s="1" t="s">
        <v>45</v>
      </c>
      <c r="B1033" s="2" t="s">
        <v>78</v>
      </c>
      <c r="C1033" s="19">
        <v>49</v>
      </c>
      <c r="D1033" s="3" t="s">
        <v>496</v>
      </c>
      <c r="E1033" s="3" t="s">
        <v>3</v>
      </c>
      <c r="F1033" s="23">
        <v>205292</v>
      </c>
      <c r="G1033" s="15">
        <v>2011</v>
      </c>
      <c r="H1033" s="15">
        <f>Table_7[[#This Row],[Listing Price (USD)]]/10000</f>
        <v>20.529199999999999</v>
      </c>
      <c r="I1033" s="28">
        <f>Table_7[[#This Row],[Length 
(ft)]]</f>
        <v>49</v>
      </c>
      <c r="J1033" s="28">
        <f>2020-Table_7[[#This Row],[Year]]</f>
        <v>9</v>
      </c>
      <c r="K1033">
        <v>2639008701648.2598</v>
      </c>
      <c r="L1033">
        <v>39055.282928075401</v>
      </c>
      <c r="M1033">
        <v>0.47649885272508302</v>
      </c>
      <c r="N1033">
        <v>-7.7845864916787102</v>
      </c>
      <c r="O1033">
        <v>43.63</v>
      </c>
      <c r="P1033">
        <v>1183.002</v>
      </c>
      <c r="Q1033">
        <v>62</v>
      </c>
      <c r="R1033">
        <v>14.76</v>
      </c>
    </row>
    <row r="1034" spans="1:18" x14ac:dyDescent="0.25">
      <c r="A1034" s="1" t="s">
        <v>45</v>
      </c>
      <c r="B1034" s="2" t="s">
        <v>78</v>
      </c>
      <c r="C1034" s="19">
        <v>49</v>
      </c>
      <c r="D1034" s="3" t="s">
        <v>496</v>
      </c>
      <c r="E1034" s="3" t="s">
        <v>24</v>
      </c>
      <c r="F1034" s="23">
        <v>206498</v>
      </c>
      <c r="G1034" s="15">
        <v>2012</v>
      </c>
      <c r="H1034" s="15">
        <f>Table_7[[#This Row],[Listing Price (USD)]]/10000</f>
        <v>20.649799999999999</v>
      </c>
      <c r="I1034" s="28">
        <f>Table_7[[#This Row],[Length 
(ft)]]</f>
        <v>49</v>
      </c>
      <c r="J1034" s="28">
        <f>2020-Table_7[[#This Row],[Year]]</f>
        <v>8</v>
      </c>
      <c r="K1034">
        <v>1896755301518.1399</v>
      </c>
      <c r="L1034">
        <v>31911.0357890017</v>
      </c>
      <c r="M1034">
        <v>-0.13770757391656999</v>
      </c>
      <c r="N1034">
        <v>-9.0399534112288507</v>
      </c>
      <c r="O1034">
        <v>43.63</v>
      </c>
      <c r="P1034">
        <v>1183.002</v>
      </c>
      <c r="Q1034">
        <v>62</v>
      </c>
      <c r="R1034">
        <v>14.76</v>
      </c>
    </row>
    <row r="1035" spans="1:18" x14ac:dyDescent="0.25">
      <c r="A1035" s="1" t="s">
        <v>45</v>
      </c>
      <c r="B1035" s="2" t="s">
        <v>576</v>
      </c>
      <c r="C1035" s="19">
        <v>49</v>
      </c>
      <c r="D1035" s="3" t="s">
        <v>496</v>
      </c>
      <c r="E1035" s="3" t="s">
        <v>56</v>
      </c>
      <c r="F1035" s="23">
        <v>206498</v>
      </c>
      <c r="G1035" s="15">
        <v>2006</v>
      </c>
      <c r="H1035" s="15">
        <f>Table_7[[#This Row],[Listing Price (USD)]]/10000</f>
        <v>20.649799999999999</v>
      </c>
      <c r="I1035" s="28">
        <f>Table_7[[#This Row],[Length 
(ft)]]</f>
        <v>49</v>
      </c>
      <c r="J1035" s="28">
        <f>2020-Table_7[[#This Row],[Year]]</f>
        <v>14</v>
      </c>
      <c r="K1035">
        <v>14933066818.9606</v>
      </c>
      <c r="L1035">
        <v>28977.565567363599</v>
      </c>
      <c r="M1035">
        <v>0.63854495677665302</v>
      </c>
      <c r="N1035">
        <v>-8.3242832319722009</v>
      </c>
      <c r="O1035">
        <v>43.63</v>
      </c>
      <c r="P1035">
        <v>1183.002</v>
      </c>
      <c r="Q1035">
        <v>62</v>
      </c>
      <c r="R1035">
        <v>14.76</v>
      </c>
    </row>
    <row r="1036" spans="1:18" x14ac:dyDescent="0.25">
      <c r="A1036" s="1" t="s">
        <v>45</v>
      </c>
      <c r="B1036" s="2" t="s">
        <v>78</v>
      </c>
      <c r="C1036" s="19">
        <v>49</v>
      </c>
      <c r="D1036" s="3" t="s">
        <v>496</v>
      </c>
      <c r="E1036" s="3" t="s">
        <v>24</v>
      </c>
      <c r="F1036" s="23">
        <v>206507</v>
      </c>
      <c r="G1036" s="15">
        <v>2012</v>
      </c>
      <c r="H1036" s="15">
        <f>Table_7[[#This Row],[Listing Price (USD)]]/10000</f>
        <v>20.650700000000001</v>
      </c>
      <c r="I1036" s="28">
        <f>Table_7[[#This Row],[Length 
(ft)]]</f>
        <v>49</v>
      </c>
      <c r="J1036" s="28">
        <f>2020-Table_7[[#This Row],[Year]]</f>
        <v>8</v>
      </c>
      <c r="K1036">
        <v>1896755301518.1399</v>
      </c>
      <c r="L1036">
        <v>31911.0357890017</v>
      </c>
      <c r="M1036">
        <v>-0.13770757391656999</v>
      </c>
      <c r="N1036">
        <v>-9.0399534112288507</v>
      </c>
      <c r="O1036">
        <v>43.63</v>
      </c>
      <c r="P1036">
        <v>1183.002</v>
      </c>
      <c r="Q1036">
        <v>62</v>
      </c>
      <c r="R1036">
        <v>14.76</v>
      </c>
    </row>
    <row r="1037" spans="1:18" x14ac:dyDescent="0.25">
      <c r="A1037" s="1" t="s">
        <v>378</v>
      </c>
      <c r="B1037" s="3" t="s">
        <v>78</v>
      </c>
      <c r="C1037" s="19">
        <v>49</v>
      </c>
      <c r="D1037" s="3" t="s">
        <v>497</v>
      </c>
      <c r="E1037" s="3" t="s">
        <v>483</v>
      </c>
      <c r="F1037" s="23">
        <v>206574</v>
      </c>
      <c r="G1037" s="15">
        <v>2007</v>
      </c>
      <c r="H1037" s="15">
        <f>Table_7[[#This Row],[Listing Price (USD)]]/10000</f>
        <v>20.657399999999999</v>
      </c>
      <c r="I1037" s="28">
        <f>Table_7[[#This Row],[Length 
(ft)]]</f>
        <v>49</v>
      </c>
      <c r="J1037" s="28">
        <f>2020-Table_7[[#This Row],[Year]]</f>
        <v>13</v>
      </c>
      <c r="K1037">
        <v>4200000000</v>
      </c>
      <c r="L1037">
        <v>39553.199999999997</v>
      </c>
      <c r="M1037">
        <v>2.5</v>
      </c>
      <c r="N1037">
        <v>-2.1</v>
      </c>
      <c r="O1037">
        <v>43.63</v>
      </c>
      <c r="P1037">
        <v>1183.002</v>
      </c>
      <c r="Q1037">
        <v>62</v>
      </c>
      <c r="R1037">
        <v>14.76</v>
      </c>
    </row>
    <row r="1038" spans="1:18" x14ac:dyDescent="0.25">
      <c r="A1038" s="1" t="s">
        <v>45</v>
      </c>
      <c r="B1038" s="2" t="s">
        <v>78</v>
      </c>
      <c r="C1038" s="19">
        <v>49</v>
      </c>
      <c r="D1038" s="3" t="s">
        <v>496</v>
      </c>
      <c r="E1038" s="3" t="s">
        <v>9</v>
      </c>
      <c r="F1038" s="23">
        <v>218038</v>
      </c>
      <c r="G1038" s="15">
        <v>2010</v>
      </c>
      <c r="H1038" s="15">
        <f>Table_7[[#This Row],[Listing Price (USD)]]/10000</f>
        <v>21.803799999999999</v>
      </c>
      <c r="I1038" s="28">
        <f>Table_7[[#This Row],[Length 
(ft)]]</f>
        <v>49</v>
      </c>
      <c r="J1038" s="28">
        <f>2020-Table_7[[#This Row],[Year]]</f>
        <v>10</v>
      </c>
      <c r="K1038">
        <v>1276962685648.25</v>
      </c>
      <c r="L1038">
        <v>26959.675436732599</v>
      </c>
      <c r="M1038">
        <v>-0.32275301729970501</v>
      </c>
      <c r="N1038">
        <v>-11.3254383222864</v>
      </c>
      <c r="O1038">
        <v>43.63</v>
      </c>
      <c r="P1038">
        <v>1183.002</v>
      </c>
      <c r="Q1038">
        <v>62</v>
      </c>
      <c r="R1038">
        <v>14.76</v>
      </c>
    </row>
    <row r="1039" spans="1:18" x14ac:dyDescent="0.25">
      <c r="A1039" s="1" t="s">
        <v>45</v>
      </c>
      <c r="B1039" s="2" t="s">
        <v>78</v>
      </c>
      <c r="C1039" s="19">
        <v>49</v>
      </c>
      <c r="D1039" s="3" t="s">
        <v>496</v>
      </c>
      <c r="E1039" s="3" t="s">
        <v>9</v>
      </c>
      <c r="F1039" s="23">
        <v>218047</v>
      </c>
      <c r="G1039" s="15">
        <v>2010</v>
      </c>
      <c r="H1039" s="15">
        <f>Table_7[[#This Row],[Listing Price (USD)]]/10000</f>
        <v>21.8047</v>
      </c>
      <c r="I1039" s="28">
        <f>Table_7[[#This Row],[Length 
(ft)]]</f>
        <v>49</v>
      </c>
      <c r="J1039" s="28">
        <f>2020-Table_7[[#This Row],[Year]]</f>
        <v>10</v>
      </c>
      <c r="K1039">
        <v>1276962685648.25</v>
      </c>
      <c r="L1039">
        <v>26959.675436732599</v>
      </c>
      <c r="M1039">
        <v>-0.32275301729970501</v>
      </c>
      <c r="N1039">
        <v>-11.3254383222864</v>
      </c>
      <c r="O1039">
        <v>43.63</v>
      </c>
      <c r="P1039">
        <v>1183.002</v>
      </c>
      <c r="Q1039">
        <v>62</v>
      </c>
      <c r="R1039">
        <v>14.76</v>
      </c>
    </row>
    <row r="1040" spans="1:18" x14ac:dyDescent="0.25">
      <c r="A1040" s="1" t="s">
        <v>45</v>
      </c>
      <c r="B1040" s="2" t="s">
        <v>78</v>
      </c>
      <c r="C1040" s="19">
        <v>49</v>
      </c>
      <c r="D1040" s="3" t="s">
        <v>496</v>
      </c>
      <c r="E1040" s="3" t="s">
        <v>237</v>
      </c>
      <c r="F1040" s="23">
        <v>224719</v>
      </c>
      <c r="G1040" s="15">
        <v>2006</v>
      </c>
      <c r="H1040" s="15">
        <f>Table_7[[#This Row],[Listing Price (USD)]]/10000</f>
        <v>22.471900000000002</v>
      </c>
      <c r="I1040" s="28">
        <f>Table_7[[#This Row],[Length 
(ft)]]</f>
        <v>49</v>
      </c>
      <c r="J1040" s="28">
        <f>2020-Table_7[[#This Row],[Year]]</f>
        <v>14</v>
      </c>
      <c r="K1040">
        <v>229031860520.77701</v>
      </c>
      <c r="L1040">
        <v>22242.406417972001</v>
      </c>
      <c r="M1040">
        <v>-1.2438329957616699E-2</v>
      </c>
      <c r="N1040">
        <v>-8.3005160422115107</v>
      </c>
      <c r="O1040">
        <v>43.63</v>
      </c>
      <c r="P1040">
        <v>1183.002</v>
      </c>
      <c r="Q1040">
        <v>62</v>
      </c>
      <c r="R1040">
        <v>14.76</v>
      </c>
    </row>
    <row r="1041" spans="1:18" x14ac:dyDescent="0.25">
      <c r="A1041" s="1" t="s">
        <v>45</v>
      </c>
      <c r="B1041" s="2" t="s">
        <v>78</v>
      </c>
      <c r="C1041" s="19">
        <v>49</v>
      </c>
      <c r="D1041" s="3" t="s">
        <v>496</v>
      </c>
      <c r="E1041" s="3" t="s">
        <v>63</v>
      </c>
      <c r="F1041" s="23">
        <v>224719</v>
      </c>
      <c r="G1041" s="15">
        <v>2008</v>
      </c>
      <c r="H1041" s="15">
        <f>Table_7[[#This Row],[Listing Price (USD)]]/10000</f>
        <v>22.471900000000002</v>
      </c>
      <c r="I1041" s="28">
        <f>Table_7[[#This Row],[Length 
(ft)]]</f>
        <v>49</v>
      </c>
      <c r="J1041" s="28">
        <f>2020-Table_7[[#This Row],[Year]]</f>
        <v>12</v>
      </c>
      <c r="K1041">
        <v>720290000013</v>
      </c>
      <c r="L1041">
        <v>13341.6</v>
      </c>
      <c r="M1041">
        <v>13</v>
      </c>
      <c r="N1041">
        <v>-3</v>
      </c>
      <c r="O1041">
        <v>43.63</v>
      </c>
      <c r="P1041">
        <v>1183.002</v>
      </c>
      <c r="Q1041">
        <v>62</v>
      </c>
      <c r="R1041">
        <v>14.76</v>
      </c>
    </row>
    <row r="1042" spans="1:18" x14ac:dyDescent="0.25">
      <c r="A1042" s="1" t="s">
        <v>45</v>
      </c>
      <c r="B1042" s="2" t="s">
        <v>78</v>
      </c>
      <c r="C1042" s="19">
        <v>49</v>
      </c>
      <c r="D1042" s="3" t="s">
        <v>496</v>
      </c>
      <c r="E1042" s="3" t="s">
        <v>63</v>
      </c>
      <c r="F1042" s="23">
        <v>224728</v>
      </c>
      <c r="G1042" s="15">
        <v>2011</v>
      </c>
      <c r="H1042" s="15">
        <f>Table_7[[#This Row],[Listing Price (USD)]]/10000</f>
        <v>22.472799999999999</v>
      </c>
      <c r="I1042" s="28">
        <f>Table_7[[#This Row],[Length 
(ft)]]</f>
        <v>49</v>
      </c>
      <c r="J1042" s="28">
        <f>2020-Table_7[[#This Row],[Year]]</f>
        <v>9</v>
      </c>
      <c r="K1042">
        <v>720290000000</v>
      </c>
      <c r="L1042">
        <v>13341.6</v>
      </c>
      <c r="M1042">
        <v>13</v>
      </c>
      <c r="N1042">
        <v>-3</v>
      </c>
      <c r="O1042">
        <v>43.63</v>
      </c>
      <c r="P1042">
        <v>1183.002</v>
      </c>
      <c r="Q1042">
        <v>62</v>
      </c>
      <c r="R1042">
        <v>14.76</v>
      </c>
    </row>
    <row r="1043" spans="1:18" x14ac:dyDescent="0.25">
      <c r="A1043" s="1" t="s">
        <v>378</v>
      </c>
      <c r="B1043" s="3" t="s">
        <v>78</v>
      </c>
      <c r="C1043" s="19">
        <v>49</v>
      </c>
      <c r="D1043" s="3" t="s">
        <v>497</v>
      </c>
      <c r="E1043" s="3" t="s">
        <v>392</v>
      </c>
      <c r="F1043" s="23">
        <v>230000</v>
      </c>
      <c r="G1043" s="15">
        <v>2014</v>
      </c>
      <c r="H1043" s="15">
        <f>Table_7[[#This Row],[Listing Price (USD)]]/10000</f>
        <v>23</v>
      </c>
      <c r="I1043" s="28">
        <f>Table_7[[#This Row],[Length 
(ft)]]</f>
        <v>49</v>
      </c>
      <c r="J1043" s="28">
        <f>2020-Table_7[[#This Row],[Year]]</f>
        <v>6</v>
      </c>
      <c r="K1043">
        <v>1043414814.81481</v>
      </c>
      <c r="L1043">
        <v>8437.5667322870595</v>
      </c>
      <c r="M1043">
        <v>-0.74073259704550098</v>
      </c>
      <c r="N1043">
        <v>-13.7559294530644</v>
      </c>
      <c r="O1043">
        <v>43.63</v>
      </c>
      <c r="P1043">
        <v>1183.002</v>
      </c>
      <c r="Q1043">
        <v>62</v>
      </c>
      <c r="R1043">
        <v>14.76</v>
      </c>
    </row>
    <row r="1044" spans="1:18" x14ac:dyDescent="0.25">
      <c r="A1044" s="1" t="s">
        <v>45</v>
      </c>
      <c r="B1044" s="2" t="s">
        <v>78</v>
      </c>
      <c r="C1044" s="19">
        <v>49</v>
      </c>
      <c r="D1044" s="3" t="s">
        <v>496</v>
      </c>
      <c r="E1044" s="3" t="s">
        <v>24</v>
      </c>
      <c r="F1044" s="23">
        <v>230802</v>
      </c>
      <c r="G1044" s="15">
        <v>2010</v>
      </c>
      <c r="H1044" s="15">
        <f>Table_7[[#This Row],[Listing Price (USD)]]/10000</f>
        <v>23.080200000000001</v>
      </c>
      <c r="I1044" s="28">
        <f>Table_7[[#This Row],[Length 
(ft)]]</f>
        <v>49</v>
      </c>
      <c r="J1044" s="28">
        <f>2020-Table_7[[#This Row],[Year]]</f>
        <v>10</v>
      </c>
      <c r="K1044">
        <v>1896755301518.1399</v>
      </c>
      <c r="L1044">
        <v>31911.0357890017</v>
      </c>
      <c r="M1044">
        <v>-0.13770757391656999</v>
      </c>
      <c r="N1044">
        <v>-9.0399534112288507</v>
      </c>
      <c r="O1044">
        <v>43.63</v>
      </c>
      <c r="P1044">
        <v>1183.002</v>
      </c>
      <c r="Q1044">
        <v>62</v>
      </c>
      <c r="R1044">
        <v>14.76</v>
      </c>
    </row>
    <row r="1045" spans="1:18" x14ac:dyDescent="0.25">
      <c r="A1045" s="1" t="s">
        <v>45</v>
      </c>
      <c r="B1045" s="3" t="s">
        <v>78</v>
      </c>
      <c r="C1045" s="19">
        <v>49</v>
      </c>
      <c r="D1045" s="3" t="s">
        <v>495</v>
      </c>
      <c r="E1045" s="3" t="s">
        <v>500</v>
      </c>
      <c r="F1045" s="23">
        <v>250000</v>
      </c>
      <c r="G1045" s="15">
        <v>2010</v>
      </c>
      <c r="H1045" s="15">
        <f>Table_7[[#This Row],[Listing Price (USD)]]/10000</f>
        <v>25</v>
      </c>
      <c r="I1045" s="28">
        <f>Table_7[[#This Row],[Length 
(ft)]]</f>
        <v>49</v>
      </c>
      <c r="J1045" s="28">
        <f>2020-Table_7[[#This Row],[Year]]</f>
        <v>10</v>
      </c>
      <c r="K1045">
        <v>3007188000000</v>
      </c>
      <c r="L1045">
        <v>76131.839999999997</v>
      </c>
      <c r="M1045">
        <v>1.23</v>
      </c>
      <c r="N1045">
        <v>2.7</v>
      </c>
      <c r="O1045">
        <v>43.63</v>
      </c>
      <c r="P1045">
        <v>1183.002</v>
      </c>
      <c r="Q1045">
        <v>62</v>
      </c>
      <c r="R1045">
        <v>14.76</v>
      </c>
    </row>
    <row r="1046" spans="1:18" x14ac:dyDescent="0.25">
      <c r="A1046" s="1" t="s">
        <v>378</v>
      </c>
      <c r="B1046" s="3" t="s">
        <v>78</v>
      </c>
      <c r="C1046" s="19">
        <v>49</v>
      </c>
      <c r="D1046" s="3" t="s">
        <v>497</v>
      </c>
      <c r="E1046" s="3" t="s">
        <v>369</v>
      </c>
      <c r="F1046" s="23">
        <v>265000</v>
      </c>
      <c r="G1046" s="15">
        <v>2007</v>
      </c>
      <c r="H1046" s="15">
        <f>Table_7[[#This Row],[Listing Price (USD)]]/10000</f>
        <v>26.5</v>
      </c>
      <c r="I1046" s="28">
        <f>Table_7[[#This Row],[Length 
(ft)]]</f>
        <v>49</v>
      </c>
      <c r="J1046" s="28">
        <f>2020-Table_7[[#This Row],[Year]]</f>
        <v>13</v>
      </c>
      <c r="K1046">
        <v>31370395572.7658</v>
      </c>
      <c r="L1046">
        <v>23595.243683644101</v>
      </c>
      <c r="M1046">
        <v>-0.44453109767985899</v>
      </c>
      <c r="N1046">
        <v>-0.55100125774716002</v>
      </c>
      <c r="O1046">
        <v>43.63</v>
      </c>
      <c r="P1046">
        <v>1183.002</v>
      </c>
      <c r="Q1046">
        <v>62</v>
      </c>
      <c r="R1046">
        <v>14.76</v>
      </c>
    </row>
    <row r="1047" spans="1:18" x14ac:dyDescent="0.25">
      <c r="A1047" s="1" t="s">
        <v>45</v>
      </c>
      <c r="B1047" s="3" t="s">
        <v>78</v>
      </c>
      <c r="C1047" s="19">
        <v>49</v>
      </c>
      <c r="D1047" s="3" t="s">
        <v>495</v>
      </c>
      <c r="E1047" s="3" t="s">
        <v>538</v>
      </c>
      <c r="F1047" s="23">
        <v>275000</v>
      </c>
      <c r="G1047" s="15">
        <v>2011</v>
      </c>
      <c r="H1047" s="15">
        <f>Table_7[[#This Row],[Listing Price (USD)]]/10000</f>
        <v>27.5</v>
      </c>
      <c r="I1047" s="28">
        <f>Table_7[[#This Row],[Length 
(ft)]]</f>
        <v>49</v>
      </c>
      <c r="J1047" s="28">
        <f>2020-Table_7[[#This Row],[Year]]</f>
        <v>9</v>
      </c>
      <c r="K1047">
        <v>82885000000</v>
      </c>
      <c r="L1047">
        <v>57086.559999999998</v>
      </c>
      <c r="M1047">
        <v>1.23</v>
      </c>
      <c r="N1047">
        <v>1.2</v>
      </c>
      <c r="O1047">
        <v>43.63</v>
      </c>
      <c r="P1047">
        <v>1183.002</v>
      </c>
      <c r="Q1047">
        <v>62</v>
      </c>
      <c r="R1047">
        <v>14.76</v>
      </c>
    </row>
    <row r="1048" spans="1:18" x14ac:dyDescent="0.25">
      <c r="A1048" s="1" t="s">
        <v>45</v>
      </c>
      <c r="B1048" s="2" t="s">
        <v>78</v>
      </c>
      <c r="C1048" s="19">
        <v>49</v>
      </c>
      <c r="D1048" s="3" t="s">
        <v>496</v>
      </c>
      <c r="E1048" s="3" t="s">
        <v>124</v>
      </c>
      <c r="F1048" s="23">
        <v>309582</v>
      </c>
      <c r="G1048" s="15">
        <v>2011</v>
      </c>
      <c r="H1048" s="15">
        <f>Table_7[[#This Row],[Listing Price (USD)]]/10000</f>
        <v>30.958200000000001</v>
      </c>
      <c r="I1048" s="28">
        <f>Table_7[[#This Row],[Length 
(ft)]]</f>
        <v>49</v>
      </c>
      <c r="J1048" s="28">
        <f>2020-Table_7[[#This Row],[Year]]</f>
        <v>9</v>
      </c>
      <c r="K1048">
        <v>547054174235.87598</v>
      </c>
      <c r="L1048">
        <v>52837.903977814902</v>
      </c>
      <c r="M1048">
        <v>0.497367318853562</v>
      </c>
      <c r="N1048">
        <v>-2.1702131788587198</v>
      </c>
      <c r="O1048">
        <v>43.63</v>
      </c>
      <c r="P1048">
        <v>1183.002</v>
      </c>
      <c r="Q1048">
        <v>62</v>
      </c>
      <c r="R1048">
        <v>14.76</v>
      </c>
    </row>
    <row r="1049" spans="1:18" x14ac:dyDescent="0.25">
      <c r="A1049" s="1" t="s">
        <v>45</v>
      </c>
      <c r="B1049" s="3" t="s">
        <v>374</v>
      </c>
      <c r="C1049" s="19">
        <v>49</v>
      </c>
      <c r="D1049" s="3" t="s">
        <v>497</v>
      </c>
      <c r="E1049" s="3" t="s">
        <v>370</v>
      </c>
      <c r="F1049" s="23">
        <v>179000</v>
      </c>
      <c r="G1049" s="15">
        <v>2011</v>
      </c>
      <c r="H1049" s="15">
        <f>Table_7[[#This Row],[Listing Price (USD)]]/10000</f>
        <v>17.899999999999999</v>
      </c>
      <c r="I1049" s="28">
        <f>Table_7[[#This Row],[Length 
(ft)]]</f>
        <v>49</v>
      </c>
      <c r="J1049" s="28">
        <f>2020-Table_7[[#This Row],[Year]]</f>
        <v>9</v>
      </c>
      <c r="K1049">
        <v>500000000</v>
      </c>
      <c r="L1049">
        <v>34200</v>
      </c>
      <c r="M1049">
        <v>1.1000000000000001</v>
      </c>
      <c r="N1049">
        <v>2</v>
      </c>
      <c r="O1049">
        <v>43.63</v>
      </c>
      <c r="P1049">
        <v>1183.002</v>
      </c>
      <c r="Q1049">
        <v>62</v>
      </c>
      <c r="R1049">
        <v>14.76</v>
      </c>
    </row>
    <row r="1050" spans="1:18" x14ac:dyDescent="0.25">
      <c r="A1050" s="1" t="s">
        <v>45</v>
      </c>
      <c r="B1050" s="2" t="s">
        <v>80</v>
      </c>
      <c r="C1050" s="19">
        <v>49</v>
      </c>
      <c r="D1050" s="3" t="s">
        <v>496</v>
      </c>
      <c r="E1050" s="3" t="s">
        <v>31</v>
      </c>
      <c r="F1050" s="23">
        <v>167635</v>
      </c>
      <c r="G1050" s="15">
        <v>2012</v>
      </c>
      <c r="H1050" s="15">
        <f>Table_7[[#This Row],[Listing Price (USD)]]/10000</f>
        <v>16.763500000000001</v>
      </c>
      <c r="I1050" s="28">
        <f>Table_7[[#This Row],[Length 
(ft)]]</f>
        <v>49</v>
      </c>
      <c r="J1050" s="28">
        <f>2020-Table_7[[#This Row],[Year]]</f>
        <v>8</v>
      </c>
      <c r="K1050">
        <v>57472012426.685303</v>
      </c>
      <c r="L1050">
        <v>14198.753959474399</v>
      </c>
      <c r="M1050">
        <v>0.15481137456202801</v>
      </c>
      <c r="N1050">
        <v>-8.5803430210621805</v>
      </c>
      <c r="O1050">
        <v>43.63</v>
      </c>
      <c r="P1050">
        <v>1183.002</v>
      </c>
      <c r="Q1050">
        <v>62</v>
      </c>
      <c r="R1050">
        <v>14.76</v>
      </c>
    </row>
    <row r="1051" spans="1:18" x14ac:dyDescent="0.25">
      <c r="A1051" s="1" t="s">
        <v>45</v>
      </c>
      <c r="B1051" s="2" t="s">
        <v>80</v>
      </c>
      <c r="C1051" s="19">
        <v>49</v>
      </c>
      <c r="D1051" s="3" t="s">
        <v>496</v>
      </c>
      <c r="E1051" s="3" t="s">
        <v>18</v>
      </c>
      <c r="F1051" s="23">
        <v>170000</v>
      </c>
      <c r="G1051" s="15">
        <v>2011</v>
      </c>
      <c r="H1051" s="15">
        <f>Table_7[[#This Row],[Listing Price (USD)]]/10000</f>
        <v>17</v>
      </c>
      <c r="I1051" s="28">
        <f>Table_7[[#This Row],[Length 
(ft)]]</f>
        <v>49</v>
      </c>
      <c r="J1051" s="28">
        <f>2020-Table_7[[#This Row],[Year]]</f>
        <v>9</v>
      </c>
      <c r="K1051">
        <v>188925995936.80701</v>
      </c>
      <c r="L1051">
        <v>17658.947301119199</v>
      </c>
      <c r="M1051">
        <v>-1.2479835558140799</v>
      </c>
      <c r="N1051">
        <v>-9.0040436420214593</v>
      </c>
      <c r="O1051">
        <v>43.63</v>
      </c>
      <c r="P1051">
        <v>1183.002</v>
      </c>
      <c r="Q1051">
        <v>62</v>
      </c>
      <c r="R1051">
        <v>14.76</v>
      </c>
    </row>
    <row r="1052" spans="1:18" x14ac:dyDescent="0.25">
      <c r="A1052" s="1" t="s">
        <v>45</v>
      </c>
      <c r="B1052" s="2" t="s">
        <v>80</v>
      </c>
      <c r="C1052" s="19">
        <v>49</v>
      </c>
      <c r="D1052" s="3" t="s">
        <v>496</v>
      </c>
      <c r="E1052" s="3" t="s">
        <v>18</v>
      </c>
      <c r="F1052" s="23">
        <v>217431</v>
      </c>
      <c r="G1052" s="15">
        <v>2011</v>
      </c>
      <c r="H1052" s="15">
        <f>Table_7[[#This Row],[Listing Price (USD)]]/10000</f>
        <v>21.743099999999998</v>
      </c>
      <c r="I1052" s="28">
        <f>Table_7[[#This Row],[Length 
(ft)]]</f>
        <v>49</v>
      </c>
      <c r="J1052" s="28">
        <f>2020-Table_7[[#This Row],[Year]]</f>
        <v>9</v>
      </c>
      <c r="K1052">
        <v>188925995936.80701</v>
      </c>
      <c r="L1052">
        <v>17658.947301119199</v>
      </c>
      <c r="M1052">
        <v>-1.2479835558140799</v>
      </c>
      <c r="N1052">
        <v>-9.0040436420214593</v>
      </c>
      <c r="O1052">
        <v>43.63</v>
      </c>
      <c r="P1052">
        <v>1183.002</v>
      </c>
      <c r="Q1052">
        <v>62</v>
      </c>
      <c r="R1052">
        <v>14.76</v>
      </c>
    </row>
    <row r="1053" spans="1:18" x14ac:dyDescent="0.25">
      <c r="A1053" s="1" t="s">
        <v>45</v>
      </c>
      <c r="B1053" s="2" t="s">
        <v>80</v>
      </c>
      <c r="C1053" s="19">
        <v>49</v>
      </c>
      <c r="D1053" s="3" t="s">
        <v>496</v>
      </c>
      <c r="E1053" s="3" t="s">
        <v>63</v>
      </c>
      <c r="F1053" s="23">
        <v>224719</v>
      </c>
      <c r="G1053" s="15">
        <v>2013</v>
      </c>
      <c r="H1053" s="15">
        <f>Table_7[[#This Row],[Listing Price (USD)]]/10000</f>
        <v>22.471900000000002</v>
      </c>
      <c r="I1053" s="28">
        <f>Table_7[[#This Row],[Length 
(ft)]]</f>
        <v>49</v>
      </c>
      <c r="J1053" s="28">
        <f>2020-Table_7[[#This Row],[Year]]</f>
        <v>7</v>
      </c>
      <c r="K1053">
        <v>720290000000</v>
      </c>
      <c r="L1053">
        <v>13341.6</v>
      </c>
      <c r="M1053">
        <v>13</v>
      </c>
      <c r="N1053">
        <v>-3</v>
      </c>
      <c r="O1053">
        <v>43.63</v>
      </c>
      <c r="P1053">
        <v>1183.002</v>
      </c>
      <c r="Q1053">
        <v>62</v>
      </c>
      <c r="R1053">
        <v>14.76</v>
      </c>
    </row>
    <row r="1054" spans="1:18" x14ac:dyDescent="0.25">
      <c r="A1054" s="1" t="s">
        <v>164</v>
      </c>
      <c r="B1054" s="2">
        <v>43</v>
      </c>
      <c r="C1054" s="19">
        <v>43</v>
      </c>
      <c r="D1054" s="3" t="s">
        <v>496</v>
      </c>
      <c r="E1054" s="3" t="s">
        <v>19</v>
      </c>
      <c r="F1054" s="23">
        <v>126570</v>
      </c>
      <c r="G1054" s="15">
        <v>2008</v>
      </c>
      <c r="H1054" s="15">
        <f>Table_7[[#This Row],[Listing Price (USD)]]/10000</f>
        <v>12.657</v>
      </c>
      <c r="I1054" s="28">
        <f>Table_7[[#This Row],[Length 
(ft)]]</f>
        <v>43</v>
      </c>
      <c r="J1054" s="28">
        <f>2020-Table_7[[#This Row],[Year]]</f>
        <v>12</v>
      </c>
      <c r="K1054">
        <v>4200000000</v>
      </c>
      <c r="L1054">
        <v>39553.199999999997</v>
      </c>
      <c r="M1054">
        <v>4.0999999999999996</v>
      </c>
      <c r="N1054">
        <v>-2.1</v>
      </c>
      <c r="O1054">
        <v>37.4</v>
      </c>
      <c r="P1054">
        <v>1125</v>
      </c>
      <c r="Q1054">
        <v>61</v>
      </c>
      <c r="R1054">
        <v>12.96</v>
      </c>
    </row>
    <row r="1055" spans="1:18" x14ac:dyDescent="0.25">
      <c r="A1055" s="1" t="s">
        <v>45</v>
      </c>
      <c r="B1055" s="3">
        <v>43</v>
      </c>
      <c r="C1055" s="19">
        <v>43</v>
      </c>
      <c r="D1055" s="3" t="s">
        <v>495</v>
      </c>
      <c r="E1055" s="3" t="s">
        <v>552</v>
      </c>
      <c r="F1055" s="23">
        <v>130000</v>
      </c>
      <c r="G1055" s="15">
        <v>2011</v>
      </c>
      <c r="H1055" s="15">
        <f>Table_7[[#This Row],[Listing Price (USD)]]/10000</f>
        <v>13</v>
      </c>
      <c r="I1055" s="28">
        <f>Table_7[[#This Row],[Length 
(ft)]]</f>
        <v>43</v>
      </c>
      <c r="J1055" s="28">
        <f>2020-Table_7[[#This Row],[Year]]</f>
        <v>9</v>
      </c>
      <c r="K1055">
        <v>244882000000</v>
      </c>
      <c r="L1055">
        <v>47728.44</v>
      </c>
      <c r="M1055">
        <v>1.23</v>
      </c>
      <c r="N1055">
        <v>2.5</v>
      </c>
      <c r="O1055">
        <v>39.369999999999997</v>
      </c>
      <c r="P1055">
        <v>1022</v>
      </c>
      <c r="Q1055">
        <v>61</v>
      </c>
      <c r="R1055">
        <v>13.71</v>
      </c>
    </row>
    <row r="1056" spans="1:18" x14ac:dyDescent="0.25">
      <c r="A1056" s="1" t="s">
        <v>45</v>
      </c>
      <c r="B1056" s="3">
        <v>43</v>
      </c>
      <c r="C1056" s="19">
        <v>43</v>
      </c>
      <c r="D1056" s="3" t="s">
        <v>495</v>
      </c>
      <c r="E1056" s="3" t="s">
        <v>333</v>
      </c>
      <c r="F1056" s="23">
        <v>154000</v>
      </c>
      <c r="G1056" s="15">
        <v>2008</v>
      </c>
      <c r="H1056" s="15">
        <f>Table_7[[#This Row],[Listing Price (USD)]]/10000</f>
        <v>15.4</v>
      </c>
      <c r="I1056" s="28">
        <f>Table_7[[#This Row],[Length 
(ft)]]</f>
        <v>43</v>
      </c>
      <c r="J1056" s="28">
        <f>2020-Table_7[[#This Row],[Year]]</f>
        <v>12</v>
      </c>
      <c r="K1056">
        <v>1106036000000</v>
      </c>
      <c r="L1056">
        <v>51276.72</v>
      </c>
      <c r="M1056">
        <v>1.23</v>
      </c>
      <c r="N1056">
        <v>2.9</v>
      </c>
      <c r="O1056">
        <v>39.369999999999997</v>
      </c>
      <c r="P1056">
        <v>1022</v>
      </c>
      <c r="Q1056">
        <v>61</v>
      </c>
      <c r="R1056">
        <v>13.71</v>
      </c>
    </row>
    <row r="1057" spans="1:18" x14ac:dyDescent="0.25">
      <c r="A1057" s="1" t="s">
        <v>164</v>
      </c>
      <c r="B1057" s="2">
        <v>43</v>
      </c>
      <c r="C1057" s="19">
        <v>43</v>
      </c>
      <c r="D1057" s="3" t="s">
        <v>496</v>
      </c>
      <c r="E1057" s="3" t="s">
        <v>18</v>
      </c>
      <c r="F1057" s="23">
        <v>157911</v>
      </c>
      <c r="G1057" s="15">
        <v>2006</v>
      </c>
      <c r="H1057" s="15">
        <f>Table_7[[#This Row],[Listing Price (USD)]]/10000</f>
        <v>15.7911</v>
      </c>
      <c r="I1057" s="28">
        <f>Table_7[[#This Row],[Length 
(ft)]]</f>
        <v>43</v>
      </c>
      <c r="J1057" s="28">
        <f>2020-Table_7[[#This Row],[Year]]</f>
        <v>14</v>
      </c>
      <c r="K1057">
        <v>188925995936.80701</v>
      </c>
      <c r="L1057">
        <v>17658.947301119199</v>
      </c>
      <c r="M1057">
        <v>-1.2479835558140799</v>
      </c>
      <c r="N1057">
        <v>-9.0040436420214593</v>
      </c>
      <c r="O1057">
        <v>37.4</v>
      </c>
      <c r="P1057">
        <v>1125</v>
      </c>
      <c r="Q1057">
        <v>61</v>
      </c>
      <c r="R1057">
        <v>12.96</v>
      </c>
    </row>
    <row r="1058" spans="1:18" x14ac:dyDescent="0.25">
      <c r="A1058" s="1" t="s">
        <v>164</v>
      </c>
      <c r="B1058" s="2">
        <v>43</v>
      </c>
      <c r="C1058" s="19">
        <v>43</v>
      </c>
      <c r="D1058" s="3" t="s">
        <v>496</v>
      </c>
      <c r="E1058" s="3" t="s">
        <v>3</v>
      </c>
      <c r="F1058" s="23">
        <v>181597</v>
      </c>
      <c r="G1058" s="15">
        <v>2005</v>
      </c>
      <c r="H1058" s="15">
        <f>Table_7[[#This Row],[Listing Price (USD)]]/10000</f>
        <v>18.159700000000001</v>
      </c>
      <c r="I1058" s="28">
        <f>Table_7[[#This Row],[Length 
(ft)]]</f>
        <v>43</v>
      </c>
      <c r="J1058" s="28">
        <f>2020-Table_7[[#This Row],[Year]]</f>
        <v>15</v>
      </c>
      <c r="K1058">
        <v>2639008701648.2598</v>
      </c>
      <c r="L1058">
        <v>39055.282928075401</v>
      </c>
      <c r="M1058">
        <v>0.47649885272508302</v>
      </c>
      <c r="N1058">
        <v>-7.7845864916787102</v>
      </c>
      <c r="O1058">
        <v>37.4</v>
      </c>
      <c r="P1058">
        <v>1125</v>
      </c>
      <c r="Q1058">
        <v>61</v>
      </c>
      <c r="R1058">
        <v>12.96</v>
      </c>
    </row>
    <row r="1059" spans="1:18" x14ac:dyDescent="0.25">
      <c r="A1059" s="1" t="s">
        <v>164</v>
      </c>
      <c r="B1059" s="2">
        <v>43</v>
      </c>
      <c r="C1059" s="19">
        <v>43</v>
      </c>
      <c r="D1059" s="3" t="s">
        <v>496</v>
      </c>
      <c r="E1059" s="3" t="s">
        <v>3</v>
      </c>
      <c r="F1059" s="23">
        <v>224719</v>
      </c>
      <c r="G1059" s="15">
        <v>2008</v>
      </c>
      <c r="H1059" s="15">
        <f>Table_7[[#This Row],[Listing Price (USD)]]/10000</f>
        <v>22.471900000000002</v>
      </c>
      <c r="I1059" s="28">
        <f>Table_7[[#This Row],[Length 
(ft)]]</f>
        <v>43</v>
      </c>
      <c r="J1059" s="28">
        <f>2020-Table_7[[#This Row],[Year]]</f>
        <v>12</v>
      </c>
      <c r="K1059">
        <v>2639008701648.2598</v>
      </c>
      <c r="L1059">
        <v>39055.282928075401</v>
      </c>
      <c r="M1059">
        <v>0.47649885272508302</v>
      </c>
      <c r="N1059">
        <v>-7.7845864916787102</v>
      </c>
      <c r="O1059">
        <v>37.4</v>
      </c>
      <c r="P1059">
        <v>1125</v>
      </c>
      <c r="Q1059">
        <v>61</v>
      </c>
      <c r="R1059">
        <v>12.96</v>
      </c>
    </row>
    <row r="1060" spans="1:18" x14ac:dyDescent="0.25">
      <c r="A1060" s="1" t="s">
        <v>164</v>
      </c>
      <c r="B1060" s="2">
        <v>43</v>
      </c>
      <c r="C1060" s="19">
        <v>43</v>
      </c>
      <c r="D1060" s="3" t="s">
        <v>496</v>
      </c>
      <c r="E1060" s="3" t="s">
        <v>63</v>
      </c>
      <c r="F1060" s="23">
        <v>224719</v>
      </c>
      <c r="G1060" s="15">
        <v>2007</v>
      </c>
      <c r="H1060" s="15">
        <f>Table_7[[#This Row],[Listing Price (USD)]]/10000</f>
        <v>22.471900000000002</v>
      </c>
      <c r="I1060" s="28">
        <f>Table_7[[#This Row],[Length 
(ft)]]</f>
        <v>43</v>
      </c>
      <c r="J1060" s="28">
        <f>2020-Table_7[[#This Row],[Year]]</f>
        <v>13</v>
      </c>
      <c r="K1060">
        <v>720290000022</v>
      </c>
      <c r="L1060">
        <v>13341.6</v>
      </c>
      <c r="M1060">
        <v>13</v>
      </c>
      <c r="N1060">
        <v>-3</v>
      </c>
      <c r="O1060">
        <v>37.4</v>
      </c>
      <c r="P1060">
        <v>1125</v>
      </c>
      <c r="Q1060">
        <v>61</v>
      </c>
      <c r="R1060">
        <v>12.96</v>
      </c>
    </row>
    <row r="1061" spans="1:18" x14ac:dyDescent="0.25">
      <c r="A1061" s="1" t="s">
        <v>164</v>
      </c>
      <c r="B1061" s="2">
        <v>43</v>
      </c>
      <c r="C1061" s="19">
        <v>43</v>
      </c>
      <c r="D1061" s="3" t="s">
        <v>496</v>
      </c>
      <c r="E1061" s="3" t="s">
        <v>3</v>
      </c>
      <c r="F1061" s="23">
        <v>239295</v>
      </c>
      <c r="G1061" s="15">
        <v>2008</v>
      </c>
      <c r="H1061" s="15">
        <f>Table_7[[#This Row],[Listing Price (USD)]]/10000</f>
        <v>23.929500000000001</v>
      </c>
      <c r="I1061" s="28">
        <f>Table_7[[#This Row],[Length 
(ft)]]</f>
        <v>43</v>
      </c>
      <c r="J1061" s="28">
        <f>2020-Table_7[[#This Row],[Year]]</f>
        <v>12</v>
      </c>
      <c r="K1061">
        <v>2639008701648.2598</v>
      </c>
      <c r="L1061">
        <v>39055.282928075401</v>
      </c>
      <c r="M1061">
        <v>0.47649885272508302</v>
      </c>
      <c r="N1061">
        <v>-7.7845864916787102</v>
      </c>
      <c r="O1061">
        <v>37.4</v>
      </c>
      <c r="P1061">
        <v>1125</v>
      </c>
      <c r="Q1061">
        <v>61</v>
      </c>
      <c r="R1061">
        <v>12.96</v>
      </c>
    </row>
    <row r="1062" spans="1:18" x14ac:dyDescent="0.25">
      <c r="A1062" s="1" t="s">
        <v>164</v>
      </c>
      <c r="B1062" s="2">
        <v>43</v>
      </c>
      <c r="C1062" s="19">
        <v>43</v>
      </c>
      <c r="D1062" s="3" t="s">
        <v>496</v>
      </c>
      <c r="E1062" s="3" t="s">
        <v>22</v>
      </c>
      <c r="F1062" s="23">
        <v>273307</v>
      </c>
      <c r="G1062" s="15">
        <v>2011</v>
      </c>
      <c r="H1062" s="15">
        <f>Table_7[[#This Row],[Listing Price (USD)]]/10000</f>
        <v>27.3307</v>
      </c>
      <c r="I1062" s="28">
        <f>Table_7[[#This Row],[Length 
(ft)]]</f>
        <v>43</v>
      </c>
      <c r="J1062" s="28">
        <f>2020-Table_7[[#This Row],[Year]]</f>
        <v>9</v>
      </c>
      <c r="K1062">
        <v>3889668895299.6201</v>
      </c>
      <c r="L1062">
        <v>46772.825350754501</v>
      </c>
      <c r="M1062">
        <v>0.50668988995327402</v>
      </c>
      <c r="N1062">
        <v>-3.6967887053804298</v>
      </c>
      <c r="O1062">
        <v>37.4</v>
      </c>
      <c r="P1062">
        <v>1125</v>
      </c>
      <c r="Q1062">
        <v>61</v>
      </c>
      <c r="R1062">
        <v>12.96</v>
      </c>
    </row>
    <row r="1063" spans="1:18" x14ac:dyDescent="0.25">
      <c r="A1063" s="1" t="s">
        <v>45</v>
      </c>
      <c r="B1063" s="3">
        <v>423</v>
      </c>
      <c r="C1063" s="19">
        <v>43</v>
      </c>
      <c r="D1063" s="3" t="s">
        <v>497</v>
      </c>
      <c r="E1063" s="3" t="s">
        <v>524</v>
      </c>
      <c r="F1063" s="23">
        <v>85000</v>
      </c>
      <c r="G1063" s="15">
        <v>2006</v>
      </c>
      <c r="H1063" s="15">
        <f>Table_7[[#This Row],[Listing Price (USD)]]/10000</f>
        <v>8.5</v>
      </c>
      <c r="I1063" s="28">
        <f>Table_7[[#This Row],[Length 
(ft)]]</f>
        <v>43</v>
      </c>
      <c r="J1063" s="28">
        <f>2020-Table_7[[#This Row],[Year]]</f>
        <v>14</v>
      </c>
      <c r="K1063">
        <v>21059428851.4883</v>
      </c>
      <c r="L1063">
        <v>13871.7982194664</v>
      </c>
      <c r="M1063">
        <v>0.59898633082474695</v>
      </c>
      <c r="N1063">
        <v>-7.6783311605235101</v>
      </c>
      <c r="O1063">
        <v>39.369999999999997</v>
      </c>
      <c r="P1063">
        <v>1022</v>
      </c>
      <c r="Q1063">
        <v>61</v>
      </c>
      <c r="R1063">
        <v>13.71</v>
      </c>
    </row>
    <row r="1064" spans="1:18" x14ac:dyDescent="0.25">
      <c r="A1064" s="1" t="s">
        <v>45</v>
      </c>
      <c r="B1064" s="3">
        <v>423</v>
      </c>
      <c r="C1064" s="19">
        <v>43</v>
      </c>
      <c r="D1064" s="3" t="s">
        <v>497</v>
      </c>
      <c r="E1064" s="3" t="s">
        <v>392</v>
      </c>
      <c r="F1064" s="23">
        <v>125000</v>
      </c>
      <c r="G1064" s="15">
        <v>2007</v>
      </c>
      <c r="H1064" s="15">
        <f>Table_7[[#This Row],[Listing Price (USD)]]/10000</f>
        <v>12.5</v>
      </c>
      <c r="I1064" s="28">
        <f>Table_7[[#This Row],[Length 
(ft)]]</f>
        <v>43</v>
      </c>
      <c r="J1064" s="28">
        <f>2020-Table_7[[#This Row],[Year]]</f>
        <v>13</v>
      </c>
      <c r="K1064">
        <v>1043414814.81481</v>
      </c>
      <c r="L1064">
        <v>8437.5667322870595</v>
      </c>
      <c r="M1064">
        <v>-0.74073259704550098</v>
      </c>
      <c r="N1064">
        <v>-13.7559294530644</v>
      </c>
      <c r="O1064">
        <v>39.369999999999997</v>
      </c>
      <c r="P1064">
        <v>1022</v>
      </c>
      <c r="Q1064">
        <v>61</v>
      </c>
      <c r="R1064">
        <v>13.71</v>
      </c>
    </row>
    <row r="1065" spans="1:18" x14ac:dyDescent="0.25">
      <c r="A1065" s="1" t="s">
        <v>45</v>
      </c>
      <c r="B1065" s="3">
        <v>423</v>
      </c>
      <c r="C1065" s="19">
        <v>43</v>
      </c>
      <c r="D1065" s="3" t="s">
        <v>497</v>
      </c>
      <c r="E1065" s="3" t="s">
        <v>574</v>
      </c>
      <c r="F1065" s="23">
        <v>125000</v>
      </c>
      <c r="G1065" s="15">
        <v>2007</v>
      </c>
      <c r="H1065" s="15">
        <f>Table_7[[#This Row],[Listing Price (USD)]]/10000</f>
        <v>12.5</v>
      </c>
      <c r="I1065" s="28">
        <f>Table_7[[#This Row],[Length 
(ft)]]</f>
        <v>43</v>
      </c>
      <c r="J1065" s="28">
        <f>2020-Table_7[[#This Row],[Year]]</f>
        <v>13</v>
      </c>
      <c r="K1065">
        <v>4200000000</v>
      </c>
      <c r="L1065">
        <v>39553.199999999997</v>
      </c>
      <c r="M1065">
        <v>4.0999999999999996</v>
      </c>
      <c r="N1065">
        <v>-2.1</v>
      </c>
      <c r="O1065">
        <v>39.369999999999997</v>
      </c>
      <c r="P1065">
        <v>1022</v>
      </c>
      <c r="Q1065">
        <v>61</v>
      </c>
      <c r="R1065">
        <v>13.71</v>
      </c>
    </row>
    <row r="1066" spans="1:18" x14ac:dyDescent="0.25">
      <c r="A1066" s="1" t="s">
        <v>45</v>
      </c>
      <c r="B1066" s="3">
        <v>423</v>
      </c>
      <c r="C1066" s="19">
        <v>43</v>
      </c>
      <c r="D1066" s="3" t="s">
        <v>495</v>
      </c>
      <c r="E1066" s="3" t="s">
        <v>535</v>
      </c>
      <c r="F1066" s="23">
        <v>176000</v>
      </c>
      <c r="G1066" s="15">
        <v>2006</v>
      </c>
      <c r="H1066" s="15">
        <f>Table_7[[#This Row],[Listing Price (USD)]]/10000</f>
        <v>17.600000000000001</v>
      </c>
      <c r="I1066" s="28">
        <f>Table_7[[#This Row],[Length 
(ft)]]</f>
        <v>43</v>
      </c>
      <c r="J1066" s="28">
        <f>2020-Table_7[[#This Row],[Year]]</f>
        <v>14</v>
      </c>
      <c r="K1066">
        <v>231172000000</v>
      </c>
      <c r="L1066">
        <v>45155.3</v>
      </c>
      <c r="M1066">
        <v>1.23</v>
      </c>
      <c r="N1066">
        <v>2.7</v>
      </c>
      <c r="O1066">
        <v>39.369999999999997</v>
      </c>
      <c r="P1066">
        <v>1022</v>
      </c>
      <c r="Q1066">
        <v>61</v>
      </c>
      <c r="R1066">
        <v>13.71</v>
      </c>
    </row>
    <row r="1067" spans="1:18" x14ac:dyDescent="0.25">
      <c r="A1067" s="1" t="s">
        <v>103</v>
      </c>
      <c r="B1067" s="3">
        <v>425</v>
      </c>
      <c r="C1067" s="19">
        <v>43</v>
      </c>
      <c r="D1067" s="3" t="s">
        <v>495</v>
      </c>
      <c r="E1067" s="3" t="s">
        <v>554</v>
      </c>
      <c r="F1067" s="23">
        <v>315000</v>
      </c>
      <c r="G1067" s="15">
        <v>2017</v>
      </c>
      <c r="H1067" s="15">
        <f>Table_7[[#This Row],[Listing Price (USD)]]/10000</f>
        <v>31.5</v>
      </c>
      <c r="I1067" s="28">
        <f>Table_7[[#This Row],[Length 
(ft)]]</f>
        <v>43</v>
      </c>
      <c r="J1067" s="28">
        <f>2020-Table_7[[#This Row],[Year]]</f>
        <v>3</v>
      </c>
      <c r="K1067">
        <v>4200000000</v>
      </c>
      <c r="L1067">
        <v>39553.199999999997</v>
      </c>
      <c r="M1067">
        <v>4.0999999999999996</v>
      </c>
      <c r="N1067">
        <v>-2.1</v>
      </c>
      <c r="O1067">
        <v>39.369999999999997</v>
      </c>
      <c r="P1067">
        <v>1022</v>
      </c>
      <c r="Q1067">
        <v>61</v>
      </c>
      <c r="R1067">
        <v>13.71</v>
      </c>
    </row>
    <row r="1068" spans="1:18" x14ac:dyDescent="0.25">
      <c r="A1068" s="1" t="s">
        <v>177</v>
      </c>
      <c r="B1068" s="2">
        <v>430</v>
      </c>
      <c r="C1068" s="19">
        <v>43</v>
      </c>
      <c r="D1068" s="3" t="s">
        <v>496</v>
      </c>
      <c r="E1068" s="3" t="s">
        <v>9</v>
      </c>
      <c r="F1068" s="23">
        <v>145642</v>
      </c>
      <c r="G1068" s="15">
        <v>2007</v>
      </c>
      <c r="H1068" s="15">
        <f>Table_7[[#This Row],[Listing Price (USD)]]/10000</f>
        <v>14.5642</v>
      </c>
      <c r="I1068" s="28">
        <f>Table_7[[#This Row],[Length 
(ft)]]</f>
        <v>43</v>
      </c>
      <c r="J1068" s="28">
        <f>2020-Table_7[[#This Row],[Year]]</f>
        <v>13</v>
      </c>
      <c r="K1068">
        <v>1276962685648.25</v>
      </c>
      <c r="L1068">
        <v>26959.675436732599</v>
      </c>
      <c r="M1068">
        <v>-0.32275301729970501</v>
      </c>
      <c r="N1068">
        <v>-11.3254383222864</v>
      </c>
      <c r="O1068">
        <v>39.369999999999997</v>
      </c>
      <c r="P1068">
        <v>1022</v>
      </c>
      <c r="Q1068">
        <v>61</v>
      </c>
      <c r="R1068">
        <v>13.71</v>
      </c>
    </row>
    <row r="1069" spans="1:18" x14ac:dyDescent="0.25">
      <c r="A1069" s="1" t="s">
        <v>177</v>
      </c>
      <c r="B1069" s="2">
        <v>430</v>
      </c>
      <c r="C1069" s="19">
        <v>43</v>
      </c>
      <c r="D1069" s="3" t="s">
        <v>496</v>
      </c>
      <c r="E1069" s="3" t="s">
        <v>24</v>
      </c>
      <c r="F1069" s="23">
        <v>151837</v>
      </c>
      <c r="G1069" s="15">
        <v>2009</v>
      </c>
      <c r="H1069" s="15">
        <f>Table_7[[#This Row],[Listing Price (USD)]]/10000</f>
        <v>15.1837</v>
      </c>
      <c r="I1069" s="28">
        <f>Table_7[[#This Row],[Length 
(ft)]]</f>
        <v>43</v>
      </c>
      <c r="J1069" s="28">
        <f>2020-Table_7[[#This Row],[Year]]</f>
        <v>11</v>
      </c>
      <c r="K1069">
        <v>1896755301518.1399</v>
      </c>
      <c r="L1069">
        <v>31911.0357890017</v>
      </c>
      <c r="M1069">
        <v>-0.13770757391656999</v>
      </c>
      <c r="N1069">
        <v>-9.0399534112288507</v>
      </c>
      <c r="O1069">
        <v>39.369999999999997</v>
      </c>
      <c r="P1069">
        <v>1022</v>
      </c>
      <c r="Q1069">
        <v>61</v>
      </c>
      <c r="R1069">
        <v>13.71</v>
      </c>
    </row>
    <row r="1070" spans="1:18" x14ac:dyDescent="0.25">
      <c r="A1070" s="1" t="s">
        <v>128</v>
      </c>
      <c r="B1070" s="2">
        <v>430</v>
      </c>
      <c r="C1070" s="19">
        <v>43</v>
      </c>
      <c r="D1070" s="3" t="s">
        <v>496</v>
      </c>
      <c r="E1070" s="3" t="s">
        <v>63</v>
      </c>
      <c r="F1070" s="23">
        <v>267233</v>
      </c>
      <c r="G1070" s="15">
        <v>2019</v>
      </c>
      <c r="H1070" s="15">
        <f>Table_7[[#This Row],[Listing Price (USD)]]/10000</f>
        <v>26.723299999999998</v>
      </c>
      <c r="I1070" s="28">
        <f>Table_7[[#This Row],[Length 
(ft)]]</f>
        <v>43</v>
      </c>
      <c r="J1070" s="28">
        <f>2020-Table_7[[#This Row],[Year]]</f>
        <v>1</v>
      </c>
      <c r="K1070">
        <v>720290000016</v>
      </c>
      <c r="L1070">
        <v>13341.6</v>
      </c>
      <c r="M1070">
        <v>13</v>
      </c>
      <c r="N1070">
        <v>-3</v>
      </c>
      <c r="O1070">
        <v>39.369999999999997</v>
      </c>
      <c r="P1070">
        <v>1022</v>
      </c>
      <c r="Q1070">
        <v>61</v>
      </c>
      <c r="R1070">
        <v>13.71</v>
      </c>
    </row>
    <row r="1071" spans="1:18" x14ac:dyDescent="0.25">
      <c r="A1071" s="1" t="s">
        <v>143</v>
      </c>
      <c r="B1071" s="2" t="s">
        <v>154</v>
      </c>
      <c r="C1071" s="19">
        <v>45</v>
      </c>
      <c r="D1071" s="3" t="s">
        <v>496</v>
      </c>
      <c r="E1071" s="3" t="s">
        <v>31</v>
      </c>
      <c r="F1071" s="23">
        <v>115396</v>
      </c>
      <c r="G1071" s="15">
        <v>2012</v>
      </c>
      <c r="H1071" s="15">
        <f>Table_7[[#This Row],[Listing Price (USD)]]/10000</f>
        <v>11.5396</v>
      </c>
      <c r="I1071" s="28">
        <f>Table_7[[#This Row],[Length 
(ft)]]</f>
        <v>45</v>
      </c>
      <c r="J1071" s="28">
        <f>2020-Table_7[[#This Row],[Year]]</f>
        <v>8</v>
      </c>
      <c r="K1071">
        <v>57472012426.685303</v>
      </c>
      <c r="L1071">
        <v>14198.753959474399</v>
      </c>
      <c r="M1071">
        <v>0.15481137456202801</v>
      </c>
      <c r="N1071">
        <v>-8.5803430210621805</v>
      </c>
      <c r="O1071">
        <v>42.5</v>
      </c>
      <c r="P1071">
        <v>837.00199999999995</v>
      </c>
      <c r="Q1071">
        <v>61</v>
      </c>
      <c r="R1071">
        <v>13.71</v>
      </c>
    </row>
    <row r="1072" spans="1:18" x14ac:dyDescent="0.25">
      <c r="A1072" s="1" t="s">
        <v>143</v>
      </c>
      <c r="B1072" s="2" t="s">
        <v>154</v>
      </c>
      <c r="C1072" s="19">
        <v>45</v>
      </c>
      <c r="D1072" s="3" t="s">
        <v>496</v>
      </c>
      <c r="E1072" s="3" t="s">
        <v>31</v>
      </c>
      <c r="F1072" s="23">
        <v>121227</v>
      </c>
      <c r="G1072" s="15">
        <v>2013</v>
      </c>
      <c r="H1072" s="15">
        <f>Table_7[[#This Row],[Listing Price (USD)]]/10000</f>
        <v>12.1227</v>
      </c>
      <c r="I1072" s="28">
        <f>Table_7[[#This Row],[Length 
(ft)]]</f>
        <v>45</v>
      </c>
      <c r="J1072" s="28">
        <f>2020-Table_7[[#This Row],[Year]]</f>
        <v>7</v>
      </c>
      <c r="K1072">
        <v>57472012426.685303</v>
      </c>
      <c r="L1072">
        <v>14198.753959474399</v>
      </c>
      <c r="M1072">
        <v>0.15481137456202801</v>
      </c>
      <c r="N1072">
        <v>-8.5803430210621805</v>
      </c>
      <c r="O1072">
        <v>42.5</v>
      </c>
      <c r="P1072">
        <v>837.00199999999995</v>
      </c>
      <c r="Q1072">
        <v>61</v>
      </c>
      <c r="R1072">
        <v>13.71</v>
      </c>
    </row>
    <row r="1073" spans="1:18" x14ac:dyDescent="0.25">
      <c r="A1073" s="1" t="s">
        <v>143</v>
      </c>
      <c r="B1073" s="2" t="s">
        <v>154</v>
      </c>
      <c r="C1073" s="19">
        <v>45</v>
      </c>
      <c r="D1073" s="3" t="s">
        <v>496</v>
      </c>
      <c r="E1073" s="3" t="s">
        <v>31</v>
      </c>
      <c r="F1073" s="23">
        <v>121257</v>
      </c>
      <c r="G1073" s="15">
        <v>2013</v>
      </c>
      <c r="H1073" s="15">
        <f>Table_7[[#This Row],[Listing Price (USD)]]/10000</f>
        <v>12.1257</v>
      </c>
      <c r="I1073" s="28">
        <f>Table_7[[#This Row],[Length 
(ft)]]</f>
        <v>45</v>
      </c>
      <c r="J1073" s="28">
        <f>2020-Table_7[[#This Row],[Year]]</f>
        <v>7</v>
      </c>
      <c r="K1073">
        <v>57472012426.685303</v>
      </c>
      <c r="L1073">
        <v>14198.753959474399</v>
      </c>
      <c r="M1073">
        <v>0.15481137456202801</v>
      </c>
      <c r="N1073">
        <v>-8.5803430210621805</v>
      </c>
      <c r="O1073">
        <v>42.5</v>
      </c>
      <c r="P1073">
        <v>837.00199999999995</v>
      </c>
      <c r="Q1073">
        <v>61</v>
      </c>
      <c r="R1073">
        <v>13.71</v>
      </c>
    </row>
    <row r="1074" spans="1:18" x14ac:dyDescent="0.25">
      <c r="A1074" s="1" t="s">
        <v>143</v>
      </c>
      <c r="B1074" s="2" t="s">
        <v>154</v>
      </c>
      <c r="C1074" s="19">
        <v>45</v>
      </c>
      <c r="D1074" s="3" t="s">
        <v>496</v>
      </c>
      <c r="E1074" s="3" t="s">
        <v>18</v>
      </c>
      <c r="F1074" s="23">
        <v>127543</v>
      </c>
      <c r="G1074" s="15">
        <v>2011</v>
      </c>
      <c r="H1074" s="15">
        <f>Table_7[[#This Row],[Listing Price (USD)]]/10000</f>
        <v>12.754300000000001</v>
      </c>
      <c r="I1074" s="28">
        <f>Table_7[[#This Row],[Length 
(ft)]]</f>
        <v>45</v>
      </c>
      <c r="J1074" s="28">
        <f>2020-Table_7[[#This Row],[Year]]</f>
        <v>9</v>
      </c>
      <c r="K1074">
        <v>188925995936.80701</v>
      </c>
      <c r="L1074">
        <v>17658.947301119199</v>
      </c>
      <c r="M1074">
        <v>-1.2479835558140799</v>
      </c>
      <c r="N1074">
        <v>-9.0040436420214593</v>
      </c>
      <c r="O1074">
        <v>42.5</v>
      </c>
      <c r="P1074">
        <v>837.00199999999995</v>
      </c>
      <c r="Q1074">
        <v>61</v>
      </c>
      <c r="R1074">
        <v>13.71</v>
      </c>
    </row>
    <row r="1075" spans="1:18" x14ac:dyDescent="0.25">
      <c r="A1075" s="1" t="s">
        <v>143</v>
      </c>
      <c r="B1075" s="2" t="s">
        <v>154</v>
      </c>
      <c r="C1075" s="19">
        <v>45</v>
      </c>
      <c r="D1075" s="3" t="s">
        <v>496</v>
      </c>
      <c r="E1075" s="3" t="s">
        <v>9</v>
      </c>
      <c r="F1075" s="23">
        <v>133617</v>
      </c>
      <c r="G1075" s="15">
        <v>2014</v>
      </c>
      <c r="H1075" s="15">
        <f>Table_7[[#This Row],[Listing Price (USD)]]/10000</f>
        <v>13.361700000000001</v>
      </c>
      <c r="I1075" s="28">
        <f>Table_7[[#This Row],[Length 
(ft)]]</f>
        <v>45</v>
      </c>
      <c r="J1075" s="28">
        <f>2020-Table_7[[#This Row],[Year]]</f>
        <v>6</v>
      </c>
      <c r="K1075">
        <v>1276962685648.25</v>
      </c>
      <c r="L1075">
        <v>26959.675436732599</v>
      </c>
      <c r="M1075">
        <v>-0.32275301729970501</v>
      </c>
      <c r="N1075">
        <v>-11.3254383222864</v>
      </c>
      <c r="O1075">
        <v>42.5</v>
      </c>
      <c r="P1075">
        <v>837.00199999999995</v>
      </c>
      <c r="Q1075">
        <v>61</v>
      </c>
      <c r="R1075">
        <v>13.71</v>
      </c>
    </row>
    <row r="1076" spans="1:18" x14ac:dyDescent="0.25">
      <c r="A1076" s="1" t="s">
        <v>143</v>
      </c>
      <c r="B1076" s="2" t="s">
        <v>154</v>
      </c>
      <c r="C1076" s="19">
        <v>45</v>
      </c>
      <c r="D1076" s="3" t="s">
        <v>496</v>
      </c>
      <c r="E1076" s="3" t="s">
        <v>31</v>
      </c>
      <c r="F1076" s="23">
        <v>143334</v>
      </c>
      <c r="G1076" s="15">
        <v>2011</v>
      </c>
      <c r="H1076" s="15">
        <f>Table_7[[#This Row],[Listing Price (USD)]]/10000</f>
        <v>14.333399999999999</v>
      </c>
      <c r="I1076" s="28">
        <f>Table_7[[#This Row],[Length 
(ft)]]</f>
        <v>45</v>
      </c>
      <c r="J1076" s="28">
        <f>2020-Table_7[[#This Row],[Year]]</f>
        <v>9</v>
      </c>
      <c r="K1076">
        <v>57472012426.685303</v>
      </c>
      <c r="L1076">
        <v>14198.753959474399</v>
      </c>
      <c r="M1076">
        <v>0.15481137456202801</v>
      </c>
      <c r="N1076">
        <v>-8.5803430210621805</v>
      </c>
      <c r="O1076">
        <v>42.5</v>
      </c>
      <c r="P1076">
        <v>837.00199999999995</v>
      </c>
      <c r="Q1076">
        <v>61</v>
      </c>
      <c r="R1076">
        <v>13.71</v>
      </c>
    </row>
    <row r="1077" spans="1:18" x14ac:dyDescent="0.25">
      <c r="A1077" s="1" t="s">
        <v>143</v>
      </c>
      <c r="B1077" s="2" t="s">
        <v>155</v>
      </c>
      <c r="C1077" s="19">
        <v>45</v>
      </c>
      <c r="D1077" s="3" t="s">
        <v>496</v>
      </c>
      <c r="E1077" s="3" t="s">
        <v>31</v>
      </c>
      <c r="F1077" s="23">
        <v>121348</v>
      </c>
      <c r="G1077" s="15">
        <v>2013</v>
      </c>
      <c r="H1077" s="15">
        <f>Table_7[[#This Row],[Listing Price (USD)]]/10000</f>
        <v>12.1348</v>
      </c>
      <c r="I1077" s="28">
        <f>Table_7[[#This Row],[Length 
(ft)]]</f>
        <v>45</v>
      </c>
      <c r="J1077" s="28">
        <f>2020-Table_7[[#This Row],[Year]]</f>
        <v>7</v>
      </c>
      <c r="K1077">
        <v>57472012426.685303</v>
      </c>
      <c r="L1077">
        <v>14198.753959474399</v>
      </c>
      <c r="M1077">
        <v>0.15481137456202801</v>
      </c>
      <c r="N1077">
        <v>-8.5803430210621805</v>
      </c>
      <c r="O1077">
        <v>42.5</v>
      </c>
      <c r="P1077">
        <v>837.00199999999995</v>
      </c>
      <c r="Q1077">
        <v>61</v>
      </c>
      <c r="R1077">
        <v>13.71</v>
      </c>
    </row>
    <row r="1078" spans="1:18" x14ac:dyDescent="0.25">
      <c r="A1078" s="1" t="s">
        <v>393</v>
      </c>
      <c r="B1078" s="3">
        <v>39</v>
      </c>
      <c r="C1078" s="19">
        <v>43</v>
      </c>
      <c r="D1078" s="3" t="s">
        <v>497</v>
      </c>
      <c r="E1078" s="3" t="s">
        <v>524</v>
      </c>
      <c r="F1078" s="23">
        <v>220000</v>
      </c>
      <c r="G1078" s="15">
        <v>2008</v>
      </c>
      <c r="H1078" s="15">
        <f>Table_7[[#This Row],[Listing Price (USD)]]/10000</f>
        <v>22</v>
      </c>
      <c r="I1078" s="28">
        <f>Table_7[[#This Row],[Length 
(ft)]]</f>
        <v>43</v>
      </c>
      <c r="J1078" s="28">
        <f>2020-Table_7[[#This Row],[Year]]</f>
        <v>12</v>
      </c>
      <c r="K1078">
        <v>21059428851.4883</v>
      </c>
      <c r="L1078">
        <v>13871.7982194664</v>
      </c>
      <c r="M1078">
        <v>0.59898633082474695</v>
      </c>
      <c r="N1078">
        <v>-7.6783311605235101</v>
      </c>
      <c r="O1078">
        <v>37.86</v>
      </c>
      <c r="P1078">
        <v>994</v>
      </c>
      <c r="Q1078">
        <v>60</v>
      </c>
      <c r="R1078">
        <v>12.5</v>
      </c>
    </row>
    <row r="1079" spans="1:18" x14ac:dyDescent="0.25">
      <c r="A1079" s="1" t="s">
        <v>304</v>
      </c>
      <c r="B1079" s="2">
        <v>40</v>
      </c>
      <c r="C1079" s="19">
        <v>40</v>
      </c>
      <c r="D1079" s="3" t="s">
        <v>496</v>
      </c>
      <c r="E1079" s="3" t="s">
        <v>516</v>
      </c>
      <c r="F1079" s="23">
        <v>200476</v>
      </c>
      <c r="G1079" s="15">
        <v>2005</v>
      </c>
      <c r="H1079" s="15">
        <f>Table_7[[#This Row],[Listing Price (USD)]]/10000</f>
        <v>20.047599999999999</v>
      </c>
      <c r="I1079" s="28">
        <f>Table_7[[#This Row],[Length 
(ft)]]</f>
        <v>40</v>
      </c>
      <c r="J1079" s="28">
        <f>2020-Table_7[[#This Row],[Year]]</f>
        <v>15</v>
      </c>
      <c r="K1079">
        <v>909793466661.48096</v>
      </c>
      <c r="L1079">
        <v>52162.570115040602</v>
      </c>
      <c r="M1079">
        <v>1.2724603778917001</v>
      </c>
      <c r="N1079">
        <v>-3.88608391819609</v>
      </c>
      <c r="O1079">
        <v>34.119999999999997</v>
      </c>
      <c r="P1079">
        <v>732</v>
      </c>
      <c r="Q1079">
        <v>60</v>
      </c>
      <c r="R1079">
        <v>12.8</v>
      </c>
    </row>
    <row r="1080" spans="1:18" x14ac:dyDescent="0.25">
      <c r="A1080" s="1" t="s">
        <v>320</v>
      </c>
      <c r="B1080" s="2">
        <v>40</v>
      </c>
      <c r="C1080" s="19">
        <v>40</v>
      </c>
      <c r="D1080" s="3" t="s">
        <v>496</v>
      </c>
      <c r="E1080" s="3" t="s">
        <v>24</v>
      </c>
      <c r="F1080" s="23">
        <v>230761</v>
      </c>
      <c r="G1080" s="15">
        <v>2008</v>
      </c>
      <c r="H1080" s="15">
        <f>Table_7[[#This Row],[Listing Price (USD)]]/10000</f>
        <v>23.0761</v>
      </c>
      <c r="I1080" s="28">
        <f>Table_7[[#This Row],[Length 
(ft)]]</f>
        <v>40</v>
      </c>
      <c r="J1080" s="28">
        <f>2020-Table_7[[#This Row],[Year]]</f>
        <v>12</v>
      </c>
      <c r="K1080">
        <v>1896755301518.1399</v>
      </c>
      <c r="L1080">
        <v>31911.0357890017</v>
      </c>
      <c r="M1080">
        <v>-0.13770757391656999</v>
      </c>
      <c r="N1080">
        <v>-9.0399534112288507</v>
      </c>
      <c r="O1080">
        <v>34.119999999999997</v>
      </c>
      <c r="P1080">
        <v>732</v>
      </c>
      <c r="Q1080">
        <v>60</v>
      </c>
      <c r="R1080">
        <v>12.8</v>
      </c>
    </row>
    <row r="1081" spans="1:18" x14ac:dyDescent="0.25">
      <c r="A1081" s="1" t="s">
        <v>320</v>
      </c>
      <c r="B1081" s="2">
        <v>40</v>
      </c>
      <c r="C1081" s="19">
        <v>40</v>
      </c>
      <c r="D1081" s="3" t="s">
        <v>496</v>
      </c>
      <c r="E1081" s="3" t="s">
        <v>24</v>
      </c>
      <c r="F1081" s="23">
        <v>279380</v>
      </c>
      <c r="G1081" s="15">
        <v>2008</v>
      </c>
      <c r="H1081" s="15">
        <f>Table_7[[#This Row],[Listing Price (USD)]]/10000</f>
        <v>27.937999999999999</v>
      </c>
      <c r="I1081" s="28">
        <f>Table_7[[#This Row],[Length 
(ft)]]</f>
        <v>40</v>
      </c>
      <c r="J1081" s="28">
        <f>2020-Table_7[[#This Row],[Year]]</f>
        <v>12</v>
      </c>
      <c r="K1081">
        <v>1896755301518.1399</v>
      </c>
      <c r="L1081">
        <v>31911.0357890017</v>
      </c>
      <c r="M1081">
        <v>-0.13770757391656999</v>
      </c>
      <c r="N1081">
        <v>-9.0399534112288507</v>
      </c>
      <c r="O1081">
        <v>34.119999999999997</v>
      </c>
      <c r="P1081">
        <v>732</v>
      </c>
      <c r="Q1081">
        <v>60</v>
      </c>
      <c r="R1081">
        <v>12.8</v>
      </c>
    </row>
    <row r="1082" spans="1:18" x14ac:dyDescent="0.25">
      <c r="A1082" s="1" t="s">
        <v>362</v>
      </c>
      <c r="B1082" s="3">
        <v>426</v>
      </c>
      <c r="C1082" s="19">
        <v>42</v>
      </c>
      <c r="D1082" s="3" t="s">
        <v>495</v>
      </c>
      <c r="E1082" s="3" t="s">
        <v>333</v>
      </c>
      <c r="F1082" s="23">
        <v>285000</v>
      </c>
      <c r="G1082" s="15">
        <v>2006</v>
      </c>
      <c r="H1082" s="15">
        <f>Table_7[[#This Row],[Listing Price (USD)]]/10000</f>
        <v>28.5</v>
      </c>
      <c r="I1082" s="28">
        <f>Table_7[[#This Row],[Length 
(ft)]]</f>
        <v>42</v>
      </c>
      <c r="J1082" s="28">
        <f>2020-Table_7[[#This Row],[Year]]</f>
        <v>14</v>
      </c>
      <c r="K1082">
        <v>1106036000000</v>
      </c>
      <c r="L1082">
        <v>51276.72</v>
      </c>
      <c r="M1082">
        <v>1.23</v>
      </c>
      <c r="N1082">
        <v>2.9</v>
      </c>
      <c r="O1082">
        <v>36</v>
      </c>
      <c r="P1082">
        <v>920</v>
      </c>
      <c r="Q1082">
        <v>60</v>
      </c>
      <c r="R1082">
        <v>13.42</v>
      </c>
    </row>
    <row r="1083" spans="1:18" x14ac:dyDescent="0.25">
      <c r="A1083" s="1" t="s">
        <v>362</v>
      </c>
      <c r="B1083" s="3">
        <v>426</v>
      </c>
      <c r="C1083" s="19">
        <v>42</v>
      </c>
      <c r="D1083" s="3" t="s">
        <v>495</v>
      </c>
      <c r="E1083" s="3" t="s">
        <v>515</v>
      </c>
      <c r="F1083" s="23">
        <v>285000</v>
      </c>
      <c r="G1083" s="15">
        <v>2006</v>
      </c>
      <c r="H1083" s="15">
        <f>Table_7[[#This Row],[Listing Price (USD)]]/10000</f>
        <v>28.5</v>
      </c>
      <c r="I1083" s="28">
        <f>Table_7[[#This Row],[Length 
(ft)]]</f>
        <v>42</v>
      </c>
      <c r="J1083" s="28">
        <f>2020-Table_7[[#This Row],[Year]]</f>
        <v>14</v>
      </c>
      <c r="K1083">
        <v>410675000000</v>
      </c>
      <c r="L1083">
        <v>66531.03</v>
      </c>
      <c r="M1083">
        <v>1.23</v>
      </c>
      <c r="N1083">
        <v>1.8</v>
      </c>
      <c r="O1083">
        <v>36</v>
      </c>
      <c r="P1083">
        <v>920</v>
      </c>
      <c r="Q1083">
        <v>60</v>
      </c>
      <c r="R1083">
        <v>13.42</v>
      </c>
    </row>
    <row r="1084" spans="1:18" x14ac:dyDescent="0.25">
      <c r="A1084" s="1" t="s">
        <v>362</v>
      </c>
      <c r="B1084" s="3">
        <v>426</v>
      </c>
      <c r="C1084" s="19">
        <v>42</v>
      </c>
      <c r="D1084" s="3" t="s">
        <v>495</v>
      </c>
      <c r="E1084" s="3" t="s">
        <v>500</v>
      </c>
      <c r="F1084" s="23">
        <v>299000</v>
      </c>
      <c r="G1084" s="15">
        <v>2008</v>
      </c>
      <c r="H1084" s="15">
        <f>Table_7[[#This Row],[Listing Price (USD)]]/10000</f>
        <v>29.9</v>
      </c>
      <c r="I1084" s="28">
        <f>Table_7[[#This Row],[Length 
(ft)]]</f>
        <v>42</v>
      </c>
      <c r="J1084" s="28">
        <f>2020-Table_7[[#This Row],[Year]]</f>
        <v>12</v>
      </c>
      <c r="K1084">
        <v>3007188000000</v>
      </c>
      <c r="L1084">
        <v>76131.839999999997</v>
      </c>
      <c r="M1084">
        <v>1.23</v>
      </c>
      <c r="N1084">
        <v>2.7</v>
      </c>
      <c r="O1084">
        <v>36</v>
      </c>
      <c r="P1084">
        <v>920</v>
      </c>
      <c r="Q1084">
        <v>60</v>
      </c>
      <c r="R1084">
        <v>13.42</v>
      </c>
    </row>
    <row r="1085" spans="1:18" x14ac:dyDescent="0.25">
      <c r="A1085" s="1" t="s">
        <v>362</v>
      </c>
      <c r="B1085" s="3">
        <v>426</v>
      </c>
      <c r="C1085" s="19">
        <v>42</v>
      </c>
      <c r="D1085" s="3" t="s">
        <v>495</v>
      </c>
      <c r="E1085" s="3" t="s">
        <v>499</v>
      </c>
      <c r="F1085" s="23">
        <v>325000</v>
      </c>
      <c r="G1085" s="15">
        <v>2008</v>
      </c>
      <c r="H1085" s="15">
        <f>Table_7[[#This Row],[Listing Price (USD)]]/10000</f>
        <v>32.5</v>
      </c>
      <c r="I1085" s="28">
        <f>Table_7[[#This Row],[Length 
(ft)]]</f>
        <v>42</v>
      </c>
      <c r="J1085" s="28">
        <f>2020-Table_7[[#This Row],[Year]]</f>
        <v>12</v>
      </c>
      <c r="K1085">
        <v>212540000000</v>
      </c>
      <c r="L1085">
        <v>76778.559999999998</v>
      </c>
      <c r="M1085">
        <v>1.23</v>
      </c>
      <c r="N1085">
        <v>2.2000000000000002</v>
      </c>
      <c r="O1085">
        <v>36</v>
      </c>
      <c r="P1085">
        <v>920</v>
      </c>
      <c r="Q1085">
        <v>60</v>
      </c>
      <c r="R1085">
        <v>13.42</v>
      </c>
    </row>
    <row r="1086" spans="1:18" x14ac:dyDescent="0.25">
      <c r="A1086" s="1" t="s">
        <v>282</v>
      </c>
      <c r="B1086" s="2">
        <v>4300</v>
      </c>
      <c r="C1086" s="19">
        <v>43</v>
      </c>
      <c r="D1086" s="3" t="s">
        <v>496</v>
      </c>
      <c r="E1086" s="3" t="s">
        <v>24</v>
      </c>
      <c r="F1086" s="23">
        <v>321895</v>
      </c>
      <c r="G1086" s="15">
        <v>2010</v>
      </c>
      <c r="H1086" s="15">
        <f>Table_7[[#This Row],[Listing Price (USD)]]/10000</f>
        <v>32.189500000000002</v>
      </c>
      <c r="I1086" s="28">
        <f>Table_7[[#This Row],[Length 
(ft)]]</f>
        <v>43</v>
      </c>
      <c r="J1086" s="28">
        <f>2020-Table_7[[#This Row],[Year]]</f>
        <v>10</v>
      </c>
      <c r="K1086">
        <v>1896755301518.1399</v>
      </c>
      <c r="L1086">
        <v>31911.0357890017</v>
      </c>
      <c r="M1086">
        <v>-0.13770757391656999</v>
      </c>
      <c r="N1086">
        <v>-9.0399534112288507</v>
      </c>
      <c r="O1086">
        <v>37.86</v>
      </c>
      <c r="P1086">
        <v>994</v>
      </c>
      <c r="Q1086">
        <v>60</v>
      </c>
      <c r="R1086">
        <v>12.5</v>
      </c>
    </row>
    <row r="1087" spans="1:18" x14ac:dyDescent="0.25">
      <c r="A1087" s="1" t="s">
        <v>282</v>
      </c>
      <c r="B1087" s="3">
        <v>4300</v>
      </c>
      <c r="C1087" s="19">
        <v>43</v>
      </c>
      <c r="D1087" s="3" t="s">
        <v>495</v>
      </c>
      <c r="E1087" s="3" t="s">
        <v>540</v>
      </c>
      <c r="F1087" s="23">
        <v>475000</v>
      </c>
      <c r="G1087" s="15">
        <v>2011</v>
      </c>
      <c r="H1087" s="15">
        <f>Table_7[[#This Row],[Listing Price (USD)]]/10000</f>
        <v>47.5</v>
      </c>
      <c r="I1087" s="28">
        <f>Table_7[[#This Row],[Length 
(ft)]]</f>
        <v>43</v>
      </c>
      <c r="J1087" s="28">
        <f>2020-Table_7[[#This Row],[Year]]</f>
        <v>9</v>
      </c>
      <c r="K1087">
        <v>425852281928.12097</v>
      </c>
      <c r="L1087">
        <v>85420.190855609704</v>
      </c>
      <c r="M1087">
        <v>-0.33458462542844403</v>
      </c>
      <c r="N1087">
        <v>6.1845380388162301</v>
      </c>
      <c r="O1087">
        <v>37.86</v>
      </c>
      <c r="P1087">
        <v>994</v>
      </c>
      <c r="Q1087">
        <v>60</v>
      </c>
      <c r="R1087">
        <v>12.5</v>
      </c>
    </row>
    <row r="1088" spans="1:18" x14ac:dyDescent="0.25">
      <c r="A1088" s="1" t="s">
        <v>282</v>
      </c>
      <c r="B1088" s="3">
        <v>4300</v>
      </c>
      <c r="C1088" s="19">
        <v>43</v>
      </c>
      <c r="D1088" s="3" t="s">
        <v>495</v>
      </c>
      <c r="E1088" s="3" t="s">
        <v>333</v>
      </c>
      <c r="F1088" s="23">
        <v>485000</v>
      </c>
      <c r="G1088" s="15">
        <v>2017</v>
      </c>
      <c r="H1088" s="15">
        <f>Table_7[[#This Row],[Listing Price (USD)]]/10000</f>
        <v>48.5</v>
      </c>
      <c r="I1088" s="28">
        <f>Table_7[[#This Row],[Length 
(ft)]]</f>
        <v>43</v>
      </c>
      <c r="J1088" s="28">
        <f>2020-Table_7[[#This Row],[Year]]</f>
        <v>3</v>
      </c>
      <c r="K1088">
        <v>2639008701648.2598</v>
      </c>
      <c r="L1088">
        <v>39055.282928075401</v>
      </c>
      <c r="M1088">
        <v>0.47649885272508302</v>
      </c>
      <c r="N1088">
        <v>-7.7845864916787102</v>
      </c>
      <c r="O1088">
        <v>37.86</v>
      </c>
      <c r="P1088">
        <v>994</v>
      </c>
      <c r="Q1088">
        <v>60</v>
      </c>
      <c r="R1088">
        <v>12.5</v>
      </c>
    </row>
    <row r="1089" spans="1:18" x14ac:dyDescent="0.25">
      <c r="A1089" s="1" t="s">
        <v>283</v>
      </c>
      <c r="B1089" s="2">
        <v>12</v>
      </c>
      <c r="C1089" s="19">
        <v>39</v>
      </c>
      <c r="D1089" s="3" t="s">
        <v>496</v>
      </c>
      <c r="E1089" s="3" t="s">
        <v>9</v>
      </c>
      <c r="F1089" s="23">
        <v>182251</v>
      </c>
      <c r="G1089" s="15">
        <v>2011</v>
      </c>
      <c r="H1089" s="15">
        <f>Table_7[[#This Row],[Listing Price (USD)]]/10000</f>
        <v>18.225100000000001</v>
      </c>
      <c r="I1089" s="28">
        <f>Table_7[[#This Row],[Length 
(ft)]]</f>
        <v>39</v>
      </c>
      <c r="J1089" s="28">
        <f>2020-Table_7[[#This Row],[Year]]</f>
        <v>9</v>
      </c>
      <c r="K1089">
        <v>1276962685648.25</v>
      </c>
      <c r="L1089">
        <v>26959.675436732599</v>
      </c>
      <c r="M1089">
        <v>-0.32275301729970501</v>
      </c>
      <c r="N1089">
        <v>-11.3254383222864</v>
      </c>
      <c r="O1089">
        <v>35</v>
      </c>
      <c r="P1089">
        <v>639</v>
      </c>
      <c r="Q1089">
        <v>58</v>
      </c>
      <c r="R1089">
        <v>12.96</v>
      </c>
    </row>
    <row r="1090" spans="1:18" x14ac:dyDescent="0.25">
      <c r="A1090" s="1" t="s">
        <v>123</v>
      </c>
      <c r="B1090" s="2" t="s">
        <v>125</v>
      </c>
      <c r="C1090" s="19">
        <v>39</v>
      </c>
      <c r="D1090" s="3" t="s">
        <v>496</v>
      </c>
      <c r="E1090" s="3" t="s">
        <v>3</v>
      </c>
      <c r="F1090" s="23">
        <v>194401</v>
      </c>
      <c r="G1090" s="15">
        <v>2011</v>
      </c>
      <c r="H1090" s="15">
        <f>Table_7[[#This Row],[Listing Price (USD)]]/10000</f>
        <v>19.440100000000001</v>
      </c>
      <c r="I1090" s="28">
        <f>Table_7[[#This Row],[Length 
(ft)]]</f>
        <v>39</v>
      </c>
      <c r="J1090" s="28">
        <f>2020-Table_7[[#This Row],[Year]]</f>
        <v>9</v>
      </c>
      <c r="K1090">
        <v>2639008701648.2598</v>
      </c>
      <c r="L1090">
        <v>39055.282928075401</v>
      </c>
      <c r="M1090">
        <v>0.47649885272508302</v>
      </c>
      <c r="N1090">
        <v>-7.7845864916787102</v>
      </c>
      <c r="O1090">
        <v>35</v>
      </c>
      <c r="P1090">
        <v>639</v>
      </c>
      <c r="Q1090">
        <v>58</v>
      </c>
      <c r="R1090">
        <v>12.96</v>
      </c>
    </row>
    <row r="1091" spans="1:18" x14ac:dyDescent="0.25">
      <c r="A1091" s="1" t="s">
        <v>187</v>
      </c>
      <c r="B1091" s="3">
        <v>44</v>
      </c>
      <c r="C1091" s="19">
        <v>44</v>
      </c>
      <c r="D1091" s="3" t="s">
        <v>495</v>
      </c>
      <c r="E1091" s="3" t="s">
        <v>518</v>
      </c>
      <c r="F1091" s="23">
        <v>149000</v>
      </c>
      <c r="G1091" s="15">
        <v>2005</v>
      </c>
      <c r="H1091" s="15">
        <f>Table_7[[#This Row],[Listing Price (USD)]]/10000</f>
        <v>14.9</v>
      </c>
      <c r="I1091" s="28">
        <f>Table_7[[#This Row],[Length 
(ft)]]</f>
        <v>44</v>
      </c>
      <c r="J1091" s="28">
        <f>2020-Table_7[[#This Row],[Year]]</f>
        <v>15</v>
      </c>
      <c r="K1091">
        <v>1724759000000</v>
      </c>
      <c r="L1091">
        <v>85575.039999999994</v>
      </c>
      <c r="M1091">
        <v>1.23</v>
      </c>
      <c r="N1091">
        <v>3.8</v>
      </c>
      <c r="O1091">
        <v>39.89</v>
      </c>
      <c r="P1091">
        <v>999</v>
      </c>
      <c r="Q1091">
        <v>58</v>
      </c>
      <c r="R1091">
        <v>13.75</v>
      </c>
    </row>
    <row r="1092" spans="1:18" x14ac:dyDescent="0.25">
      <c r="A1092" s="1" t="s">
        <v>270</v>
      </c>
      <c r="B1092" s="2">
        <v>44</v>
      </c>
      <c r="C1092" s="19">
        <v>44</v>
      </c>
      <c r="D1092" s="3" t="s">
        <v>496</v>
      </c>
      <c r="E1092" s="3" t="s">
        <v>31</v>
      </c>
      <c r="F1092" s="23">
        <v>156696</v>
      </c>
      <c r="G1092" s="15">
        <v>2010</v>
      </c>
      <c r="H1092" s="15">
        <f>Table_7[[#This Row],[Listing Price (USD)]]/10000</f>
        <v>15.669600000000001</v>
      </c>
      <c r="I1092" s="28">
        <f>Table_7[[#This Row],[Length 
(ft)]]</f>
        <v>44</v>
      </c>
      <c r="J1092" s="28">
        <f>2020-Table_7[[#This Row],[Year]]</f>
        <v>10</v>
      </c>
      <c r="K1092">
        <v>57472012426.685303</v>
      </c>
      <c r="L1092">
        <v>14198.753959474399</v>
      </c>
      <c r="M1092">
        <v>0.15481137456202801</v>
      </c>
      <c r="N1092">
        <v>-8.5803430210621805</v>
      </c>
      <c r="O1092">
        <v>39.89</v>
      </c>
      <c r="P1092">
        <v>999</v>
      </c>
      <c r="Q1092">
        <v>58</v>
      </c>
      <c r="R1092">
        <v>13.75</v>
      </c>
    </row>
    <row r="1093" spans="1:18" x14ac:dyDescent="0.25">
      <c r="A1093" s="1" t="s">
        <v>187</v>
      </c>
      <c r="B1093" s="3">
        <v>44</v>
      </c>
      <c r="C1093" s="19">
        <v>44</v>
      </c>
      <c r="D1093" s="3" t="s">
        <v>495</v>
      </c>
      <c r="E1093" s="3" t="s">
        <v>333</v>
      </c>
      <c r="F1093" s="23">
        <v>163000</v>
      </c>
      <c r="G1093" s="15">
        <v>2006</v>
      </c>
      <c r="H1093" s="15">
        <f>Table_7[[#This Row],[Listing Price (USD)]]/10000</f>
        <v>16.3</v>
      </c>
      <c r="I1093" s="28">
        <f>Table_7[[#This Row],[Length 
(ft)]]</f>
        <v>44</v>
      </c>
      <c r="J1093" s="28">
        <f>2020-Table_7[[#This Row],[Year]]</f>
        <v>14</v>
      </c>
      <c r="K1093">
        <v>1106036000000</v>
      </c>
      <c r="L1093">
        <v>51276.72</v>
      </c>
      <c r="M1093">
        <v>1.23</v>
      </c>
      <c r="N1093">
        <v>2.9</v>
      </c>
      <c r="O1093">
        <v>39.89</v>
      </c>
      <c r="P1093">
        <v>999</v>
      </c>
      <c r="Q1093">
        <v>58</v>
      </c>
      <c r="R1093">
        <v>13.75</v>
      </c>
    </row>
    <row r="1094" spans="1:18" x14ac:dyDescent="0.25">
      <c r="A1094" s="1" t="s">
        <v>187</v>
      </c>
      <c r="B1094" s="3">
        <v>44</v>
      </c>
      <c r="C1094" s="19">
        <v>44</v>
      </c>
      <c r="D1094" s="3" t="s">
        <v>495</v>
      </c>
      <c r="E1094" s="3" t="s">
        <v>544</v>
      </c>
      <c r="F1094" s="23">
        <v>165900</v>
      </c>
      <c r="G1094" s="15">
        <v>2005</v>
      </c>
      <c r="H1094" s="15">
        <f>Table_7[[#This Row],[Listing Price (USD)]]/10000</f>
        <v>16.59</v>
      </c>
      <c r="I1094" s="28">
        <f>Table_7[[#This Row],[Length 
(ft)]]</f>
        <v>44</v>
      </c>
      <c r="J1094" s="28">
        <f>2020-Table_7[[#This Row],[Year]]</f>
        <v>15</v>
      </c>
      <c r="K1094">
        <v>69272000000</v>
      </c>
      <c r="L1094">
        <v>50849.9</v>
      </c>
      <c r="M1094">
        <v>1.23</v>
      </c>
      <c r="N1094">
        <v>2.6</v>
      </c>
      <c r="O1094">
        <v>39.89</v>
      </c>
      <c r="P1094">
        <v>999</v>
      </c>
      <c r="Q1094">
        <v>58</v>
      </c>
      <c r="R1094">
        <v>13.75</v>
      </c>
    </row>
    <row r="1095" spans="1:18" x14ac:dyDescent="0.25">
      <c r="A1095" s="1" t="s">
        <v>128</v>
      </c>
      <c r="B1095" s="2">
        <v>390</v>
      </c>
      <c r="C1095" s="19">
        <v>39</v>
      </c>
      <c r="D1095" s="3" t="s">
        <v>496</v>
      </c>
      <c r="E1095" s="3" t="s">
        <v>31</v>
      </c>
      <c r="F1095" s="23">
        <v>217486</v>
      </c>
      <c r="G1095" s="15">
        <v>2019</v>
      </c>
      <c r="H1095" s="15">
        <f>Table_7[[#This Row],[Listing Price (USD)]]/10000</f>
        <v>21.7486</v>
      </c>
      <c r="I1095" s="28">
        <f>Table_7[[#This Row],[Length 
(ft)]]</f>
        <v>39</v>
      </c>
      <c r="J1095" s="28">
        <f>2020-Table_7[[#This Row],[Year]]</f>
        <v>1</v>
      </c>
      <c r="K1095">
        <v>57472012426.685303</v>
      </c>
      <c r="L1095">
        <v>14198.753959474399</v>
      </c>
      <c r="M1095">
        <v>0.15481137456202801</v>
      </c>
      <c r="N1095">
        <v>-8.5803430210621805</v>
      </c>
      <c r="O1095">
        <v>35</v>
      </c>
      <c r="P1095">
        <v>639</v>
      </c>
      <c r="Q1095">
        <v>58</v>
      </c>
      <c r="R1095">
        <v>12.96</v>
      </c>
    </row>
    <row r="1096" spans="1:18" x14ac:dyDescent="0.25">
      <c r="A1096" s="1" t="s">
        <v>177</v>
      </c>
      <c r="B1096" s="2">
        <v>445</v>
      </c>
      <c r="C1096" s="19">
        <v>44</v>
      </c>
      <c r="D1096" s="3" t="s">
        <v>496</v>
      </c>
      <c r="E1096" s="3" t="s">
        <v>31</v>
      </c>
      <c r="F1096" s="23">
        <v>140905</v>
      </c>
      <c r="G1096" s="15">
        <v>2014</v>
      </c>
      <c r="H1096" s="15">
        <f>Table_7[[#This Row],[Listing Price (USD)]]/10000</f>
        <v>14.0905</v>
      </c>
      <c r="I1096" s="28">
        <f>Table_7[[#This Row],[Length 
(ft)]]</f>
        <v>44</v>
      </c>
      <c r="J1096" s="28">
        <f>2020-Table_7[[#This Row],[Year]]</f>
        <v>6</v>
      </c>
      <c r="K1096">
        <v>57472012426.685303</v>
      </c>
      <c r="L1096">
        <v>14198.753959474399</v>
      </c>
      <c r="M1096">
        <v>0.15481137456202801</v>
      </c>
      <c r="N1096">
        <v>-8.5803430210621805</v>
      </c>
      <c r="O1096">
        <v>40.03</v>
      </c>
      <c r="P1096">
        <v>1021</v>
      </c>
      <c r="Q1096">
        <v>58</v>
      </c>
      <c r="R1096">
        <v>14.37</v>
      </c>
    </row>
    <row r="1097" spans="1:18" x14ac:dyDescent="0.25">
      <c r="A1097" s="1" t="s">
        <v>177</v>
      </c>
      <c r="B1097" s="3">
        <v>445</v>
      </c>
      <c r="C1097" s="19">
        <v>44</v>
      </c>
      <c r="D1097" s="3" t="s">
        <v>497</v>
      </c>
      <c r="E1097" s="3" t="s">
        <v>392</v>
      </c>
      <c r="F1097" s="23">
        <v>145000</v>
      </c>
      <c r="G1097" s="15">
        <v>2012</v>
      </c>
      <c r="H1097" s="15">
        <f>Table_7[[#This Row],[Listing Price (USD)]]/10000</f>
        <v>14.5</v>
      </c>
      <c r="I1097" s="28">
        <f>Table_7[[#This Row],[Length 
(ft)]]</f>
        <v>44</v>
      </c>
      <c r="J1097" s="28">
        <f>2020-Table_7[[#This Row],[Year]]</f>
        <v>8</v>
      </c>
      <c r="K1097">
        <v>1043414814.81481</v>
      </c>
      <c r="L1097">
        <v>8437.5667322870595</v>
      </c>
      <c r="M1097">
        <v>-0.74073259704550098</v>
      </c>
      <c r="N1097">
        <v>-13.7559294530644</v>
      </c>
      <c r="O1097">
        <v>40.03</v>
      </c>
      <c r="P1097">
        <v>1021</v>
      </c>
      <c r="Q1097">
        <v>58</v>
      </c>
      <c r="R1097">
        <v>14.37</v>
      </c>
    </row>
    <row r="1098" spans="1:18" x14ac:dyDescent="0.25">
      <c r="A1098" s="1" t="s">
        <v>177</v>
      </c>
      <c r="B1098" s="2">
        <v>445</v>
      </c>
      <c r="C1098" s="19">
        <v>44</v>
      </c>
      <c r="D1098" s="3" t="s">
        <v>496</v>
      </c>
      <c r="E1098" s="3" t="s">
        <v>31</v>
      </c>
      <c r="F1098" s="23">
        <v>145764</v>
      </c>
      <c r="G1098" s="15">
        <v>2013</v>
      </c>
      <c r="H1098" s="15">
        <f>Table_7[[#This Row],[Listing Price (USD)]]/10000</f>
        <v>14.5764</v>
      </c>
      <c r="I1098" s="28">
        <f>Table_7[[#This Row],[Length 
(ft)]]</f>
        <v>44</v>
      </c>
      <c r="J1098" s="28">
        <f>2020-Table_7[[#This Row],[Year]]</f>
        <v>7</v>
      </c>
      <c r="K1098">
        <v>57472012426.685303</v>
      </c>
      <c r="L1098">
        <v>14198.753959474399</v>
      </c>
      <c r="M1098">
        <v>0.15481137456202801</v>
      </c>
      <c r="N1098">
        <v>-8.5803430210621805</v>
      </c>
      <c r="O1098">
        <v>40.03</v>
      </c>
      <c r="P1098">
        <v>1021</v>
      </c>
      <c r="Q1098">
        <v>58</v>
      </c>
      <c r="R1098">
        <v>14.37</v>
      </c>
    </row>
    <row r="1099" spans="1:18" x14ac:dyDescent="0.25">
      <c r="A1099" s="1" t="s">
        <v>177</v>
      </c>
      <c r="B1099" s="2">
        <v>445</v>
      </c>
      <c r="C1099" s="19">
        <v>44</v>
      </c>
      <c r="D1099" s="3" t="s">
        <v>496</v>
      </c>
      <c r="E1099" s="3" t="s">
        <v>31</v>
      </c>
      <c r="F1099" s="23">
        <v>145764</v>
      </c>
      <c r="G1099" s="15">
        <v>2012</v>
      </c>
      <c r="H1099" s="15">
        <f>Table_7[[#This Row],[Listing Price (USD)]]/10000</f>
        <v>14.5764</v>
      </c>
      <c r="I1099" s="28">
        <f>Table_7[[#This Row],[Length 
(ft)]]</f>
        <v>44</v>
      </c>
      <c r="J1099" s="28">
        <f>2020-Table_7[[#This Row],[Year]]</f>
        <v>8</v>
      </c>
      <c r="K1099">
        <v>57472012426.685303</v>
      </c>
      <c r="L1099">
        <v>14198.753959474399</v>
      </c>
      <c r="M1099">
        <v>0.15481137456202801</v>
      </c>
      <c r="N1099">
        <v>-8.5803430210621805</v>
      </c>
      <c r="O1099">
        <v>40.03</v>
      </c>
      <c r="P1099">
        <v>1021</v>
      </c>
      <c r="Q1099">
        <v>58</v>
      </c>
      <c r="R1099">
        <v>14.37</v>
      </c>
    </row>
    <row r="1100" spans="1:18" x14ac:dyDescent="0.25">
      <c r="A1100" s="1" t="s">
        <v>177</v>
      </c>
      <c r="B1100" s="2">
        <v>445</v>
      </c>
      <c r="C1100" s="19">
        <v>44</v>
      </c>
      <c r="D1100" s="3" t="s">
        <v>496</v>
      </c>
      <c r="E1100" s="3" t="s">
        <v>31</v>
      </c>
      <c r="F1100" s="23">
        <v>146735</v>
      </c>
      <c r="G1100" s="15">
        <v>2014</v>
      </c>
      <c r="H1100" s="15">
        <f>Table_7[[#This Row],[Listing Price (USD)]]/10000</f>
        <v>14.673500000000001</v>
      </c>
      <c r="I1100" s="28">
        <f>Table_7[[#This Row],[Length 
(ft)]]</f>
        <v>44</v>
      </c>
      <c r="J1100" s="28">
        <f>2020-Table_7[[#This Row],[Year]]</f>
        <v>6</v>
      </c>
      <c r="K1100">
        <v>57472012426.685303</v>
      </c>
      <c r="L1100">
        <v>14198.753959474399</v>
      </c>
      <c r="M1100">
        <v>0.15481137456202801</v>
      </c>
      <c r="N1100">
        <v>-8.5803430210621805</v>
      </c>
      <c r="O1100">
        <v>40.03</v>
      </c>
      <c r="P1100">
        <v>1021</v>
      </c>
      <c r="Q1100">
        <v>58</v>
      </c>
      <c r="R1100">
        <v>14.37</v>
      </c>
    </row>
    <row r="1101" spans="1:18" x14ac:dyDescent="0.25">
      <c r="A1101" s="1" t="s">
        <v>177</v>
      </c>
      <c r="B1101" s="2">
        <v>445</v>
      </c>
      <c r="C1101" s="19">
        <v>44</v>
      </c>
      <c r="D1101" s="3" t="s">
        <v>496</v>
      </c>
      <c r="E1101" s="3" t="s">
        <v>31</v>
      </c>
      <c r="F1101" s="23">
        <v>156696</v>
      </c>
      <c r="G1101" s="15">
        <v>2014</v>
      </c>
      <c r="H1101" s="15">
        <f>Table_7[[#This Row],[Listing Price (USD)]]/10000</f>
        <v>15.669600000000001</v>
      </c>
      <c r="I1101" s="28">
        <f>Table_7[[#This Row],[Length 
(ft)]]</f>
        <v>44</v>
      </c>
      <c r="J1101" s="28">
        <f>2020-Table_7[[#This Row],[Year]]</f>
        <v>6</v>
      </c>
      <c r="K1101">
        <v>57472012426.685303</v>
      </c>
      <c r="L1101">
        <v>14198.753959474399</v>
      </c>
      <c r="M1101">
        <v>0.15481137456202801</v>
      </c>
      <c r="N1101">
        <v>-8.5803430210621805</v>
      </c>
      <c r="O1101">
        <v>40.03</v>
      </c>
      <c r="P1101">
        <v>1021</v>
      </c>
      <c r="Q1101">
        <v>58</v>
      </c>
      <c r="R1101">
        <v>14.37</v>
      </c>
    </row>
    <row r="1102" spans="1:18" x14ac:dyDescent="0.25">
      <c r="A1102" s="1" t="s">
        <v>177</v>
      </c>
      <c r="B1102" s="2">
        <v>445</v>
      </c>
      <c r="C1102" s="19">
        <v>44</v>
      </c>
      <c r="D1102" s="3" t="s">
        <v>496</v>
      </c>
      <c r="E1102" s="3" t="s">
        <v>31</v>
      </c>
      <c r="F1102" s="23">
        <v>157911</v>
      </c>
      <c r="G1102" s="15">
        <v>2013</v>
      </c>
      <c r="H1102" s="15">
        <f>Table_7[[#This Row],[Listing Price (USD)]]/10000</f>
        <v>15.7911</v>
      </c>
      <c r="I1102" s="28">
        <f>Table_7[[#This Row],[Length 
(ft)]]</f>
        <v>44</v>
      </c>
      <c r="J1102" s="28">
        <f>2020-Table_7[[#This Row],[Year]]</f>
        <v>7</v>
      </c>
      <c r="K1102">
        <v>57472012426.685303</v>
      </c>
      <c r="L1102">
        <v>14198.753959474399</v>
      </c>
      <c r="M1102">
        <v>0.15481137456202801</v>
      </c>
      <c r="N1102">
        <v>-8.5803430210621805</v>
      </c>
      <c r="O1102">
        <v>40.03</v>
      </c>
      <c r="P1102">
        <v>1021</v>
      </c>
      <c r="Q1102">
        <v>58</v>
      </c>
      <c r="R1102">
        <v>14.37</v>
      </c>
    </row>
    <row r="1103" spans="1:18" x14ac:dyDescent="0.25">
      <c r="A1103" s="1" t="s">
        <v>177</v>
      </c>
      <c r="B1103" s="3">
        <v>445</v>
      </c>
      <c r="C1103" s="19">
        <v>44</v>
      </c>
      <c r="D1103" s="3" t="s">
        <v>497</v>
      </c>
      <c r="E1103" s="3" t="s">
        <v>558</v>
      </c>
      <c r="F1103" s="23">
        <v>169000</v>
      </c>
      <c r="G1103" s="15">
        <v>2012</v>
      </c>
      <c r="H1103" s="15">
        <f>Table_7[[#This Row],[Listing Price (USD)]]/10000</f>
        <v>16.899999999999999</v>
      </c>
      <c r="I1103" s="28">
        <f>Table_7[[#This Row],[Length 
(ft)]]</f>
        <v>44</v>
      </c>
      <c r="J1103" s="28">
        <f>2020-Table_7[[#This Row],[Year]]</f>
        <v>8</v>
      </c>
      <c r="K1103">
        <v>1190000000</v>
      </c>
      <c r="L1103">
        <v>28988.3</v>
      </c>
      <c r="M1103">
        <v>6.5</v>
      </c>
      <c r="N1103">
        <v>-6.6</v>
      </c>
      <c r="O1103">
        <v>40.03</v>
      </c>
      <c r="P1103">
        <v>1021</v>
      </c>
      <c r="Q1103">
        <v>58</v>
      </c>
      <c r="R1103">
        <v>14.37</v>
      </c>
    </row>
    <row r="1104" spans="1:18" x14ac:dyDescent="0.25">
      <c r="A1104" s="1" t="s">
        <v>177</v>
      </c>
      <c r="B1104" s="3">
        <v>445</v>
      </c>
      <c r="C1104" s="19">
        <v>44</v>
      </c>
      <c r="D1104" s="3" t="s">
        <v>497</v>
      </c>
      <c r="E1104" s="3" t="s">
        <v>377</v>
      </c>
      <c r="F1104" s="23">
        <v>176131</v>
      </c>
      <c r="G1104" s="15">
        <v>2013</v>
      </c>
      <c r="H1104" s="15">
        <f>Table_7[[#This Row],[Listing Price (USD)]]/10000</f>
        <v>17.613099999999999</v>
      </c>
      <c r="I1104" s="28">
        <f>Table_7[[#This Row],[Length 
(ft)]]</f>
        <v>44</v>
      </c>
      <c r="J1104" s="28">
        <f>2020-Table_7[[#This Row],[Year]]</f>
        <v>7</v>
      </c>
      <c r="K1104">
        <v>930371009830.08838</v>
      </c>
      <c r="L1104">
        <v>32045.28833705237</v>
      </c>
      <c r="M1104">
        <v>0.810222564232847</v>
      </c>
      <c r="N1104">
        <v>-6.18704127562025</v>
      </c>
      <c r="O1104">
        <v>40.03</v>
      </c>
      <c r="P1104">
        <v>1021</v>
      </c>
      <c r="Q1104">
        <v>58</v>
      </c>
      <c r="R1104">
        <v>14.37</v>
      </c>
    </row>
    <row r="1105" spans="1:18" x14ac:dyDescent="0.25">
      <c r="A1105" s="1" t="s">
        <v>177</v>
      </c>
      <c r="B1105" s="2">
        <v>445</v>
      </c>
      <c r="C1105" s="19">
        <v>44</v>
      </c>
      <c r="D1105" s="3" t="s">
        <v>496</v>
      </c>
      <c r="E1105" s="3" t="s">
        <v>24</v>
      </c>
      <c r="F1105" s="23">
        <v>181036</v>
      </c>
      <c r="G1105" s="15">
        <v>2011</v>
      </c>
      <c r="H1105" s="15">
        <f>Table_7[[#This Row],[Listing Price (USD)]]/10000</f>
        <v>18.1036</v>
      </c>
      <c r="I1105" s="28">
        <f>Table_7[[#This Row],[Length 
(ft)]]</f>
        <v>44</v>
      </c>
      <c r="J1105" s="28">
        <f>2020-Table_7[[#This Row],[Year]]</f>
        <v>9</v>
      </c>
      <c r="K1105">
        <v>1896755301518.1399</v>
      </c>
      <c r="L1105">
        <v>31911.0357890017</v>
      </c>
      <c r="M1105">
        <v>-0.13770757391656999</v>
      </c>
      <c r="N1105">
        <v>-9.0399534112288507</v>
      </c>
      <c r="O1105">
        <v>40.03</v>
      </c>
      <c r="P1105">
        <v>1021</v>
      </c>
      <c r="Q1105">
        <v>58</v>
      </c>
      <c r="R1105">
        <v>14.37</v>
      </c>
    </row>
    <row r="1106" spans="1:18" x14ac:dyDescent="0.25">
      <c r="A1106" s="1" t="s">
        <v>177</v>
      </c>
      <c r="B1106" s="2">
        <v>445</v>
      </c>
      <c r="C1106" s="19">
        <v>44</v>
      </c>
      <c r="D1106" s="3" t="s">
        <v>496</v>
      </c>
      <c r="E1106" s="3" t="s">
        <v>9</v>
      </c>
      <c r="F1106" s="23">
        <v>193186</v>
      </c>
      <c r="G1106" s="15">
        <v>2011</v>
      </c>
      <c r="H1106" s="15">
        <f>Table_7[[#This Row],[Listing Price (USD)]]/10000</f>
        <v>19.3186</v>
      </c>
      <c r="I1106" s="28">
        <f>Table_7[[#This Row],[Length 
(ft)]]</f>
        <v>44</v>
      </c>
      <c r="J1106" s="28">
        <f>2020-Table_7[[#This Row],[Year]]</f>
        <v>9</v>
      </c>
      <c r="K1106">
        <v>1276962685648.25</v>
      </c>
      <c r="L1106">
        <v>26959.675436732599</v>
      </c>
      <c r="M1106">
        <v>-0.32275301729970501</v>
      </c>
      <c r="N1106">
        <v>-11.3254383222864</v>
      </c>
      <c r="O1106">
        <v>40.03</v>
      </c>
      <c r="P1106">
        <v>1021</v>
      </c>
      <c r="Q1106">
        <v>58</v>
      </c>
      <c r="R1106">
        <v>14.37</v>
      </c>
    </row>
    <row r="1107" spans="1:18" x14ac:dyDescent="0.25">
      <c r="A1107" s="1" t="s">
        <v>177</v>
      </c>
      <c r="B1107" s="2">
        <v>445</v>
      </c>
      <c r="C1107" s="19">
        <v>44</v>
      </c>
      <c r="D1107" s="3" t="s">
        <v>496</v>
      </c>
      <c r="E1107" s="3" t="s">
        <v>9</v>
      </c>
      <c r="F1107" s="23">
        <v>203845</v>
      </c>
      <c r="G1107" s="15">
        <v>2012</v>
      </c>
      <c r="H1107" s="15">
        <f>Table_7[[#This Row],[Listing Price (USD)]]/10000</f>
        <v>20.384499999999999</v>
      </c>
      <c r="I1107" s="28">
        <f>Table_7[[#This Row],[Length 
(ft)]]</f>
        <v>44</v>
      </c>
      <c r="J1107" s="28">
        <f>2020-Table_7[[#This Row],[Year]]</f>
        <v>8</v>
      </c>
      <c r="K1107">
        <v>1276962685648.25</v>
      </c>
      <c r="L1107">
        <v>26959.675436732599</v>
      </c>
      <c r="M1107">
        <v>-0.32275301729970501</v>
      </c>
      <c r="N1107">
        <v>-11.3254383222864</v>
      </c>
      <c r="O1107">
        <v>40.03</v>
      </c>
      <c r="P1107">
        <v>1021</v>
      </c>
      <c r="Q1107">
        <v>58</v>
      </c>
      <c r="R1107">
        <v>14.37</v>
      </c>
    </row>
    <row r="1108" spans="1:18" x14ac:dyDescent="0.25">
      <c r="A1108" s="1" t="s">
        <v>177</v>
      </c>
      <c r="B1108" s="2">
        <v>445</v>
      </c>
      <c r="C1108" s="19">
        <v>44</v>
      </c>
      <c r="D1108" s="3" t="s">
        <v>496</v>
      </c>
      <c r="E1108" s="3" t="s">
        <v>3</v>
      </c>
      <c r="F1108" s="23">
        <v>212572</v>
      </c>
      <c r="G1108" s="15">
        <v>2012</v>
      </c>
      <c r="H1108" s="15">
        <f>Table_7[[#This Row],[Listing Price (USD)]]/10000</f>
        <v>21.257200000000001</v>
      </c>
      <c r="I1108" s="28">
        <f>Table_7[[#This Row],[Length 
(ft)]]</f>
        <v>44</v>
      </c>
      <c r="J1108" s="28">
        <f>2020-Table_7[[#This Row],[Year]]</f>
        <v>8</v>
      </c>
      <c r="K1108">
        <v>2639008701648.2598</v>
      </c>
      <c r="L1108">
        <v>39055.282928075401</v>
      </c>
      <c r="M1108">
        <v>0.47649885272508302</v>
      </c>
      <c r="N1108">
        <v>-7.7845864916787102</v>
      </c>
      <c r="O1108">
        <v>40.03</v>
      </c>
      <c r="P1108">
        <v>1021</v>
      </c>
      <c r="Q1108">
        <v>58</v>
      </c>
      <c r="R1108">
        <v>14.37</v>
      </c>
    </row>
    <row r="1109" spans="1:18" x14ac:dyDescent="0.25">
      <c r="A1109" s="1" t="s">
        <v>177</v>
      </c>
      <c r="B1109" s="2">
        <v>445</v>
      </c>
      <c r="C1109" s="19">
        <v>44</v>
      </c>
      <c r="D1109" s="3" t="s">
        <v>496</v>
      </c>
      <c r="E1109" s="3" t="s">
        <v>18</v>
      </c>
      <c r="F1109" s="23">
        <v>218402</v>
      </c>
      <c r="G1109" s="15">
        <v>2013</v>
      </c>
      <c r="H1109" s="15">
        <f>Table_7[[#This Row],[Listing Price (USD)]]/10000</f>
        <v>21.840199999999999</v>
      </c>
      <c r="I1109" s="28">
        <f>Table_7[[#This Row],[Length 
(ft)]]</f>
        <v>44</v>
      </c>
      <c r="J1109" s="28">
        <f>2020-Table_7[[#This Row],[Year]]</f>
        <v>7</v>
      </c>
      <c r="K1109">
        <v>188925995936.80701</v>
      </c>
      <c r="L1109">
        <v>17658.947301119199</v>
      </c>
      <c r="M1109">
        <v>-1.2479835558140799</v>
      </c>
      <c r="N1109">
        <v>-9.0040436420214593</v>
      </c>
      <c r="O1109">
        <v>40.03</v>
      </c>
      <c r="P1109">
        <v>1021</v>
      </c>
      <c r="Q1109">
        <v>58</v>
      </c>
      <c r="R1109">
        <v>14.37</v>
      </c>
    </row>
    <row r="1110" spans="1:18" x14ac:dyDescent="0.25">
      <c r="A1110" s="1" t="s">
        <v>177</v>
      </c>
      <c r="B1110" s="2">
        <v>445</v>
      </c>
      <c r="C1110" s="19">
        <v>44</v>
      </c>
      <c r="D1110" s="3" t="s">
        <v>496</v>
      </c>
      <c r="E1110" s="3" t="s">
        <v>9</v>
      </c>
      <c r="F1110" s="23">
        <v>229578</v>
      </c>
      <c r="G1110" s="15">
        <v>2013</v>
      </c>
      <c r="H1110" s="15">
        <f>Table_7[[#This Row],[Listing Price (USD)]]/10000</f>
        <v>22.957799999999999</v>
      </c>
      <c r="I1110" s="28">
        <f>Table_7[[#This Row],[Length 
(ft)]]</f>
        <v>44</v>
      </c>
      <c r="J1110" s="28">
        <f>2020-Table_7[[#This Row],[Year]]</f>
        <v>7</v>
      </c>
      <c r="K1110">
        <v>1276962685648.25</v>
      </c>
      <c r="L1110">
        <v>26959.675436732599</v>
      </c>
      <c r="M1110">
        <v>-0.32275301729970501</v>
      </c>
      <c r="N1110">
        <v>-11.3254383222864</v>
      </c>
      <c r="O1110">
        <v>40.03</v>
      </c>
      <c r="P1110">
        <v>1021</v>
      </c>
      <c r="Q1110">
        <v>58</v>
      </c>
      <c r="R1110">
        <v>14.37</v>
      </c>
    </row>
    <row r="1111" spans="1:18" x14ac:dyDescent="0.25">
      <c r="A1111" s="1" t="s">
        <v>177</v>
      </c>
      <c r="B1111" s="2">
        <v>445</v>
      </c>
      <c r="C1111" s="19">
        <v>44</v>
      </c>
      <c r="D1111" s="3" t="s">
        <v>496</v>
      </c>
      <c r="E1111" s="3" t="s">
        <v>22</v>
      </c>
      <c r="F1111" s="23">
        <v>241360</v>
      </c>
      <c r="G1111" s="15">
        <v>2012</v>
      </c>
      <c r="H1111" s="15">
        <f>Table_7[[#This Row],[Listing Price (USD)]]/10000</f>
        <v>24.135999999999999</v>
      </c>
      <c r="I1111" s="28">
        <f>Table_7[[#This Row],[Length 
(ft)]]</f>
        <v>44</v>
      </c>
      <c r="J1111" s="28">
        <f>2020-Table_7[[#This Row],[Year]]</f>
        <v>8</v>
      </c>
      <c r="K1111">
        <v>3889668895299.6201</v>
      </c>
      <c r="L1111">
        <v>46772.825350754501</v>
      </c>
      <c r="M1111">
        <v>0.50668988995327402</v>
      </c>
      <c r="N1111">
        <v>-3.6967887053804298</v>
      </c>
      <c r="O1111">
        <v>40.03</v>
      </c>
      <c r="P1111">
        <v>1021</v>
      </c>
      <c r="Q1111">
        <v>58</v>
      </c>
      <c r="R1111">
        <v>14.37</v>
      </c>
    </row>
    <row r="1112" spans="1:18" x14ac:dyDescent="0.25">
      <c r="A1112" s="1" t="s">
        <v>177</v>
      </c>
      <c r="B1112" s="2">
        <v>455</v>
      </c>
      <c r="C1112" s="19">
        <v>44</v>
      </c>
      <c r="D1112" s="3" t="s">
        <v>496</v>
      </c>
      <c r="E1112" s="3" t="s">
        <v>31</v>
      </c>
      <c r="F1112" s="23">
        <v>163962</v>
      </c>
      <c r="G1112" s="15">
        <v>2015</v>
      </c>
      <c r="H1112" s="15">
        <f>Table_7[[#This Row],[Listing Price (USD)]]/10000</f>
        <v>16.3962</v>
      </c>
      <c r="I1112" s="28">
        <f>Table_7[[#This Row],[Length 
(ft)]]</f>
        <v>44</v>
      </c>
      <c r="J1112" s="28">
        <f>2020-Table_7[[#This Row],[Year]]</f>
        <v>5</v>
      </c>
      <c r="K1112">
        <v>57472012426.685303</v>
      </c>
      <c r="L1112">
        <v>14198.753959474399</v>
      </c>
      <c r="M1112">
        <v>0.15481137456202801</v>
      </c>
      <c r="N1112">
        <v>-8.5803430210621805</v>
      </c>
      <c r="O1112">
        <v>40.03</v>
      </c>
      <c r="P1112">
        <v>1108.58</v>
      </c>
      <c r="Q1112">
        <v>58</v>
      </c>
      <c r="R1112">
        <v>14.37</v>
      </c>
    </row>
    <row r="1113" spans="1:18" x14ac:dyDescent="0.25">
      <c r="A1113" s="1" t="s">
        <v>177</v>
      </c>
      <c r="B1113" s="2">
        <v>455</v>
      </c>
      <c r="C1113" s="19">
        <v>44</v>
      </c>
      <c r="D1113" s="3" t="s">
        <v>496</v>
      </c>
      <c r="E1113" s="3" t="s">
        <v>31</v>
      </c>
      <c r="F1113" s="23">
        <v>166413</v>
      </c>
      <c r="G1113" s="15">
        <v>2015</v>
      </c>
      <c r="H1113" s="15">
        <f>Table_7[[#This Row],[Listing Price (USD)]]/10000</f>
        <v>16.641300000000001</v>
      </c>
      <c r="I1113" s="28">
        <f>Table_7[[#This Row],[Length 
(ft)]]</f>
        <v>44</v>
      </c>
      <c r="J1113" s="28">
        <f>2020-Table_7[[#This Row],[Year]]</f>
        <v>5</v>
      </c>
      <c r="K1113">
        <v>57472012426.685303</v>
      </c>
      <c r="L1113">
        <v>14198.753959474399</v>
      </c>
      <c r="M1113">
        <v>0.15481137456202801</v>
      </c>
      <c r="N1113">
        <v>-8.5803430210621805</v>
      </c>
      <c r="O1113">
        <v>40.03</v>
      </c>
      <c r="P1113">
        <v>1108.58</v>
      </c>
      <c r="Q1113">
        <v>58</v>
      </c>
      <c r="R1113">
        <v>14.37</v>
      </c>
    </row>
    <row r="1114" spans="1:18" x14ac:dyDescent="0.25">
      <c r="A1114" s="1" t="s">
        <v>177</v>
      </c>
      <c r="B1114" s="2">
        <v>455</v>
      </c>
      <c r="C1114" s="19">
        <v>44</v>
      </c>
      <c r="D1114" s="3" t="s">
        <v>496</v>
      </c>
      <c r="E1114" s="3" t="s">
        <v>31</v>
      </c>
      <c r="F1114" s="23">
        <v>174892</v>
      </c>
      <c r="G1114" s="15">
        <v>2015</v>
      </c>
      <c r="H1114" s="15">
        <f>Table_7[[#This Row],[Listing Price (USD)]]/10000</f>
        <v>17.4892</v>
      </c>
      <c r="I1114" s="28">
        <f>Table_7[[#This Row],[Length 
(ft)]]</f>
        <v>44</v>
      </c>
      <c r="J1114" s="28">
        <f>2020-Table_7[[#This Row],[Year]]</f>
        <v>5</v>
      </c>
      <c r="K1114">
        <v>57472012426.685303</v>
      </c>
      <c r="L1114">
        <v>14198.753959474399</v>
      </c>
      <c r="M1114">
        <v>0.15481137456202801</v>
      </c>
      <c r="N1114">
        <v>-8.5803430210621805</v>
      </c>
      <c r="O1114">
        <v>40.03</v>
      </c>
      <c r="P1114">
        <v>1108.58</v>
      </c>
      <c r="Q1114">
        <v>58</v>
      </c>
      <c r="R1114">
        <v>14.37</v>
      </c>
    </row>
    <row r="1115" spans="1:18" x14ac:dyDescent="0.25">
      <c r="A1115" s="1" t="s">
        <v>177</v>
      </c>
      <c r="B1115" s="2">
        <v>455</v>
      </c>
      <c r="C1115" s="19">
        <v>44</v>
      </c>
      <c r="D1115" s="3" t="s">
        <v>496</v>
      </c>
      <c r="E1115" s="3" t="s">
        <v>31</v>
      </c>
      <c r="F1115" s="23">
        <v>200484</v>
      </c>
      <c r="G1115" s="15">
        <v>2017</v>
      </c>
      <c r="H1115" s="15">
        <f>Table_7[[#This Row],[Listing Price (USD)]]/10000</f>
        <v>20.048400000000001</v>
      </c>
      <c r="I1115" s="28">
        <f>Table_7[[#This Row],[Length 
(ft)]]</f>
        <v>44</v>
      </c>
      <c r="J1115" s="28">
        <f>2020-Table_7[[#This Row],[Year]]</f>
        <v>3</v>
      </c>
      <c r="K1115">
        <v>57472012426.685303</v>
      </c>
      <c r="L1115">
        <v>14198.753959474399</v>
      </c>
      <c r="M1115">
        <v>0.15481137456202801</v>
      </c>
      <c r="N1115">
        <v>-8.5803430210621805</v>
      </c>
      <c r="O1115">
        <v>40.03</v>
      </c>
      <c r="P1115">
        <v>1108.58</v>
      </c>
      <c r="Q1115">
        <v>58</v>
      </c>
      <c r="R1115">
        <v>14.37</v>
      </c>
    </row>
    <row r="1116" spans="1:18" x14ac:dyDescent="0.25">
      <c r="A1116" s="1" t="s">
        <v>177</v>
      </c>
      <c r="B1116" s="2">
        <v>455</v>
      </c>
      <c r="C1116" s="19">
        <v>44</v>
      </c>
      <c r="D1116" s="3" t="s">
        <v>496</v>
      </c>
      <c r="E1116" s="3" t="s">
        <v>31</v>
      </c>
      <c r="F1116" s="23">
        <v>217401</v>
      </c>
      <c r="G1116" s="15">
        <v>2017</v>
      </c>
      <c r="H1116" s="15">
        <f>Table_7[[#This Row],[Listing Price (USD)]]/10000</f>
        <v>21.740100000000002</v>
      </c>
      <c r="I1116" s="28">
        <f>Table_7[[#This Row],[Length 
(ft)]]</f>
        <v>44</v>
      </c>
      <c r="J1116" s="28">
        <f>2020-Table_7[[#This Row],[Year]]</f>
        <v>3</v>
      </c>
      <c r="K1116">
        <v>57472012426.685303</v>
      </c>
      <c r="L1116">
        <v>14198.753959474399</v>
      </c>
      <c r="M1116">
        <v>0.15481137456202801</v>
      </c>
      <c r="N1116">
        <v>-8.5803430210621805</v>
      </c>
      <c r="O1116">
        <v>40.03</v>
      </c>
      <c r="P1116">
        <v>1108.58</v>
      </c>
      <c r="Q1116">
        <v>58</v>
      </c>
      <c r="R1116">
        <v>14.37</v>
      </c>
    </row>
    <row r="1117" spans="1:18" x14ac:dyDescent="0.25">
      <c r="A1117" s="1" t="s">
        <v>177</v>
      </c>
      <c r="B1117" s="2">
        <v>455</v>
      </c>
      <c r="C1117" s="19">
        <v>44</v>
      </c>
      <c r="D1117" s="3" t="s">
        <v>496</v>
      </c>
      <c r="E1117" s="3" t="s">
        <v>31</v>
      </c>
      <c r="F1117" s="23">
        <v>218616</v>
      </c>
      <c r="G1117" s="15">
        <v>2017</v>
      </c>
      <c r="H1117" s="15">
        <f>Table_7[[#This Row],[Listing Price (USD)]]/10000</f>
        <v>21.861599999999999</v>
      </c>
      <c r="I1117" s="28">
        <f>Table_7[[#This Row],[Length 
(ft)]]</f>
        <v>44</v>
      </c>
      <c r="J1117" s="28">
        <f>2020-Table_7[[#This Row],[Year]]</f>
        <v>3</v>
      </c>
      <c r="K1117">
        <v>57472012426.685303</v>
      </c>
      <c r="L1117">
        <v>14198.753959474399</v>
      </c>
      <c r="M1117">
        <v>0.15481137456202801</v>
      </c>
      <c r="N1117">
        <v>-8.5803430210621805</v>
      </c>
      <c r="O1117">
        <v>40.03</v>
      </c>
      <c r="P1117">
        <v>1108.58</v>
      </c>
      <c r="Q1117">
        <v>58</v>
      </c>
      <c r="R1117">
        <v>14.37</v>
      </c>
    </row>
    <row r="1118" spans="1:18" x14ac:dyDescent="0.25">
      <c r="A1118" s="1" t="s">
        <v>177</v>
      </c>
      <c r="B1118" s="2">
        <v>455</v>
      </c>
      <c r="C1118" s="19">
        <v>44</v>
      </c>
      <c r="D1118" s="3" t="s">
        <v>496</v>
      </c>
      <c r="E1118" s="3" t="s">
        <v>31</v>
      </c>
      <c r="F1118" s="23">
        <v>241725</v>
      </c>
      <c r="G1118" s="15">
        <v>2018</v>
      </c>
      <c r="H1118" s="15">
        <f>Table_7[[#This Row],[Listing Price (USD)]]/10000</f>
        <v>24.172499999999999</v>
      </c>
      <c r="I1118" s="28">
        <f>Table_7[[#This Row],[Length 
(ft)]]</f>
        <v>44</v>
      </c>
      <c r="J1118" s="28">
        <f>2020-Table_7[[#This Row],[Year]]</f>
        <v>2</v>
      </c>
      <c r="K1118">
        <v>57472012426.685303</v>
      </c>
      <c r="L1118">
        <v>14198.753959474399</v>
      </c>
      <c r="M1118">
        <v>0.15481137456202801</v>
      </c>
      <c r="N1118">
        <v>-8.5803430210621805</v>
      </c>
      <c r="O1118">
        <v>40.03</v>
      </c>
      <c r="P1118">
        <v>1108.58</v>
      </c>
      <c r="Q1118">
        <v>58</v>
      </c>
      <c r="R1118">
        <v>14.37</v>
      </c>
    </row>
    <row r="1119" spans="1:18" x14ac:dyDescent="0.25">
      <c r="A1119" s="1" t="s">
        <v>177</v>
      </c>
      <c r="B1119" s="2">
        <v>455</v>
      </c>
      <c r="C1119" s="19">
        <v>44</v>
      </c>
      <c r="D1119" s="3" t="s">
        <v>496</v>
      </c>
      <c r="E1119" s="3" t="s">
        <v>31</v>
      </c>
      <c r="F1119" s="23">
        <v>245335</v>
      </c>
      <c r="G1119" s="15">
        <v>2017</v>
      </c>
      <c r="H1119" s="15">
        <f>Table_7[[#This Row],[Listing Price (USD)]]/10000</f>
        <v>24.5335</v>
      </c>
      <c r="I1119" s="28">
        <f>Table_7[[#This Row],[Length 
(ft)]]</f>
        <v>44</v>
      </c>
      <c r="J1119" s="28">
        <f>2020-Table_7[[#This Row],[Year]]</f>
        <v>3</v>
      </c>
      <c r="K1119">
        <v>57472012426.685303</v>
      </c>
      <c r="L1119">
        <v>14198.753959474399</v>
      </c>
      <c r="M1119">
        <v>0.15481137456202801</v>
      </c>
      <c r="N1119">
        <v>-8.5803430210621805</v>
      </c>
      <c r="O1119">
        <v>40.03</v>
      </c>
      <c r="P1119">
        <v>1108.58</v>
      </c>
      <c r="Q1119">
        <v>58</v>
      </c>
      <c r="R1119">
        <v>14.37</v>
      </c>
    </row>
    <row r="1120" spans="1:18" x14ac:dyDescent="0.25">
      <c r="A1120" s="1" t="s">
        <v>177</v>
      </c>
      <c r="B1120" s="2">
        <v>455</v>
      </c>
      <c r="C1120" s="19">
        <v>44</v>
      </c>
      <c r="D1120" s="3" t="s">
        <v>496</v>
      </c>
      <c r="E1120" s="3" t="s">
        <v>31</v>
      </c>
      <c r="F1120" s="23">
        <v>245335</v>
      </c>
      <c r="G1120" s="15">
        <v>2017</v>
      </c>
      <c r="H1120" s="15">
        <f>Table_7[[#This Row],[Listing Price (USD)]]/10000</f>
        <v>24.5335</v>
      </c>
      <c r="I1120" s="28">
        <f>Table_7[[#This Row],[Length 
(ft)]]</f>
        <v>44</v>
      </c>
      <c r="J1120" s="28">
        <f>2020-Table_7[[#This Row],[Year]]</f>
        <v>3</v>
      </c>
      <c r="K1120">
        <v>57472012426.685303</v>
      </c>
      <c r="L1120">
        <v>14198.753959474399</v>
      </c>
      <c r="M1120">
        <v>0.15481137456202801</v>
      </c>
      <c r="N1120">
        <v>-8.5803430210621805</v>
      </c>
      <c r="O1120">
        <v>40.03</v>
      </c>
      <c r="P1120">
        <v>1108.58</v>
      </c>
      <c r="Q1120">
        <v>58</v>
      </c>
      <c r="R1120">
        <v>14.37</v>
      </c>
    </row>
    <row r="1121" spans="1:18" x14ac:dyDescent="0.25">
      <c r="A1121" s="1" t="s">
        <v>177</v>
      </c>
      <c r="B1121" s="2">
        <v>455</v>
      </c>
      <c r="C1121" s="19">
        <v>44</v>
      </c>
      <c r="D1121" s="3" t="s">
        <v>496</v>
      </c>
      <c r="E1121" s="3" t="s">
        <v>31</v>
      </c>
      <c r="F1121" s="23">
        <v>253837</v>
      </c>
      <c r="G1121" s="15">
        <v>2017</v>
      </c>
      <c r="H1121" s="15">
        <f>Table_7[[#This Row],[Listing Price (USD)]]/10000</f>
        <v>25.383700000000001</v>
      </c>
      <c r="I1121" s="28">
        <f>Table_7[[#This Row],[Length 
(ft)]]</f>
        <v>44</v>
      </c>
      <c r="J1121" s="28">
        <f>2020-Table_7[[#This Row],[Year]]</f>
        <v>3</v>
      </c>
      <c r="K1121">
        <v>57472012426.685303</v>
      </c>
      <c r="L1121">
        <v>14198.753959474399</v>
      </c>
      <c r="M1121">
        <v>0.15481137456202801</v>
      </c>
      <c r="N1121">
        <v>-8.5803430210621805</v>
      </c>
      <c r="O1121">
        <v>40.03</v>
      </c>
      <c r="P1121">
        <v>1108.58</v>
      </c>
      <c r="Q1121">
        <v>58</v>
      </c>
      <c r="R1121">
        <v>14.37</v>
      </c>
    </row>
    <row r="1122" spans="1:18" x14ac:dyDescent="0.25">
      <c r="A1122" s="1" t="s">
        <v>177</v>
      </c>
      <c r="B1122" s="2">
        <v>455</v>
      </c>
      <c r="C1122" s="19">
        <v>44</v>
      </c>
      <c r="D1122" s="3" t="s">
        <v>496</v>
      </c>
      <c r="E1122" s="3" t="s">
        <v>22</v>
      </c>
      <c r="F1122" s="23">
        <v>264804</v>
      </c>
      <c r="G1122" s="15">
        <v>2018</v>
      </c>
      <c r="H1122" s="15">
        <f>Table_7[[#This Row],[Listing Price (USD)]]/10000</f>
        <v>26.480399999999999</v>
      </c>
      <c r="I1122" s="28">
        <f>Table_7[[#This Row],[Length 
(ft)]]</f>
        <v>44</v>
      </c>
      <c r="J1122" s="28">
        <f>2020-Table_7[[#This Row],[Year]]</f>
        <v>2</v>
      </c>
      <c r="K1122">
        <v>3889668895299.6201</v>
      </c>
      <c r="L1122">
        <v>46772.825350754501</v>
      </c>
      <c r="M1122">
        <v>0.50668988995327402</v>
      </c>
      <c r="N1122">
        <v>-3.6967887053804298</v>
      </c>
      <c r="O1122">
        <v>40.03</v>
      </c>
      <c r="P1122">
        <v>1108.58</v>
      </c>
      <c r="Q1122">
        <v>58</v>
      </c>
      <c r="R1122">
        <v>14.37</v>
      </c>
    </row>
    <row r="1123" spans="1:18" x14ac:dyDescent="0.25">
      <c r="A1123" s="1" t="s">
        <v>177</v>
      </c>
      <c r="B1123" s="2">
        <v>455</v>
      </c>
      <c r="C1123" s="19">
        <v>44</v>
      </c>
      <c r="D1123" s="3" t="s">
        <v>496</v>
      </c>
      <c r="E1123" s="3" t="s">
        <v>31</v>
      </c>
      <c r="F1123" s="23">
        <v>265982</v>
      </c>
      <c r="G1123" s="15">
        <v>2017</v>
      </c>
      <c r="H1123" s="15">
        <f>Table_7[[#This Row],[Listing Price (USD)]]/10000</f>
        <v>26.598199999999999</v>
      </c>
      <c r="I1123" s="28">
        <f>Table_7[[#This Row],[Length 
(ft)]]</f>
        <v>44</v>
      </c>
      <c r="J1123" s="28">
        <f>2020-Table_7[[#This Row],[Year]]</f>
        <v>3</v>
      </c>
      <c r="K1123">
        <v>57472012426.685303</v>
      </c>
      <c r="L1123">
        <v>14198.753959474399</v>
      </c>
      <c r="M1123">
        <v>0.15481137456202801</v>
      </c>
      <c r="N1123">
        <v>-8.5803430210621805</v>
      </c>
      <c r="O1123">
        <v>40.03</v>
      </c>
      <c r="P1123">
        <v>1108.58</v>
      </c>
      <c r="Q1123">
        <v>58</v>
      </c>
      <c r="R1123">
        <v>14.37</v>
      </c>
    </row>
    <row r="1124" spans="1:18" x14ac:dyDescent="0.25">
      <c r="A1124" s="1" t="s">
        <v>177</v>
      </c>
      <c r="B1124" s="2">
        <v>455</v>
      </c>
      <c r="C1124" s="19">
        <v>44</v>
      </c>
      <c r="D1124" s="3" t="s">
        <v>496</v>
      </c>
      <c r="E1124" s="3" t="s">
        <v>176</v>
      </c>
      <c r="F1124" s="23">
        <v>278735</v>
      </c>
      <c r="G1124" s="15">
        <v>2015</v>
      </c>
      <c r="H1124" s="15">
        <f>Table_7[[#This Row],[Listing Price (USD)]]/10000</f>
        <v>27.8735</v>
      </c>
      <c r="I1124" s="28">
        <f>Table_7[[#This Row],[Length 
(ft)]]</f>
        <v>44</v>
      </c>
      <c r="J1124" s="28">
        <f>2020-Table_7[[#This Row],[Year]]</f>
        <v>5</v>
      </c>
      <c r="K1124">
        <v>25008448886.3507</v>
      </c>
      <c r="L1124">
        <v>28036.189453125</v>
      </c>
      <c r="M1124">
        <v>-0.638422797978907</v>
      </c>
      <c r="N1124">
        <v>-4.3724741857521501</v>
      </c>
      <c r="O1124">
        <v>40.03</v>
      </c>
      <c r="P1124">
        <v>1108.58</v>
      </c>
      <c r="Q1124">
        <v>58</v>
      </c>
      <c r="R1124">
        <v>14.37</v>
      </c>
    </row>
    <row r="1125" spans="1:18" x14ac:dyDescent="0.25">
      <c r="A1125" s="1" t="s">
        <v>177</v>
      </c>
      <c r="B1125" s="2">
        <v>455</v>
      </c>
      <c r="C1125" s="19">
        <v>44</v>
      </c>
      <c r="D1125" s="3" t="s">
        <v>496</v>
      </c>
      <c r="E1125" s="3" t="s">
        <v>9</v>
      </c>
      <c r="F1125" s="23">
        <v>291487</v>
      </c>
      <c r="G1125" s="15">
        <v>2018</v>
      </c>
      <c r="H1125" s="15">
        <f>Table_7[[#This Row],[Listing Price (USD)]]/10000</f>
        <v>29.148700000000002</v>
      </c>
      <c r="I1125" s="28">
        <f>Table_7[[#This Row],[Length 
(ft)]]</f>
        <v>44</v>
      </c>
      <c r="J1125" s="28">
        <f>2020-Table_7[[#This Row],[Year]]</f>
        <v>2</v>
      </c>
      <c r="K1125">
        <v>1276962685648.25</v>
      </c>
      <c r="L1125">
        <v>26959.675436732599</v>
      </c>
      <c r="M1125">
        <v>-0.32275301729970501</v>
      </c>
      <c r="N1125">
        <v>-11.3254383222864</v>
      </c>
      <c r="O1125">
        <v>40.03</v>
      </c>
      <c r="P1125">
        <v>1108.58</v>
      </c>
      <c r="Q1125">
        <v>58</v>
      </c>
      <c r="R1125">
        <v>14.37</v>
      </c>
    </row>
    <row r="1126" spans="1:18" x14ac:dyDescent="0.25">
      <c r="A1126" s="1" t="s">
        <v>177</v>
      </c>
      <c r="B1126" s="2">
        <v>455</v>
      </c>
      <c r="C1126" s="19">
        <v>44</v>
      </c>
      <c r="D1126" s="3" t="s">
        <v>496</v>
      </c>
      <c r="E1126" s="3" t="s">
        <v>24</v>
      </c>
      <c r="F1126" s="23">
        <v>297601</v>
      </c>
      <c r="G1126" s="15">
        <v>2016</v>
      </c>
      <c r="H1126" s="15">
        <f>Table_7[[#This Row],[Listing Price (USD)]]/10000</f>
        <v>29.760100000000001</v>
      </c>
      <c r="I1126" s="28">
        <f>Table_7[[#This Row],[Length 
(ft)]]</f>
        <v>44</v>
      </c>
      <c r="J1126" s="28">
        <f>2020-Table_7[[#This Row],[Year]]</f>
        <v>4</v>
      </c>
      <c r="K1126">
        <v>1896755301518.1399</v>
      </c>
      <c r="L1126">
        <v>31911.0357890017</v>
      </c>
      <c r="M1126">
        <v>-0.13770757391656999</v>
      </c>
      <c r="N1126">
        <v>-9.0399534112288507</v>
      </c>
      <c r="O1126">
        <v>40.03</v>
      </c>
      <c r="P1126">
        <v>1108.58</v>
      </c>
      <c r="Q1126">
        <v>58</v>
      </c>
      <c r="R1126">
        <v>14.37</v>
      </c>
    </row>
    <row r="1127" spans="1:18" x14ac:dyDescent="0.25">
      <c r="A1127" s="1" t="s">
        <v>177</v>
      </c>
      <c r="B1127" s="2">
        <v>455</v>
      </c>
      <c r="C1127" s="19">
        <v>44</v>
      </c>
      <c r="D1127" s="3" t="s">
        <v>496</v>
      </c>
      <c r="E1127" s="3" t="s">
        <v>31</v>
      </c>
      <c r="F1127" s="23">
        <v>300637</v>
      </c>
      <c r="G1127" s="15">
        <v>2017</v>
      </c>
      <c r="H1127" s="15">
        <f>Table_7[[#This Row],[Listing Price (USD)]]/10000</f>
        <v>30.063700000000001</v>
      </c>
      <c r="I1127" s="28">
        <f>Table_7[[#This Row],[Length 
(ft)]]</f>
        <v>44</v>
      </c>
      <c r="J1127" s="28">
        <f>2020-Table_7[[#This Row],[Year]]</f>
        <v>3</v>
      </c>
      <c r="K1127">
        <v>57472012426.685303</v>
      </c>
      <c r="L1127">
        <v>14198.753959474399</v>
      </c>
      <c r="M1127">
        <v>0.15481137456202801</v>
      </c>
      <c r="N1127">
        <v>-8.5803430210621805</v>
      </c>
      <c r="O1127">
        <v>40.03</v>
      </c>
      <c r="P1127">
        <v>1108.58</v>
      </c>
      <c r="Q1127">
        <v>58</v>
      </c>
      <c r="R1127">
        <v>14.37</v>
      </c>
    </row>
    <row r="1128" spans="1:18" x14ac:dyDescent="0.25">
      <c r="A1128" s="1" t="s">
        <v>177</v>
      </c>
      <c r="B1128" s="2">
        <v>455</v>
      </c>
      <c r="C1128" s="19">
        <v>44</v>
      </c>
      <c r="D1128" s="3" t="s">
        <v>496</v>
      </c>
      <c r="E1128" s="3" t="s">
        <v>31</v>
      </c>
      <c r="F1128" s="23">
        <v>317296</v>
      </c>
      <c r="G1128" s="15">
        <v>2017</v>
      </c>
      <c r="H1128" s="15">
        <f>Table_7[[#This Row],[Listing Price (USD)]]/10000</f>
        <v>31.729600000000001</v>
      </c>
      <c r="I1128" s="28">
        <f>Table_7[[#This Row],[Length 
(ft)]]</f>
        <v>44</v>
      </c>
      <c r="J1128" s="28">
        <f>2020-Table_7[[#This Row],[Year]]</f>
        <v>3</v>
      </c>
      <c r="K1128">
        <v>57472012426.685303</v>
      </c>
      <c r="L1128">
        <v>14198.753959474399</v>
      </c>
      <c r="M1128">
        <v>0.15481137456202801</v>
      </c>
      <c r="N1128">
        <v>-8.5803430210621805</v>
      </c>
      <c r="O1128">
        <v>40.03</v>
      </c>
      <c r="P1128">
        <v>1108.58</v>
      </c>
      <c r="Q1128">
        <v>58</v>
      </c>
      <c r="R1128">
        <v>14.37</v>
      </c>
    </row>
    <row r="1129" spans="1:18" x14ac:dyDescent="0.25">
      <c r="A1129" s="1" t="s">
        <v>177</v>
      </c>
      <c r="B1129" s="2">
        <v>455</v>
      </c>
      <c r="C1129" s="19">
        <v>44</v>
      </c>
      <c r="D1129" s="3" t="s">
        <v>496</v>
      </c>
      <c r="E1129" s="3" t="s">
        <v>9</v>
      </c>
      <c r="F1129" s="23">
        <v>321895</v>
      </c>
      <c r="G1129" s="15">
        <v>2017</v>
      </c>
      <c r="H1129" s="15">
        <f>Table_7[[#This Row],[Listing Price (USD)]]/10000</f>
        <v>32.189500000000002</v>
      </c>
      <c r="I1129" s="28">
        <f>Table_7[[#This Row],[Length 
(ft)]]</f>
        <v>44</v>
      </c>
      <c r="J1129" s="28">
        <f>2020-Table_7[[#This Row],[Year]]</f>
        <v>3</v>
      </c>
      <c r="K1129">
        <v>1276962685648.25</v>
      </c>
      <c r="L1129">
        <v>26959.675436732599</v>
      </c>
      <c r="M1129">
        <v>-0.32275301729970501</v>
      </c>
      <c r="N1129">
        <v>-11.3254383222864</v>
      </c>
      <c r="O1129">
        <v>40.03</v>
      </c>
      <c r="P1129">
        <v>1108.58</v>
      </c>
      <c r="Q1129">
        <v>58</v>
      </c>
      <c r="R1129">
        <v>14.37</v>
      </c>
    </row>
    <row r="1130" spans="1:18" x14ac:dyDescent="0.25">
      <c r="A1130" s="1" t="s">
        <v>177</v>
      </c>
      <c r="B1130" s="3">
        <v>455</v>
      </c>
      <c r="C1130" s="19">
        <v>44</v>
      </c>
      <c r="D1130" s="3" t="s">
        <v>495</v>
      </c>
      <c r="E1130" s="3" t="s">
        <v>515</v>
      </c>
      <c r="F1130" s="23">
        <v>329500</v>
      </c>
      <c r="G1130" s="15">
        <v>2017</v>
      </c>
      <c r="H1130" s="15">
        <f>Table_7[[#This Row],[Listing Price (USD)]]/10000</f>
        <v>32.950000000000003</v>
      </c>
      <c r="I1130" s="28">
        <f>Table_7[[#This Row],[Length 
(ft)]]</f>
        <v>44</v>
      </c>
      <c r="J1130" s="28">
        <f>2020-Table_7[[#This Row],[Year]]</f>
        <v>3</v>
      </c>
      <c r="K1130">
        <v>410675000000</v>
      </c>
      <c r="L1130">
        <v>66531.03</v>
      </c>
      <c r="M1130">
        <v>1.23</v>
      </c>
      <c r="N1130">
        <v>1.8</v>
      </c>
      <c r="O1130">
        <v>40.03</v>
      </c>
      <c r="P1130">
        <v>1108.58</v>
      </c>
      <c r="Q1130">
        <v>58</v>
      </c>
      <c r="R1130">
        <v>14.37</v>
      </c>
    </row>
    <row r="1131" spans="1:18" x14ac:dyDescent="0.25">
      <c r="A1131" s="1" t="s">
        <v>177</v>
      </c>
      <c r="B1131" s="2">
        <v>455</v>
      </c>
      <c r="C1131" s="19">
        <v>44</v>
      </c>
      <c r="D1131" s="3" t="s">
        <v>496</v>
      </c>
      <c r="E1131" s="3" t="s">
        <v>541</v>
      </c>
      <c r="F1131" s="23">
        <v>338900</v>
      </c>
      <c r="G1131" s="15">
        <v>2017</v>
      </c>
      <c r="H1131" s="15">
        <f>Table_7[[#This Row],[Listing Price (USD)]]/10000</f>
        <v>33.89</v>
      </c>
      <c r="I1131" s="28">
        <f>Table_7[[#This Row],[Length 
(ft)]]</f>
        <v>44</v>
      </c>
      <c r="J1131" s="28">
        <f>2020-Table_7[[#This Row],[Year]]</f>
        <v>3</v>
      </c>
      <c r="K1131">
        <v>425852281928.12097</v>
      </c>
      <c r="L1131">
        <v>85420.190855609704</v>
      </c>
      <c r="M1131">
        <v>-0.33458462542844403</v>
      </c>
      <c r="N1131">
        <v>6.1845380388162301</v>
      </c>
      <c r="O1131">
        <v>40.03</v>
      </c>
      <c r="P1131">
        <v>1108.58</v>
      </c>
      <c r="Q1131">
        <v>58</v>
      </c>
      <c r="R1131">
        <v>14.37</v>
      </c>
    </row>
    <row r="1132" spans="1:18" x14ac:dyDescent="0.25">
      <c r="A1132" s="1" t="s">
        <v>177</v>
      </c>
      <c r="B1132" s="2">
        <v>455</v>
      </c>
      <c r="C1132" s="19">
        <v>44</v>
      </c>
      <c r="D1132" s="3" t="s">
        <v>496</v>
      </c>
      <c r="E1132" s="3" t="s">
        <v>24</v>
      </c>
      <c r="F1132" s="23">
        <v>340115</v>
      </c>
      <c r="G1132" s="15">
        <v>2016</v>
      </c>
      <c r="H1132" s="15">
        <f>Table_7[[#This Row],[Listing Price (USD)]]/10000</f>
        <v>34.011499999999998</v>
      </c>
      <c r="I1132" s="28">
        <f>Table_7[[#This Row],[Length 
(ft)]]</f>
        <v>44</v>
      </c>
      <c r="J1132" s="28">
        <f>2020-Table_7[[#This Row],[Year]]</f>
        <v>4</v>
      </c>
      <c r="K1132">
        <v>1896755301518.1399</v>
      </c>
      <c r="L1132">
        <v>31911.0357890017</v>
      </c>
      <c r="M1132">
        <v>-0.13770757391656999</v>
      </c>
      <c r="N1132">
        <v>-9.0399534112288507</v>
      </c>
      <c r="O1132">
        <v>40.03</v>
      </c>
      <c r="P1132">
        <v>1108.58</v>
      </c>
      <c r="Q1132">
        <v>58</v>
      </c>
      <c r="R1132">
        <v>14.37</v>
      </c>
    </row>
    <row r="1133" spans="1:18" x14ac:dyDescent="0.25">
      <c r="A1133" s="1" t="s">
        <v>128</v>
      </c>
      <c r="B1133" s="2" t="s">
        <v>130</v>
      </c>
      <c r="C1133" s="19">
        <v>40</v>
      </c>
      <c r="D1133" s="3" t="s">
        <v>496</v>
      </c>
      <c r="E1133" s="3" t="s">
        <v>237</v>
      </c>
      <c r="F1133" s="23">
        <v>157951</v>
      </c>
      <c r="G1133" s="15">
        <v>2010</v>
      </c>
      <c r="H1133" s="15">
        <f>Table_7[[#This Row],[Listing Price (USD)]]/10000</f>
        <v>15.7951</v>
      </c>
      <c r="I1133" s="28">
        <f>Table_7[[#This Row],[Length 
(ft)]]</f>
        <v>40</v>
      </c>
      <c r="J1133" s="28">
        <f>2020-Table_7[[#This Row],[Year]]</f>
        <v>10</v>
      </c>
      <c r="K1133">
        <v>229031860520.77701</v>
      </c>
      <c r="L1133">
        <v>22242.406417972001</v>
      </c>
      <c r="M1133">
        <v>-1.2438329957616699E-2</v>
      </c>
      <c r="N1133">
        <v>-8.3005160422115107</v>
      </c>
      <c r="O1133">
        <v>35.299999999999997</v>
      </c>
      <c r="P1133">
        <v>1001.002</v>
      </c>
      <c r="Q1133">
        <v>58</v>
      </c>
      <c r="R1133">
        <v>12.76</v>
      </c>
    </row>
    <row r="1134" spans="1:18" x14ac:dyDescent="0.25">
      <c r="A1134" s="1" t="s">
        <v>128</v>
      </c>
      <c r="B1134" s="2" t="s">
        <v>569</v>
      </c>
      <c r="C1134" s="19">
        <v>40</v>
      </c>
      <c r="D1134" s="3" t="s">
        <v>496</v>
      </c>
      <c r="E1134" s="3" t="s">
        <v>24</v>
      </c>
      <c r="F1134" s="23">
        <v>163984</v>
      </c>
      <c r="G1134" s="15">
        <v>2011</v>
      </c>
      <c r="H1134" s="15">
        <f>Table_7[[#This Row],[Listing Price (USD)]]/10000</f>
        <v>16.398399999999999</v>
      </c>
      <c r="I1134" s="28">
        <f>Table_7[[#This Row],[Length 
(ft)]]</f>
        <v>40</v>
      </c>
      <c r="J1134" s="28">
        <f>2020-Table_7[[#This Row],[Year]]</f>
        <v>9</v>
      </c>
      <c r="K1134">
        <v>1896755301518.1399</v>
      </c>
      <c r="L1134">
        <v>31911.0357890017</v>
      </c>
      <c r="M1134">
        <v>-0.13770757391656999</v>
      </c>
      <c r="N1134">
        <v>-9.0399534112288507</v>
      </c>
      <c r="O1134">
        <v>35.299999999999997</v>
      </c>
      <c r="P1134">
        <v>1001.002</v>
      </c>
      <c r="Q1134">
        <v>58</v>
      </c>
      <c r="R1134">
        <v>12.76</v>
      </c>
    </row>
    <row r="1135" spans="1:18" x14ac:dyDescent="0.25">
      <c r="A1135" s="1" t="s">
        <v>128</v>
      </c>
      <c r="B1135" s="2" t="s">
        <v>569</v>
      </c>
      <c r="C1135" s="19">
        <v>40</v>
      </c>
      <c r="D1135" s="3" t="s">
        <v>497</v>
      </c>
      <c r="E1135" s="3" t="s">
        <v>556</v>
      </c>
      <c r="F1135" s="23">
        <v>179000</v>
      </c>
      <c r="G1135" s="15">
        <v>2013</v>
      </c>
      <c r="H1135" s="15">
        <f>Table_7[[#This Row],[Listing Price (USD)]]/10000</f>
        <v>17.899999999999999</v>
      </c>
      <c r="I1135" s="28">
        <f>Table_7[[#This Row],[Length 
(ft)]]</f>
        <v>40</v>
      </c>
      <c r="J1135" s="28">
        <f>2020-Table_7[[#This Row],[Year]]</f>
        <v>7</v>
      </c>
      <c r="K1135">
        <v>884525926</v>
      </c>
      <c r="M1135">
        <v>3</v>
      </c>
      <c r="N1135">
        <v>-14.5</v>
      </c>
      <c r="O1135">
        <v>35.299999999999997</v>
      </c>
      <c r="P1135">
        <v>1001.002</v>
      </c>
      <c r="Q1135">
        <v>58</v>
      </c>
      <c r="R1135">
        <v>12.76</v>
      </c>
    </row>
    <row r="1136" spans="1:18" x14ac:dyDescent="0.25">
      <c r="A1136" s="1" t="s">
        <v>128</v>
      </c>
      <c r="B1136" s="2" t="s">
        <v>569</v>
      </c>
      <c r="C1136" s="19">
        <v>40</v>
      </c>
      <c r="D1136" s="3" t="s">
        <v>496</v>
      </c>
      <c r="E1136" s="3" t="s">
        <v>237</v>
      </c>
      <c r="F1136" s="23">
        <v>190707</v>
      </c>
      <c r="G1136" s="15">
        <v>2010</v>
      </c>
      <c r="H1136" s="15">
        <f>Table_7[[#This Row],[Listing Price (USD)]]/10000</f>
        <v>19.070699999999999</v>
      </c>
      <c r="I1136" s="28">
        <f>Table_7[[#This Row],[Length 
(ft)]]</f>
        <v>40</v>
      </c>
      <c r="J1136" s="28">
        <f>2020-Table_7[[#This Row],[Year]]</f>
        <v>10</v>
      </c>
      <c r="K1136">
        <v>229031860520.77701</v>
      </c>
      <c r="L1136">
        <v>22242.406417972001</v>
      </c>
      <c r="M1136">
        <v>-1.2438329957616699E-2</v>
      </c>
      <c r="N1136">
        <v>-8.3005160422115107</v>
      </c>
      <c r="O1136">
        <v>35.299999999999997</v>
      </c>
      <c r="P1136">
        <v>1001.002</v>
      </c>
      <c r="Q1136">
        <v>58</v>
      </c>
      <c r="R1136">
        <v>12.76</v>
      </c>
    </row>
    <row r="1137" spans="1:18" x14ac:dyDescent="0.25">
      <c r="A1137" s="1" t="s">
        <v>164</v>
      </c>
      <c r="B1137" s="2" t="s">
        <v>169</v>
      </c>
      <c r="C1137" s="19">
        <v>43</v>
      </c>
      <c r="D1137" s="3" t="s">
        <v>496</v>
      </c>
      <c r="E1137" s="3" t="s">
        <v>24</v>
      </c>
      <c r="F1137" s="23">
        <v>370482</v>
      </c>
      <c r="G1137" s="15">
        <v>2017</v>
      </c>
      <c r="H1137" s="15">
        <f>Table_7[[#This Row],[Listing Price (USD)]]/10000</f>
        <v>37.048200000000001</v>
      </c>
      <c r="I1137" s="28">
        <f>Table_7[[#This Row],[Length 
(ft)]]</f>
        <v>43</v>
      </c>
      <c r="J1137" s="28">
        <f>2020-Table_7[[#This Row],[Year]]</f>
        <v>3</v>
      </c>
      <c r="K1137">
        <v>1896755301518.1399</v>
      </c>
      <c r="L1137">
        <v>31911.0357890017</v>
      </c>
      <c r="M1137">
        <v>-0.13770757391656999</v>
      </c>
      <c r="N1137">
        <v>-9.0399534112288507</v>
      </c>
      <c r="O1137">
        <v>38.39</v>
      </c>
      <c r="P1137">
        <v>1129.002</v>
      </c>
      <c r="Q1137">
        <v>58</v>
      </c>
      <c r="R1137">
        <v>13.12</v>
      </c>
    </row>
    <row r="1138" spans="1:18" x14ac:dyDescent="0.25">
      <c r="A1138" s="1" t="s">
        <v>244</v>
      </c>
      <c r="B1138" s="3" t="s">
        <v>245</v>
      </c>
      <c r="C1138" s="19">
        <v>46</v>
      </c>
      <c r="D1138" s="3" t="s">
        <v>495</v>
      </c>
      <c r="E1138" s="3" t="s">
        <v>499</v>
      </c>
      <c r="F1138" s="23">
        <v>285000</v>
      </c>
      <c r="G1138" s="15">
        <v>2014</v>
      </c>
      <c r="H1138" s="15">
        <f>Table_7[[#This Row],[Listing Price (USD)]]/10000</f>
        <v>28.5</v>
      </c>
      <c r="I1138" s="28">
        <f>Table_7[[#This Row],[Length 
(ft)]]</f>
        <v>46</v>
      </c>
      <c r="J1138" s="28">
        <f>2020-Table_7[[#This Row],[Year]]</f>
        <v>6</v>
      </c>
      <c r="K1138">
        <v>212540000000</v>
      </c>
      <c r="L1138">
        <v>76778.559999999998</v>
      </c>
      <c r="M1138">
        <v>1.23</v>
      </c>
      <c r="N1138">
        <v>2.2000000000000002</v>
      </c>
      <c r="O1138">
        <v>37.42</v>
      </c>
      <c r="P1138">
        <v>884.00199999999995</v>
      </c>
      <c r="Q1138">
        <v>58</v>
      </c>
      <c r="R1138">
        <v>14.17</v>
      </c>
    </row>
    <row r="1139" spans="1:18" x14ac:dyDescent="0.25">
      <c r="A1139" s="1" t="s">
        <v>244</v>
      </c>
      <c r="B1139" s="2" t="s">
        <v>245</v>
      </c>
      <c r="C1139" s="19">
        <v>46</v>
      </c>
      <c r="D1139" s="3" t="s">
        <v>496</v>
      </c>
      <c r="E1139" s="3" t="s">
        <v>22</v>
      </c>
      <c r="F1139" s="23">
        <v>358335</v>
      </c>
      <c r="G1139" s="15">
        <v>2009</v>
      </c>
      <c r="H1139" s="15">
        <f>Table_7[[#This Row],[Listing Price (USD)]]/10000</f>
        <v>35.833500000000001</v>
      </c>
      <c r="I1139" s="28">
        <f>Table_7[[#This Row],[Length 
(ft)]]</f>
        <v>46</v>
      </c>
      <c r="J1139" s="28">
        <f>2020-Table_7[[#This Row],[Year]]</f>
        <v>11</v>
      </c>
      <c r="K1139">
        <v>3889668895299.6201</v>
      </c>
      <c r="L1139">
        <v>46772.825350754501</v>
      </c>
      <c r="M1139">
        <v>0.50668988995327402</v>
      </c>
      <c r="N1139">
        <v>-3.6967887053804298</v>
      </c>
      <c r="O1139">
        <v>37.42</v>
      </c>
      <c r="P1139">
        <v>884.00199999999995</v>
      </c>
      <c r="Q1139">
        <v>58</v>
      </c>
      <c r="R1139">
        <v>14.17</v>
      </c>
    </row>
    <row r="1140" spans="1:18" x14ac:dyDescent="0.25">
      <c r="A1140" s="1" t="s">
        <v>296</v>
      </c>
      <c r="B1140" s="2" t="s">
        <v>298</v>
      </c>
      <c r="C1140" s="19">
        <v>40</v>
      </c>
      <c r="D1140" s="3" t="s">
        <v>496</v>
      </c>
      <c r="E1140" s="3" t="s">
        <v>9</v>
      </c>
      <c r="F1140" s="23">
        <v>132436</v>
      </c>
      <c r="G1140" s="15">
        <v>2005</v>
      </c>
      <c r="H1140" s="15">
        <f>Table_7[[#This Row],[Listing Price (USD)]]/10000</f>
        <v>13.243600000000001</v>
      </c>
      <c r="I1140" s="28">
        <f>Table_7[[#This Row],[Length 
(ft)]]</f>
        <v>40</v>
      </c>
      <c r="J1140" s="28">
        <f>2020-Table_7[[#This Row],[Year]]</f>
        <v>15</v>
      </c>
      <c r="K1140">
        <v>1276962685648.25</v>
      </c>
      <c r="L1140">
        <v>26959.675436732599</v>
      </c>
      <c r="M1140">
        <v>-0.32275301729970501</v>
      </c>
      <c r="N1140">
        <v>-11.3254383222864</v>
      </c>
      <c r="O1140">
        <v>36.450000000000003</v>
      </c>
      <c r="P1140">
        <v>824.00199999999995</v>
      </c>
      <c r="Q1140">
        <v>58</v>
      </c>
      <c r="R1140">
        <v>12.63</v>
      </c>
    </row>
    <row r="1141" spans="1:18" x14ac:dyDescent="0.25">
      <c r="A1141" s="1" t="s">
        <v>296</v>
      </c>
      <c r="B1141" s="3" t="s">
        <v>298</v>
      </c>
      <c r="C1141" s="19">
        <v>40</v>
      </c>
      <c r="D1141" s="3" t="s">
        <v>497</v>
      </c>
      <c r="E1141" s="3" t="s">
        <v>481</v>
      </c>
      <c r="F1141" s="23">
        <v>139696</v>
      </c>
      <c r="G1141" s="15">
        <v>2005</v>
      </c>
      <c r="H1141" s="15">
        <f>Table_7[[#This Row],[Listing Price (USD)]]/10000</f>
        <v>13.9696</v>
      </c>
      <c r="I1141" s="28">
        <f>Table_7[[#This Row],[Length 
(ft)]]</f>
        <v>40</v>
      </c>
      <c r="J1141" s="28">
        <f>2020-Table_7[[#This Row],[Year]]</f>
        <v>15</v>
      </c>
      <c r="K1141">
        <v>53977000000</v>
      </c>
      <c r="L1141">
        <v>12569.1715435651</v>
      </c>
      <c r="M1141">
        <v>-1.55027540803759</v>
      </c>
      <c r="N1141">
        <v>-17.944893597249301</v>
      </c>
      <c r="O1141">
        <v>36.450000000000003</v>
      </c>
      <c r="P1141">
        <v>824.00199999999995</v>
      </c>
      <c r="Q1141">
        <v>58</v>
      </c>
      <c r="R1141">
        <v>12.63</v>
      </c>
    </row>
    <row r="1142" spans="1:18" x14ac:dyDescent="0.25">
      <c r="A1142" s="1" t="s">
        <v>296</v>
      </c>
      <c r="B1142" s="3" t="s">
        <v>298</v>
      </c>
      <c r="C1142" s="19">
        <v>40</v>
      </c>
      <c r="D1142" s="3" t="s">
        <v>497</v>
      </c>
      <c r="E1142" s="3" t="s">
        <v>481</v>
      </c>
      <c r="F1142" s="23">
        <v>145817</v>
      </c>
      <c r="G1142" s="15">
        <v>2005</v>
      </c>
      <c r="H1142" s="15">
        <f>Table_7[[#This Row],[Listing Price (USD)]]/10000</f>
        <v>14.5817</v>
      </c>
      <c r="I1142" s="28">
        <f>Table_7[[#This Row],[Length 
(ft)]]</f>
        <v>40</v>
      </c>
      <c r="J1142" s="28">
        <f>2020-Table_7[[#This Row],[Year]]</f>
        <v>15</v>
      </c>
      <c r="K1142">
        <v>53977000000</v>
      </c>
      <c r="L1142">
        <v>12569.1715435651</v>
      </c>
      <c r="M1142">
        <v>-1.55027540803759</v>
      </c>
      <c r="N1142">
        <v>-17.944893597249301</v>
      </c>
      <c r="O1142">
        <v>36.450000000000003</v>
      </c>
      <c r="P1142">
        <v>824.00199999999995</v>
      </c>
      <c r="Q1142">
        <v>58</v>
      </c>
      <c r="R1142">
        <v>12.63</v>
      </c>
    </row>
    <row r="1143" spans="1:18" x14ac:dyDescent="0.25">
      <c r="A1143" s="1" t="s">
        <v>296</v>
      </c>
      <c r="B1143" s="3" t="s">
        <v>298</v>
      </c>
      <c r="C1143" s="19">
        <v>40</v>
      </c>
      <c r="D1143" s="3" t="s">
        <v>497</v>
      </c>
      <c r="E1143" s="3" t="s">
        <v>481</v>
      </c>
      <c r="F1143" s="23">
        <v>146196</v>
      </c>
      <c r="G1143" s="15">
        <v>2005</v>
      </c>
      <c r="H1143" s="15">
        <f>Table_7[[#This Row],[Listing Price (USD)]]/10000</f>
        <v>14.6196</v>
      </c>
      <c r="I1143" s="28">
        <f>Table_7[[#This Row],[Length 
(ft)]]</f>
        <v>40</v>
      </c>
      <c r="J1143" s="28">
        <f>2020-Table_7[[#This Row],[Year]]</f>
        <v>15</v>
      </c>
      <c r="K1143">
        <v>53977000000</v>
      </c>
      <c r="L1143">
        <v>12569.1715435651</v>
      </c>
      <c r="M1143">
        <v>-1.55027540803759</v>
      </c>
      <c r="N1143">
        <v>-17.944893597249301</v>
      </c>
      <c r="O1143">
        <v>36.450000000000003</v>
      </c>
      <c r="P1143">
        <v>824.00199999999995</v>
      </c>
      <c r="Q1143">
        <v>58</v>
      </c>
      <c r="R1143">
        <v>12.63</v>
      </c>
    </row>
    <row r="1144" spans="1:18" x14ac:dyDescent="0.25">
      <c r="A1144" s="1" t="s">
        <v>296</v>
      </c>
      <c r="B1144" s="2" t="s">
        <v>298</v>
      </c>
      <c r="C1144" s="19">
        <v>40</v>
      </c>
      <c r="D1144" s="3" t="s">
        <v>496</v>
      </c>
      <c r="E1144" s="3" t="s">
        <v>3</v>
      </c>
      <c r="F1144" s="23">
        <v>151837</v>
      </c>
      <c r="G1144" s="15">
        <v>2005</v>
      </c>
      <c r="H1144" s="15">
        <f>Table_7[[#This Row],[Listing Price (USD)]]/10000</f>
        <v>15.1837</v>
      </c>
      <c r="I1144" s="28">
        <f>Table_7[[#This Row],[Length 
(ft)]]</f>
        <v>40</v>
      </c>
      <c r="J1144" s="28">
        <f>2020-Table_7[[#This Row],[Year]]</f>
        <v>15</v>
      </c>
      <c r="K1144">
        <v>2639008701648.2598</v>
      </c>
      <c r="L1144">
        <v>39055.282928075401</v>
      </c>
      <c r="M1144">
        <v>0.47649885272508302</v>
      </c>
      <c r="N1144">
        <v>-7.7845864916787102</v>
      </c>
      <c r="O1144">
        <v>36.450000000000003</v>
      </c>
      <c r="P1144">
        <v>824.00199999999995</v>
      </c>
      <c r="Q1144">
        <v>58</v>
      </c>
      <c r="R1144">
        <v>12.63</v>
      </c>
    </row>
    <row r="1145" spans="1:18" x14ac:dyDescent="0.25">
      <c r="A1145" s="1" t="s">
        <v>296</v>
      </c>
      <c r="B1145" s="2" t="s">
        <v>298</v>
      </c>
      <c r="C1145" s="19">
        <v>40</v>
      </c>
      <c r="D1145" s="3" t="s">
        <v>496</v>
      </c>
      <c r="E1145" s="3" t="s">
        <v>3</v>
      </c>
      <c r="F1145" s="23">
        <v>151876</v>
      </c>
      <c r="G1145" s="15">
        <v>2005</v>
      </c>
      <c r="H1145" s="15">
        <f>Table_7[[#This Row],[Listing Price (USD)]]/10000</f>
        <v>15.1876</v>
      </c>
      <c r="I1145" s="28">
        <f>Table_7[[#This Row],[Length 
(ft)]]</f>
        <v>40</v>
      </c>
      <c r="J1145" s="28">
        <f>2020-Table_7[[#This Row],[Year]]</f>
        <v>15</v>
      </c>
      <c r="K1145">
        <v>2639008701648.2598</v>
      </c>
      <c r="L1145">
        <v>39055.282928075401</v>
      </c>
      <c r="M1145">
        <v>0.47649885272508302</v>
      </c>
      <c r="N1145">
        <v>-7.7845864916787102</v>
      </c>
      <c r="O1145">
        <v>36.450000000000003</v>
      </c>
      <c r="P1145">
        <v>824.00199999999995</v>
      </c>
      <c r="Q1145">
        <v>58</v>
      </c>
      <c r="R1145">
        <v>12.63</v>
      </c>
    </row>
    <row r="1146" spans="1:18" x14ac:dyDescent="0.25">
      <c r="A1146" s="1" t="s">
        <v>296</v>
      </c>
      <c r="B1146" s="2" t="s">
        <v>298</v>
      </c>
      <c r="C1146" s="19">
        <v>40</v>
      </c>
      <c r="D1146" s="3" t="s">
        <v>496</v>
      </c>
      <c r="E1146" s="3" t="s">
        <v>3</v>
      </c>
      <c r="F1146" s="23">
        <v>170057</v>
      </c>
      <c r="G1146" s="15">
        <v>2006</v>
      </c>
      <c r="H1146" s="15">
        <f>Table_7[[#This Row],[Listing Price (USD)]]/10000</f>
        <v>17.005700000000001</v>
      </c>
      <c r="I1146" s="28">
        <f>Table_7[[#This Row],[Length 
(ft)]]</f>
        <v>40</v>
      </c>
      <c r="J1146" s="28">
        <f>2020-Table_7[[#This Row],[Year]]</f>
        <v>14</v>
      </c>
      <c r="K1146">
        <v>2639008701648.2598</v>
      </c>
      <c r="L1146">
        <v>39055.282928075401</v>
      </c>
      <c r="M1146">
        <v>0.47649885272508302</v>
      </c>
      <c r="N1146">
        <v>-7.7845864916787102</v>
      </c>
      <c r="O1146">
        <v>36.450000000000003</v>
      </c>
      <c r="P1146">
        <v>824.00199999999995</v>
      </c>
      <c r="Q1146">
        <v>58</v>
      </c>
      <c r="R1146">
        <v>12.63</v>
      </c>
    </row>
    <row r="1147" spans="1:18" x14ac:dyDescent="0.25">
      <c r="A1147" s="1" t="s">
        <v>296</v>
      </c>
      <c r="B1147" s="2" t="s">
        <v>298</v>
      </c>
      <c r="C1147" s="19">
        <v>40</v>
      </c>
      <c r="D1147" s="3" t="s">
        <v>496</v>
      </c>
      <c r="E1147" s="3" t="s">
        <v>3</v>
      </c>
      <c r="F1147" s="23">
        <v>212383</v>
      </c>
      <c r="G1147" s="15">
        <v>2008</v>
      </c>
      <c r="H1147" s="15">
        <f>Table_7[[#This Row],[Listing Price (USD)]]/10000</f>
        <v>21.238299999999999</v>
      </c>
      <c r="I1147" s="28">
        <f>Table_7[[#This Row],[Length 
(ft)]]</f>
        <v>40</v>
      </c>
      <c r="J1147" s="28">
        <f>2020-Table_7[[#This Row],[Year]]</f>
        <v>12</v>
      </c>
      <c r="K1147">
        <v>2639008701648.2598</v>
      </c>
      <c r="L1147">
        <v>39055.282928075401</v>
      </c>
      <c r="M1147">
        <v>0.47649885272508302</v>
      </c>
      <c r="N1147">
        <v>-7.7845864916787102</v>
      </c>
      <c r="O1147">
        <v>36.450000000000003</v>
      </c>
      <c r="P1147">
        <v>824.00199999999995</v>
      </c>
      <c r="Q1147">
        <v>58</v>
      </c>
      <c r="R1147">
        <v>12.63</v>
      </c>
    </row>
    <row r="1148" spans="1:18" x14ac:dyDescent="0.25">
      <c r="A1148" s="1" t="s">
        <v>45</v>
      </c>
      <c r="B1148" s="3" t="s">
        <v>323</v>
      </c>
      <c r="C1148" s="19">
        <v>39</v>
      </c>
      <c r="D1148" s="3" t="s">
        <v>495</v>
      </c>
      <c r="E1148" s="3" t="s">
        <v>333</v>
      </c>
      <c r="F1148" s="23">
        <v>72900</v>
      </c>
      <c r="G1148" s="15">
        <v>2005</v>
      </c>
      <c r="H1148" s="15">
        <f>Table_7[[#This Row],[Listing Price (USD)]]/10000</f>
        <v>7.29</v>
      </c>
      <c r="I1148" s="28">
        <f>Table_7[[#This Row],[Length 
(ft)]]</f>
        <v>39</v>
      </c>
      <c r="J1148" s="28">
        <f>2020-Table_7[[#This Row],[Year]]</f>
        <v>15</v>
      </c>
      <c r="K1148">
        <v>1106036000000</v>
      </c>
      <c r="L1148">
        <v>51276.72</v>
      </c>
      <c r="M1148">
        <v>1.23</v>
      </c>
      <c r="N1148">
        <v>2.9</v>
      </c>
      <c r="O1148">
        <v>35</v>
      </c>
      <c r="P1148">
        <v>639</v>
      </c>
      <c r="Q1148">
        <v>58</v>
      </c>
      <c r="R1148">
        <v>12.96</v>
      </c>
    </row>
    <row r="1149" spans="1:18" x14ac:dyDescent="0.25">
      <c r="A1149" s="1" t="s">
        <v>45</v>
      </c>
      <c r="B1149" s="3" t="s">
        <v>323</v>
      </c>
      <c r="C1149" s="19">
        <v>39</v>
      </c>
      <c r="D1149" s="3" t="s">
        <v>497</v>
      </c>
      <c r="E1149" s="3" t="s">
        <v>498</v>
      </c>
      <c r="F1149" s="23">
        <v>99000</v>
      </c>
      <c r="G1149" s="15">
        <v>2005</v>
      </c>
      <c r="H1149" s="15">
        <f>Table_7[[#This Row],[Listing Price (USD)]]/10000</f>
        <v>9.9</v>
      </c>
      <c r="I1149" s="28">
        <f>Table_7[[#This Row],[Length 
(ft)]]</f>
        <v>39</v>
      </c>
      <c r="J1149" s="28">
        <f>2020-Table_7[[#This Row],[Year]]</f>
        <v>15</v>
      </c>
      <c r="K1149">
        <v>1090515389749.41</v>
      </c>
      <c r="L1149">
        <v>8655.0006820680301</v>
      </c>
      <c r="M1149">
        <v>3.3968341556999899</v>
      </c>
      <c r="N1149">
        <v>-7.9879123401474903</v>
      </c>
      <c r="O1149">
        <v>35</v>
      </c>
      <c r="P1149">
        <v>639</v>
      </c>
      <c r="Q1149">
        <v>58</v>
      </c>
      <c r="R1149">
        <v>12.96</v>
      </c>
    </row>
    <row r="1150" spans="1:18" x14ac:dyDescent="0.25">
      <c r="A1150" s="1" t="s">
        <v>45</v>
      </c>
      <c r="B1150" s="3" t="s">
        <v>323</v>
      </c>
      <c r="C1150" s="19">
        <v>39</v>
      </c>
      <c r="D1150" s="3" t="s">
        <v>495</v>
      </c>
      <c r="E1150" s="3" t="s">
        <v>519</v>
      </c>
      <c r="F1150" s="23">
        <v>99000</v>
      </c>
      <c r="G1150" s="15">
        <v>2006</v>
      </c>
      <c r="H1150" s="15">
        <f>Table_7[[#This Row],[Listing Price (USD)]]/10000</f>
        <v>9.9</v>
      </c>
      <c r="I1150" s="28">
        <f>Table_7[[#This Row],[Length 
(ft)]]</f>
        <v>39</v>
      </c>
      <c r="J1150" s="28">
        <f>2020-Table_7[[#This Row],[Year]]</f>
        <v>14</v>
      </c>
      <c r="K1150">
        <v>589829000000</v>
      </c>
      <c r="L1150">
        <v>56404.23</v>
      </c>
      <c r="M1150">
        <v>1.23</v>
      </c>
      <c r="N1150">
        <v>2.8</v>
      </c>
      <c r="O1150">
        <v>35</v>
      </c>
      <c r="P1150">
        <v>639</v>
      </c>
      <c r="Q1150">
        <v>58</v>
      </c>
      <c r="R1150">
        <v>12.96</v>
      </c>
    </row>
    <row r="1151" spans="1:18" x14ac:dyDescent="0.25">
      <c r="A1151" s="1" t="s">
        <v>45</v>
      </c>
      <c r="B1151" s="3" t="s">
        <v>323</v>
      </c>
      <c r="C1151" s="19">
        <v>39</v>
      </c>
      <c r="D1151" s="3" t="s">
        <v>495</v>
      </c>
      <c r="E1151" s="3" t="s">
        <v>500</v>
      </c>
      <c r="F1151" s="23">
        <v>149000</v>
      </c>
      <c r="G1151" s="15">
        <v>2006</v>
      </c>
      <c r="H1151" s="15">
        <f>Table_7[[#This Row],[Listing Price (USD)]]/10000</f>
        <v>14.9</v>
      </c>
      <c r="I1151" s="28">
        <f>Table_7[[#This Row],[Length 
(ft)]]</f>
        <v>39</v>
      </c>
      <c r="J1151" s="28">
        <f>2020-Table_7[[#This Row],[Year]]</f>
        <v>14</v>
      </c>
      <c r="K1151">
        <v>3007188000000</v>
      </c>
      <c r="L1151">
        <v>76131.839999999997</v>
      </c>
      <c r="M1151">
        <v>1.23</v>
      </c>
      <c r="N1151">
        <v>2.7</v>
      </c>
      <c r="O1151">
        <v>35</v>
      </c>
      <c r="P1151">
        <v>639</v>
      </c>
      <c r="Q1151">
        <v>58</v>
      </c>
      <c r="R1151">
        <v>12.96</v>
      </c>
    </row>
    <row r="1152" spans="1:18" x14ac:dyDescent="0.25">
      <c r="A1152" s="1" t="s">
        <v>45</v>
      </c>
      <c r="B1152" s="2" t="s">
        <v>48</v>
      </c>
      <c r="C1152" s="19">
        <v>39</v>
      </c>
      <c r="D1152" s="3" t="s">
        <v>496</v>
      </c>
      <c r="E1152" s="3" t="s">
        <v>31</v>
      </c>
      <c r="F1152" s="23">
        <v>66808</v>
      </c>
      <c r="G1152" s="15">
        <v>2007</v>
      </c>
      <c r="H1152" s="15">
        <f>Table_7[[#This Row],[Listing Price (USD)]]/10000</f>
        <v>6.6807999999999996</v>
      </c>
      <c r="I1152" s="28">
        <f>Table_7[[#This Row],[Length 
(ft)]]</f>
        <v>39</v>
      </c>
      <c r="J1152" s="28">
        <f>2020-Table_7[[#This Row],[Year]]</f>
        <v>13</v>
      </c>
      <c r="K1152">
        <v>57472012426.685303</v>
      </c>
      <c r="L1152">
        <v>14198.753959474399</v>
      </c>
      <c r="M1152">
        <v>0.15481137456202801</v>
      </c>
      <c r="N1152">
        <v>-8.5803430210621805</v>
      </c>
      <c r="O1152">
        <v>35</v>
      </c>
      <c r="P1152">
        <v>639</v>
      </c>
      <c r="Q1152">
        <v>58</v>
      </c>
      <c r="R1152">
        <v>12.96</v>
      </c>
    </row>
    <row r="1153" spans="1:18" x14ac:dyDescent="0.25">
      <c r="A1153" s="1" t="s">
        <v>45</v>
      </c>
      <c r="B1153" s="2" t="s">
        <v>48</v>
      </c>
      <c r="C1153" s="19">
        <v>39</v>
      </c>
      <c r="D1153" s="3" t="s">
        <v>496</v>
      </c>
      <c r="E1153" s="3" t="s">
        <v>18</v>
      </c>
      <c r="F1153" s="23">
        <v>70452</v>
      </c>
      <c r="G1153" s="15">
        <v>2007</v>
      </c>
      <c r="H1153" s="15">
        <f>Table_7[[#This Row],[Listing Price (USD)]]/10000</f>
        <v>7.0452000000000004</v>
      </c>
      <c r="I1153" s="28">
        <f>Table_7[[#This Row],[Length 
(ft)]]</f>
        <v>39</v>
      </c>
      <c r="J1153" s="28">
        <f>2020-Table_7[[#This Row],[Year]]</f>
        <v>13</v>
      </c>
      <c r="K1153">
        <v>188925995936.80701</v>
      </c>
      <c r="L1153">
        <v>17658.947301119199</v>
      </c>
      <c r="M1153">
        <v>-1.2479835558140799</v>
      </c>
      <c r="N1153">
        <v>-9.0040436420214593</v>
      </c>
      <c r="O1153">
        <v>35</v>
      </c>
      <c r="P1153">
        <v>639</v>
      </c>
      <c r="Q1153">
        <v>58</v>
      </c>
      <c r="R1153">
        <v>12.96</v>
      </c>
    </row>
    <row r="1154" spans="1:18" x14ac:dyDescent="0.25">
      <c r="A1154" s="1" t="s">
        <v>45</v>
      </c>
      <c r="B1154" s="2" t="s">
        <v>48</v>
      </c>
      <c r="C1154" s="19">
        <v>39</v>
      </c>
      <c r="D1154" s="3" t="s">
        <v>496</v>
      </c>
      <c r="E1154" s="3" t="s">
        <v>18</v>
      </c>
      <c r="F1154" s="23">
        <v>71667</v>
      </c>
      <c r="G1154" s="15">
        <v>2006</v>
      </c>
      <c r="H1154" s="15">
        <f>Table_7[[#This Row],[Listing Price (USD)]]/10000</f>
        <v>7.1666999999999996</v>
      </c>
      <c r="I1154" s="28">
        <f>Table_7[[#This Row],[Length 
(ft)]]</f>
        <v>39</v>
      </c>
      <c r="J1154" s="28">
        <f>2020-Table_7[[#This Row],[Year]]</f>
        <v>14</v>
      </c>
      <c r="K1154">
        <v>188925995936.80701</v>
      </c>
      <c r="L1154">
        <v>17658.947301119199</v>
      </c>
      <c r="M1154">
        <v>-1.2479835558140799</v>
      </c>
      <c r="N1154">
        <v>-9.0040436420214593</v>
      </c>
      <c r="O1154">
        <v>35</v>
      </c>
      <c r="P1154">
        <v>639</v>
      </c>
      <c r="Q1154">
        <v>58</v>
      </c>
      <c r="R1154">
        <v>12.96</v>
      </c>
    </row>
    <row r="1155" spans="1:18" x14ac:dyDescent="0.25">
      <c r="A1155" s="1" t="s">
        <v>45</v>
      </c>
      <c r="B1155" s="2" t="s">
        <v>48</v>
      </c>
      <c r="C1155" s="19">
        <v>39</v>
      </c>
      <c r="D1155" s="3" t="s">
        <v>496</v>
      </c>
      <c r="E1155" s="3" t="s">
        <v>31</v>
      </c>
      <c r="F1155" s="23">
        <v>72639</v>
      </c>
      <c r="G1155" s="15">
        <v>2007</v>
      </c>
      <c r="H1155" s="15">
        <f>Table_7[[#This Row],[Listing Price (USD)]]/10000</f>
        <v>7.2638999999999996</v>
      </c>
      <c r="I1155" s="28">
        <f>Table_7[[#This Row],[Length 
(ft)]]</f>
        <v>39</v>
      </c>
      <c r="J1155" s="28">
        <f>2020-Table_7[[#This Row],[Year]]</f>
        <v>13</v>
      </c>
      <c r="K1155">
        <v>57472012426.685303</v>
      </c>
      <c r="L1155">
        <v>14198.753959474399</v>
      </c>
      <c r="M1155">
        <v>0.15481137456202801</v>
      </c>
      <c r="N1155">
        <v>-8.5803430210621805</v>
      </c>
      <c r="O1155">
        <v>35</v>
      </c>
      <c r="P1155">
        <v>639</v>
      </c>
      <c r="Q1155">
        <v>58</v>
      </c>
      <c r="R1155">
        <v>12.96</v>
      </c>
    </row>
    <row r="1156" spans="1:18" x14ac:dyDescent="0.25">
      <c r="A1156" s="1" t="s">
        <v>45</v>
      </c>
      <c r="B1156" s="2" t="s">
        <v>48</v>
      </c>
      <c r="C1156" s="19">
        <v>39</v>
      </c>
      <c r="D1156" s="3" t="s">
        <v>496</v>
      </c>
      <c r="E1156" s="3" t="s">
        <v>31</v>
      </c>
      <c r="F1156" s="23">
        <v>72639</v>
      </c>
      <c r="G1156" s="15">
        <v>2006</v>
      </c>
      <c r="H1156" s="15">
        <f>Table_7[[#This Row],[Listing Price (USD)]]/10000</f>
        <v>7.2638999999999996</v>
      </c>
      <c r="I1156" s="28">
        <f>Table_7[[#This Row],[Length 
(ft)]]</f>
        <v>39</v>
      </c>
      <c r="J1156" s="28">
        <f>2020-Table_7[[#This Row],[Year]]</f>
        <v>14</v>
      </c>
      <c r="K1156">
        <v>57472012426.685303</v>
      </c>
      <c r="L1156">
        <v>14198.753959474399</v>
      </c>
      <c r="M1156">
        <v>0.15481137456202801</v>
      </c>
      <c r="N1156">
        <v>-8.5803430210621805</v>
      </c>
      <c r="O1156">
        <v>35</v>
      </c>
      <c r="P1156">
        <v>639</v>
      </c>
      <c r="Q1156">
        <v>58</v>
      </c>
      <c r="R1156">
        <v>12.96</v>
      </c>
    </row>
    <row r="1157" spans="1:18" x14ac:dyDescent="0.25">
      <c r="A1157" s="1" t="s">
        <v>45</v>
      </c>
      <c r="B1157" s="2" t="s">
        <v>48</v>
      </c>
      <c r="C1157" s="19">
        <v>39</v>
      </c>
      <c r="D1157" s="3" t="s">
        <v>496</v>
      </c>
      <c r="E1157" s="3" t="s">
        <v>31</v>
      </c>
      <c r="F1157" s="23">
        <v>74115</v>
      </c>
      <c r="G1157" s="15">
        <v>2006</v>
      </c>
      <c r="H1157" s="15">
        <f>Table_7[[#This Row],[Listing Price (USD)]]/10000</f>
        <v>7.4115000000000002</v>
      </c>
      <c r="I1157" s="28">
        <f>Table_7[[#This Row],[Length 
(ft)]]</f>
        <v>39</v>
      </c>
      <c r="J1157" s="28">
        <f>2020-Table_7[[#This Row],[Year]]</f>
        <v>14</v>
      </c>
      <c r="K1157">
        <v>57472012426.685303</v>
      </c>
      <c r="L1157">
        <v>14198.753959474399</v>
      </c>
      <c r="M1157">
        <v>0.15481137456202801</v>
      </c>
      <c r="N1157">
        <v>-8.5803430210621805</v>
      </c>
      <c r="O1157">
        <v>35</v>
      </c>
      <c r="P1157">
        <v>639</v>
      </c>
      <c r="Q1157">
        <v>58</v>
      </c>
      <c r="R1157">
        <v>12.96</v>
      </c>
    </row>
    <row r="1158" spans="1:18" x14ac:dyDescent="0.25">
      <c r="A1158" s="1" t="s">
        <v>45</v>
      </c>
      <c r="B1158" s="2" t="s">
        <v>48</v>
      </c>
      <c r="C1158" s="19">
        <v>39</v>
      </c>
      <c r="D1158" s="3" t="s">
        <v>496</v>
      </c>
      <c r="E1158" s="3" t="s">
        <v>31</v>
      </c>
      <c r="F1158" s="23">
        <v>78955</v>
      </c>
      <c r="G1158" s="15">
        <v>2007</v>
      </c>
      <c r="H1158" s="15">
        <f>Table_7[[#This Row],[Listing Price (USD)]]/10000</f>
        <v>7.8955000000000002</v>
      </c>
      <c r="I1158" s="28">
        <f>Table_7[[#This Row],[Length 
(ft)]]</f>
        <v>39</v>
      </c>
      <c r="J1158" s="28">
        <f>2020-Table_7[[#This Row],[Year]]</f>
        <v>13</v>
      </c>
      <c r="K1158">
        <v>57472012426.685303</v>
      </c>
      <c r="L1158">
        <v>14198.753959474399</v>
      </c>
      <c r="M1158">
        <v>0.15481137456202801</v>
      </c>
      <c r="N1158">
        <v>-8.5803430210621805</v>
      </c>
      <c r="O1158">
        <v>35</v>
      </c>
      <c r="P1158">
        <v>639</v>
      </c>
      <c r="Q1158">
        <v>58</v>
      </c>
      <c r="R1158">
        <v>12.96</v>
      </c>
    </row>
    <row r="1159" spans="1:18" x14ac:dyDescent="0.25">
      <c r="A1159" s="1" t="s">
        <v>45</v>
      </c>
      <c r="B1159" s="2" t="s">
        <v>48</v>
      </c>
      <c r="C1159" s="19">
        <v>39</v>
      </c>
      <c r="D1159" s="3" t="s">
        <v>496</v>
      </c>
      <c r="E1159" s="3" t="s">
        <v>18</v>
      </c>
      <c r="F1159" s="23">
        <v>78955</v>
      </c>
      <c r="G1159" s="15">
        <v>2008</v>
      </c>
      <c r="H1159" s="15">
        <f>Table_7[[#This Row],[Listing Price (USD)]]/10000</f>
        <v>7.8955000000000002</v>
      </c>
      <c r="I1159" s="28">
        <f>Table_7[[#This Row],[Length 
(ft)]]</f>
        <v>39</v>
      </c>
      <c r="J1159" s="28">
        <f>2020-Table_7[[#This Row],[Year]]</f>
        <v>12</v>
      </c>
      <c r="K1159">
        <v>188925995936.80701</v>
      </c>
      <c r="L1159">
        <v>17658.947301119199</v>
      </c>
      <c r="M1159">
        <v>-1.2479835558140799</v>
      </c>
      <c r="N1159">
        <v>-9.0040436420214593</v>
      </c>
      <c r="O1159">
        <v>35</v>
      </c>
      <c r="P1159">
        <v>639</v>
      </c>
      <c r="Q1159">
        <v>58</v>
      </c>
      <c r="R1159">
        <v>12.96</v>
      </c>
    </row>
    <row r="1160" spans="1:18" x14ac:dyDescent="0.25">
      <c r="A1160" s="1" t="s">
        <v>45</v>
      </c>
      <c r="B1160" s="2" t="s">
        <v>48</v>
      </c>
      <c r="C1160" s="19">
        <v>39</v>
      </c>
      <c r="D1160" s="3" t="s">
        <v>496</v>
      </c>
      <c r="E1160" s="3" t="s">
        <v>18</v>
      </c>
      <c r="F1160" s="23">
        <v>78975</v>
      </c>
      <c r="G1160" s="15">
        <v>2005</v>
      </c>
      <c r="H1160" s="15">
        <f>Table_7[[#This Row],[Listing Price (USD)]]/10000</f>
        <v>7.8975</v>
      </c>
      <c r="I1160" s="28">
        <f>Table_7[[#This Row],[Length 
(ft)]]</f>
        <v>39</v>
      </c>
      <c r="J1160" s="28">
        <f>2020-Table_7[[#This Row],[Year]]</f>
        <v>15</v>
      </c>
      <c r="K1160">
        <v>188925995936.80701</v>
      </c>
      <c r="L1160">
        <v>17658.947301119199</v>
      </c>
      <c r="M1160">
        <v>-1.2479835558140799</v>
      </c>
      <c r="N1160">
        <v>-9.0040436420214593</v>
      </c>
      <c r="O1160">
        <v>35</v>
      </c>
      <c r="P1160">
        <v>639</v>
      </c>
      <c r="Q1160">
        <v>58</v>
      </c>
      <c r="R1160">
        <v>12.96</v>
      </c>
    </row>
    <row r="1161" spans="1:18" x14ac:dyDescent="0.25">
      <c r="A1161" s="1" t="s">
        <v>45</v>
      </c>
      <c r="B1161" s="2" t="s">
        <v>48</v>
      </c>
      <c r="C1161" s="19">
        <v>39</v>
      </c>
      <c r="D1161" s="3" t="s">
        <v>496</v>
      </c>
      <c r="E1161" s="3" t="s">
        <v>24</v>
      </c>
      <c r="F1161" s="23">
        <v>82620</v>
      </c>
      <c r="G1161" s="15">
        <v>2005</v>
      </c>
      <c r="H1161" s="15">
        <f>Table_7[[#This Row],[Listing Price (USD)]]/10000</f>
        <v>8.2620000000000005</v>
      </c>
      <c r="I1161" s="28">
        <f>Table_7[[#This Row],[Length 
(ft)]]</f>
        <v>39</v>
      </c>
      <c r="J1161" s="28">
        <f>2020-Table_7[[#This Row],[Year]]</f>
        <v>15</v>
      </c>
      <c r="K1161">
        <v>1896755301518.1399</v>
      </c>
      <c r="L1161">
        <v>31911.0357890017</v>
      </c>
      <c r="M1161">
        <v>-0.13770757391656999</v>
      </c>
      <c r="N1161">
        <v>-9.0399534112288507</v>
      </c>
      <c r="O1161">
        <v>35</v>
      </c>
      <c r="P1161">
        <v>639</v>
      </c>
      <c r="Q1161">
        <v>58</v>
      </c>
      <c r="R1161">
        <v>12.96</v>
      </c>
    </row>
    <row r="1162" spans="1:18" x14ac:dyDescent="0.25">
      <c r="A1162" s="1" t="s">
        <v>45</v>
      </c>
      <c r="B1162" s="2" t="s">
        <v>48</v>
      </c>
      <c r="C1162" s="19">
        <v>39</v>
      </c>
      <c r="D1162" s="3" t="s">
        <v>496</v>
      </c>
      <c r="E1162" s="3" t="s">
        <v>9</v>
      </c>
      <c r="F1162" s="23">
        <v>83814</v>
      </c>
      <c r="G1162" s="15">
        <v>2007</v>
      </c>
      <c r="H1162" s="15">
        <f>Table_7[[#This Row],[Listing Price (USD)]]/10000</f>
        <v>8.3813999999999993</v>
      </c>
      <c r="I1162" s="28">
        <f>Table_7[[#This Row],[Length 
(ft)]]</f>
        <v>39</v>
      </c>
      <c r="J1162" s="28">
        <f>2020-Table_7[[#This Row],[Year]]</f>
        <v>13</v>
      </c>
      <c r="K1162">
        <v>1276962685648.25</v>
      </c>
      <c r="L1162">
        <v>26959.675436732599</v>
      </c>
      <c r="M1162">
        <v>-0.32275301729970501</v>
      </c>
      <c r="N1162">
        <v>-11.3254383222864</v>
      </c>
      <c r="O1162">
        <v>35</v>
      </c>
      <c r="P1162">
        <v>639</v>
      </c>
      <c r="Q1162">
        <v>58</v>
      </c>
      <c r="R1162">
        <v>12.96</v>
      </c>
    </row>
    <row r="1163" spans="1:18" x14ac:dyDescent="0.25">
      <c r="A1163" s="1" t="s">
        <v>45</v>
      </c>
      <c r="B1163" s="2" t="s">
        <v>48</v>
      </c>
      <c r="C1163" s="19">
        <v>39</v>
      </c>
      <c r="D1163" s="3" t="s">
        <v>496</v>
      </c>
      <c r="E1163" s="3" t="s">
        <v>3</v>
      </c>
      <c r="F1163" s="23">
        <v>87458</v>
      </c>
      <c r="G1163" s="15">
        <v>2007</v>
      </c>
      <c r="H1163" s="15">
        <f>Table_7[[#This Row],[Listing Price (USD)]]/10000</f>
        <v>8.7457999999999991</v>
      </c>
      <c r="I1163" s="28">
        <f>Table_7[[#This Row],[Length 
(ft)]]</f>
        <v>39</v>
      </c>
      <c r="J1163" s="28">
        <f>2020-Table_7[[#This Row],[Year]]</f>
        <v>13</v>
      </c>
      <c r="K1163">
        <v>2639008701648.2598</v>
      </c>
      <c r="L1163">
        <v>39055.282928075401</v>
      </c>
      <c r="M1163">
        <v>0.47649885272508302</v>
      </c>
      <c r="N1163">
        <v>-7.7845864916787102</v>
      </c>
      <c r="O1163">
        <v>35</v>
      </c>
      <c r="P1163">
        <v>639</v>
      </c>
      <c r="Q1163">
        <v>58</v>
      </c>
      <c r="R1163">
        <v>12.96</v>
      </c>
    </row>
    <row r="1164" spans="1:18" x14ac:dyDescent="0.25">
      <c r="A1164" s="1" t="s">
        <v>45</v>
      </c>
      <c r="B1164" s="2" t="s">
        <v>48</v>
      </c>
      <c r="C1164" s="19">
        <v>39</v>
      </c>
      <c r="D1164" s="3" t="s">
        <v>495</v>
      </c>
      <c r="E1164" s="3" t="s">
        <v>518</v>
      </c>
      <c r="F1164" s="23">
        <v>90838</v>
      </c>
      <c r="G1164" s="15">
        <v>2006</v>
      </c>
      <c r="H1164" s="15">
        <f>Table_7[[#This Row],[Listing Price (USD)]]/10000</f>
        <v>9.0838000000000001</v>
      </c>
      <c r="I1164" s="28">
        <f>Table_7[[#This Row],[Length 
(ft)]]</f>
        <v>39</v>
      </c>
      <c r="J1164" s="28">
        <f>2020-Table_7[[#This Row],[Year]]</f>
        <v>14</v>
      </c>
      <c r="K1164">
        <v>1724759000000</v>
      </c>
      <c r="L1164">
        <v>85575.039999999994</v>
      </c>
      <c r="M1164">
        <v>1.23</v>
      </c>
      <c r="N1164">
        <v>3.8</v>
      </c>
      <c r="O1164">
        <v>35</v>
      </c>
      <c r="P1164">
        <v>639</v>
      </c>
      <c r="Q1164">
        <v>58</v>
      </c>
      <c r="R1164">
        <v>12.96</v>
      </c>
    </row>
    <row r="1165" spans="1:18" x14ac:dyDescent="0.25">
      <c r="A1165" s="1" t="s">
        <v>45</v>
      </c>
      <c r="B1165" s="2" t="s">
        <v>48</v>
      </c>
      <c r="C1165" s="19">
        <v>39</v>
      </c>
      <c r="D1165" s="3" t="s">
        <v>496</v>
      </c>
      <c r="E1165" s="3" t="s">
        <v>63</v>
      </c>
      <c r="F1165" s="23">
        <v>91102</v>
      </c>
      <c r="G1165" s="15">
        <v>2006</v>
      </c>
      <c r="H1165" s="15">
        <f>Table_7[[#This Row],[Listing Price (USD)]]/10000</f>
        <v>9.1102000000000007</v>
      </c>
      <c r="I1165" s="28">
        <f>Table_7[[#This Row],[Length 
(ft)]]</f>
        <v>39</v>
      </c>
      <c r="J1165" s="28">
        <f>2020-Table_7[[#This Row],[Year]]</f>
        <v>14</v>
      </c>
      <c r="K1165">
        <v>720290000015</v>
      </c>
      <c r="L1165">
        <v>13341.6</v>
      </c>
      <c r="M1165">
        <v>13</v>
      </c>
      <c r="N1165">
        <v>-3</v>
      </c>
      <c r="O1165">
        <v>35</v>
      </c>
      <c r="P1165">
        <v>639</v>
      </c>
      <c r="Q1165">
        <v>58</v>
      </c>
      <c r="R1165">
        <v>12.96</v>
      </c>
    </row>
    <row r="1166" spans="1:18" x14ac:dyDescent="0.25">
      <c r="A1166" s="1" t="s">
        <v>45</v>
      </c>
      <c r="B1166" s="2" t="s">
        <v>48</v>
      </c>
      <c r="C1166" s="19">
        <v>39</v>
      </c>
      <c r="D1166" s="3" t="s">
        <v>496</v>
      </c>
      <c r="E1166" s="3" t="s">
        <v>9</v>
      </c>
      <c r="F1166" s="23">
        <v>94746</v>
      </c>
      <c r="G1166" s="15">
        <v>2007</v>
      </c>
      <c r="H1166" s="15">
        <f>Table_7[[#This Row],[Listing Price (USD)]]/10000</f>
        <v>9.4746000000000006</v>
      </c>
      <c r="I1166" s="28">
        <f>Table_7[[#This Row],[Length 
(ft)]]</f>
        <v>39</v>
      </c>
      <c r="J1166" s="28">
        <f>2020-Table_7[[#This Row],[Year]]</f>
        <v>13</v>
      </c>
      <c r="K1166">
        <v>1276962685648.25</v>
      </c>
      <c r="L1166">
        <v>26959.675436732599</v>
      </c>
      <c r="M1166">
        <v>-0.32275301729970501</v>
      </c>
      <c r="N1166">
        <v>-11.3254383222864</v>
      </c>
      <c r="O1166">
        <v>35</v>
      </c>
      <c r="P1166">
        <v>639</v>
      </c>
      <c r="Q1166">
        <v>58</v>
      </c>
      <c r="R1166">
        <v>12.96</v>
      </c>
    </row>
    <row r="1167" spans="1:18" x14ac:dyDescent="0.25">
      <c r="A1167" s="1" t="s">
        <v>45</v>
      </c>
      <c r="B1167" s="2" t="s">
        <v>48</v>
      </c>
      <c r="C1167" s="19">
        <v>39</v>
      </c>
      <c r="D1167" s="3" t="s">
        <v>496</v>
      </c>
      <c r="E1167" s="3" t="s">
        <v>19</v>
      </c>
      <c r="F1167" s="23">
        <v>95860</v>
      </c>
      <c r="G1167" s="15">
        <v>2005</v>
      </c>
      <c r="H1167" s="15">
        <f>Table_7[[#This Row],[Listing Price (USD)]]/10000</f>
        <v>9.5860000000000003</v>
      </c>
      <c r="I1167" s="28">
        <f>Table_7[[#This Row],[Length 
(ft)]]</f>
        <v>39</v>
      </c>
      <c r="J1167" s="28">
        <f>2020-Table_7[[#This Row],[Year]]</f>
        <v>15</v>
      </c>
      <c r="K1167">
        <v>4200000000</v>
      </c>
      <c r="L1167">
        <v>39553.199999999997</v>
      </c>
      <c r="M1167">
        <v>4.0999999999999996</v>
      </c>
      <c r="N1167">
        <v>-2.1</v>
      </c>
      <c r="O1167">
        <v>35</v>
      </c>
      <c r="P1167">
        <v>639</v>
      </c>
      <c r="Q1167">
        <v>58</v>
      </c>
      <c r="R1167">
        <v>12.96</v>
      </c>
    </row>
    <row r="1168" spans="1:18" x14ac:dyDescent="0.25">
      <c r="A1168" s="1" t="s">
        <v>45</v>
      </c>
      <c r="B1168" s="2" t="s">
        <v>48</v>
      </c>
      <c r="C1168" s="19">
        <v>39</v>
      </c>
      <c r="D1168" s="3" t="s">
        <v>496</v>
      </c>
      <c r="E1168" s="3" t="s">
        <v>237</v>
      </c>
      <c r="F1168" s="23">
        <v>99630</v>
      </c>
      <c r="G1168" s="15">
        <v>2006</v>
      </c>
      <c r="H1168" s="15">
        <f>Table_7[[#This Row],[Listing Price (USD)]]/10000</f>
        <v>9.9629999999999992</v>
      </c>
      <c r="I1168" s="28">
        <f>Table_7[[#This Row],[Length 
(ft)]]</f>
        <v>39</v>
      </c>
      <c r="J1168" s="28">
        <f>2020-Table_7[[#This Row],[Year]]</f>
        <v>14</v>
      </c>
      <c r="K1168">
        <v>229031860520.77701</v>
      </c>
      <c r="L1168">
        <v>22242.406417972001</v>
      </c>
      <c r="M1168">
        <v>-1.2438329957616699E-2</v>
      </c>
      <c r="N1168">
        <v>-8.3005160422115107</v>
      </c>
      <c r="O1168">
        <v>35</v>
      </c>
      <c r="P1168">
        <v>639</v>
      </c>
      <c r="Q1168">
        <v>58</v>
      </c>
      <c r="R1168">
        <v>12.96</v>
      </c>
    </row>
    <row r="1169" spans="1:18" x14ac:dyDescent="0.25">
      <c r="A1169" s="1" t="s">
        <v>45</v>
      </c>
      <c r="B1169" s="2" t="s">
        <v>48</v>
      </c>
      <c r="C1169" s="19">
        <v>39</v>
      </c>
      <c r="D1169" s="3" t="s">
        <v>496</v>
      </c>
      <c r="E1169" s="3" t="s">
        <v>237</v>
      </c>
      <c r="F1169" s="23">
        <v>101427</v>
      </c>
      <c r="G1169" s="15">
        <v>2005</v>
      </c>
      <c r="H1169" s="15">
        <f>Table_7[[#This Row],[Listing Price (USD)]]/10000</f>
        <v>10.1427</v>
      </c>
      <c r="I1169" s="28">
        <f>Table_7[[#This Row],[Length 
(ft)]]</f>
        <v>39</v>
      </c>
      <c r="J1169" s="28">
        <f>2020-Table_7[[#This Row],[Year]]</f>
        <v>15</v>
      </c>
      <c r="K1169">
        <v>229031860520.77701</v>
      </c>
      <c r="L1169">
        <v>22242.406417972001</v>
      </c>
      <c r="M1169">
        <v>-1.2438329957616699E-2</v>
      </c>
      <c r="N1169">
        <v>-8.3005160422115107</v>
      </c>
      <c r="O1169">
        <v>35</v>
      </c>
      <c r="P1169">
        <v>639</v>
      </c>
      <c r="Q1169">
        <v>58</v>
      </c>
      <c r="R1169">
        <v>12.96</v>
      </c>
    </row>
    <row r="1170" spans="1:18" x14ac:dyDescent="0.25">
      <c r="A1170" s="1" t="s">
        <v>45</v>
      </c>
      <c r="B1170" s="2" t="s">
        <v>48</v>
      </c>
      <c r="C1170" s="19">
        <v>39</v>
      </c>
      <c r="D1170" s="3" t="s">
        <v>496</v>
      </c>
      <c r="E1170" s="3" t="s">
        <v>9</v>
      </c>
      <c r="F1170" s="23">
        <v>103249</v>
      </c>
      <c r="G1170" s="15">
        <v>2005</v>
      </c>
      <c r="H1170" s="15">
        <f>Table_7[[#This Row],[Listing Price (USD)]]/10000</f>
        <v>10.3249</v>
      </c>
      <c r="I1170" s="28">
        <f>Table_7[[#This Row],[Length 
(ft)]]</f>
        <v>39</v>
      </c>
      <c r="J1170" s="28">
        <f>2020-Table_7[[#This Row],[Year]]</f>
        <v>15</v>
      </c>
      <c r="K1170">
        <v>1276962685648.25</v>
      </c>
      <c r="L1170">
        <v>26959.675436732599</v>
      </c>
      <c r="M1170">
        <v>-0.32275301729970501</v>
      </c>
      <c r="N1170">
        <v>-11.3254383222864</v>
      </c>
      <c r="O1170">
        <v>35</v>
      </c>
      <c r="P1170">
        <v>639</v>
      </c>
      <c r="Q1170">
        <v>58</v>
      </c>
      <c r="R1170">
        <v>12.96</v>
      </c>
    </row>
    <row r="1171" spans="1:18" x14ac:dyDescent="0.25">
      <c r="A1171" s="1" t="s">
        <v>45</v>
      </c>
      <c r="B1171" s="2" t="s">
        <v>48</v>
      </c>
      <c r="C1171" s="19">
        <v>39</v>
      </c>
      <c r="D1171" s="3" t="s">
        <v>496</v>
      </c>
      <c r="E1171" s="3" t="s">
        <v>24</v>
      </c>
      <c r="F1171" s="23">
        <v>103275</v>
      </c>
      <c r="G1171" s="15">
        <v>2005</v>
      </c>
      <c r="H1171" s="15">
        <f>Table_7[[#This Row],[Listing Price (USD)]]/10000</f>
        <v>10.327500000000001</v>
      </c>
      <c r="I1171" s="28">
        <f>Table_7[[#This Row],[Length 
(ft)]]</f>
        <v>39</v>
      </c>
      <c r="J1171" s="28">
        <f>2020-Table_7[[#This Row],[Year]]</f>
        <v>15</v>
      </c>
      <c r="K1171">
        <v>1896755301518.1399</v>
      </c>
      <c r="L1171">
        <v>31911.0357890017</v>
      </c>
      <c r="M1171">
        <v>-0.13770757391656999</v>
      </c>
      <c r="N1171">
        <v>-9.0399534112288507</v>
      </c>
      <c r="O1171">
        <v>35</v>
      </c>
      <c r="P1171">
        <v>639</v>
      </c>
      <c r="Q1171">
        <v>58</v>
      </c>
      <c r="R1171">
        <v>12.96</v>
      </c>
    </row>
    <row r="1172" spans="1:18" x14ac:dyDescent="0.25">
      <c r="A1172" s="1" t="s">
        <v>45</v>
      </c>
      <c r="B1172" s="2" t="s">
        <v>48</v>
      </c>
      <c r="C1172" s="19">
        <v>39</v>
      </c>
      <c r="D1172" s="3" t="s">
        <v>496</v>
      </c>
      <c r="E1172" s="3" t="s">
        <v>9</v>
      </c>
      <c r="F1172" s="23">
        <v>108108</v>
      </c>
      <c r="G1172" s="15">
        <v>2005</v>
      </c>
      <c r="H1172" s="15">
        <f>Table_7[[#This Row],[Listing Price (USD)]]/10000</f>
        <v>10.8108</v>
      </c>
      <c r="I1172" s="28">
        <f>Table_7[[#This Row],[Length 
(ft)]]</f>
        <v>39</v>
      </c>
      <c r="J1172" s="28">
        <f>2020-Table_7[[#This Row],[Year]]</f>
        <v>15</v>
      </c>
      <c r="K1172">
        <v>1276962685648.25</v>
      </c>
      <c r="L1172">
        <v>26959.675436732599</v>
      </c>
      <c r="M1172">
        <v>-0.32275301729970501</v>
      </c>
      <c r="N1172">
        <v>-11.3254383222864</v>
      </c>
      <c r="O1172">
        <v>35</v>
      </c>
      <c r="P1172">
        <v>639</v>
      </c>
      <c r="Q1172">
        <v>58</v>
      </c>
      <c r="R1172">
        <v>12.96</v>
      </c>
    </row>
    <row r="1173" spans="1:18" x14ac:dyDescent="0.25">
      <c r="A1173" s="1" t="s">
        <v>45</v>
      </c>
      <c r="B1173" s="2" t="s">
        <v>57</v>
      </c>
      <c r="C1173" s="19">
        <v>43</v>
      </c>
      <c r="D1173" s="3" t="s">
        <v>496</v>
      </c>
      <c r="E1173" s="3" t="s">
        <v>31</v>
      </c>
      <c r="F1173" s="23">
        <v>87458</v>
      </c>
      <c r="G1173" s="15">
        <v>2007</v>
      </c>
      <c r="H1173" s="15">
        <f>Table_7[[#This Row],[Listing Price (USD)]]/10000</f>
        <v>8.7457999999999991</v>
      </c>
      <c r="I1173" s="28">
        <f>Table_7[[#This Row],[Length 
(ft)]]</f>
        <v>43</v>
      </c>
      <c r="J1173" s="28">
        <f>2020-Table_7[[#This Row],[Year]]</f>
        <v>13</v>
      </c>
      <c r="K1173">
        <v>57472012426.685303</v>
      </c>
      <c r="L1173">
        <v>14198.753959474399</v>
      </c>
      <c r="M1173">
        <v>0.15481137456202801</v>
      </c>
      <c r="N1173">
        <v>-8.5803430210621805</v>
      </c>
      <c r="O1173">
        <v>35</v>
      </c>
      <c r="P1173">
        <v>639.00199999999995</v>
      </c>
      <c r="Q1173">
        <v>58</v>
      </c>
      <c r="R1173">
        <v>12.96</v>
      </c>
    </row>
    <row r="1174" spans="1:18" x14ac:dyDescent="0.25">
      <c r="A1174" s="1" t="s">
        <v>45</v>
      </c>
      <c r="B1174" s="2" t="s">
        <v>57</v>
      </c>
      <c r="C1174" s="19">
        <v>43</v>
      </c>
      <c r="D1174" s="3" t="s">
        <v>496</v>
      </c>
      <c r="E1174" s="3" t="s">
        <v>31</v>
      </c>
      <c r="F1174" s="23">
        <v>87458</v>
      </c>
      <c r="G1174" s="15">
        <v>2006</v>
      </c>
      <c r="H1174" s="15">
        <f>Table_7[[#This Row],[Listing Price (USD)]]/10000</f>
        <v>8.7457999999999991</v>
      </c>
      <c r="I1174" s="28">
        <f>Table_7[[#This Row],[Length 
(ft)]]</f>
        <v>43</v>
      </c>
      <c r="J1174" s="28">
        <f>2020-Table_7[[#This Row],[Year]]</f>
        <v>14</v>
      </c>
      <c r="K1174">
        <v>57472012426.685303</v>
      </c>
      <c r="L1174">
        <v>14198.753959474399</v>
      </c>
      <c r="M1174">
        <v>0.15481137456202801</v>
      </c>
      <c r="N1174">
        <v>-8.5803430210621805</v>
      </c>
      <c r="O1174">
        <v>35</v>
      </c>
      <c r="P1174">
        <v>639.00199999999995</v>
      </c>
      <c r="Q1174">
        <v>58</v>
      </c>
      <c r="R1174">
        <v>12.96</v>
      </c>
    </row>
    <row r="1175" spans="1:18" x14ac:dyDescent="0.25">
      <c r="A1175" s="1" t="s">
        <v>45</v>
      </c>
      <c r="B1175" s="2" t="s">
        <v>57</v>
      </c>
      <c r="C1175" s="19">
        <v>43</v>
      </c>
      <c r="D1175" s="3" t="s">
        <v>496</v>
      </c>
      <c r="E1175" s="3" t="s">
        <v>31</v>
      </c>
      <c r="F1175" s="23">
        <v>88673</v>
      </c>
      <c r="G1175" s="15">
        <v>2006</v>
      </c>
      <c r="H1175" s="15">
        <f>Table_7[[#This Row],[Listing Price (USD)]]/10000</f>
        <v>8.8673000000000002</v>
      </c>
      <c r="I1175" s="28">
        <f>Table_7[[#This Row],[Length 
(ft)]]</f>
        <v>43</v>
      </c>
      <c r="J1175" s="28">
        <f>2020-Table_7[[#This Row],[Year]]</f>
        <v>14</v>
      </c>
      <c r="K1175">
        <v>57472012426.685303</v>
      </c>
      <c r="L1175">
        <v>14198.753959474399</v>
      </c>
      <c r="M1175">
        <v>0.15481137456202801</v>
      </c>
      <c r="N1175">
        <v>-8.5803430210621805</v>
      </c>
      <c r="O1175">
        <v>35</v>
      </c>
      <c r="P1175">
        <v>639.00199999999995</v>
      </c>
      <c r="Q1175">
        <v>58</v>
      </c>
      <c r="R1175">
        <v>12.96</v>
      </c>
    </row>
    <row r="1176" spans="1:18" x14ac:dyDescent="0.25">
      <c r="A1176" s="1" t="s">
        <v>45</v>
      </c>
      <c r="B1176" s="2" t="s">
        <v>57</v>
      </c>
      <c r="C1176" s="19">
        <v>43</v>
      </c>
      <c r="D1176" s="3" t="s">
        <v>496</v>
      </c>
      <c r="E1176" s="3" t="s">
        <v>18</v>
      </c>
      <c r="F1176" s="23">
        <v>91102</v>
      </c>
      <c r="G1176" s="15">
        <v>2007</v>
      </c>
      <c r="H1176" s="15">
        <f>Table_7[[#This Row],[Listing Price (USD)]]/10000</f>
        <v>9.1102000000000007</v>
      </c>
      <c r="I1176" s="28">
        <f>Table_7[[#This Row],[Length 
(ft)]]</f>
        <v>43</v>
      </c>
      <c r="J1176" s="28">
        <f>2020-Table_7[[#This Row],[Year]]</f>
        <v>13</v>
      </c>
      <c r="K1176">
        <v>188925995936.80701</v>
      </c>
      <c r="L1176">
        <v>17658.947301119199</v>
      </c>
      <c r="M1176">
        <v>-1.2479835558140799</v>
      </c>
      <c r="N1176">
        <v>-9.0040436420214593</v>
      </c>
      <c r="O1176">
        <v>35</v>
      </c>
      <c r="P1176">
        <v>639.00199999999995</v>
      </c>
      <c r="Q1176">
        <v>58</v>
      </c>
      <c r="R1176">
        <v>12.96</v>
      </c>
    </row>
    <row r="1177" spans="1:18" x14ac:dyDescent="0.25">
      <c r="A1177" s="1" t="s">
        <v>45</v>
      </c>
      <c r="B1177" s="2" t="s">
        <v>57</v>
      </c>
      <c r="C1177" s="19">
        <v>43</v>
      </c>
      <c r="D1177" s="3" t="s">
        <v>496</v>
      </c>
      <c r="E1177" s="3" t="s">
        <v>31</v>
      </c>
      <c r="F1177" s="23">
        <v>95961</v>
      </c>
      <c r="G1177" s="15">
        <v>2006</v>
      </c>
      <c r="H1177" s="15">
        <f>Table_7[[#This Row],[Listing Price (USD)]]/10000</f>
        <v>9.5960999999999999</v>
      </c>
      <c r="I1177" s="28">
        <f>Table_7[[#This Row],[Length 
(ft)]]</f>
        <v>43</v>
      </c>
      <c r="J1177" s="28">
        <f>2020-Table_7[[#This Row],[Year]]</f>
        <v>14</v>
      </c>
      <c r="K1177">
        <v>57472012426.685303</v>
      </c>
      <c r="L1177">
        <v>14198.753959474399</v>
      </c>
      <c r="M1177">
        <v>0.15481137456202801</v>
      </c>
      <c r="N1177">
        <v>-8.5803430210621805</v>
      </c>
      <c r="O1177">
        <v>35</v>
      </c>
      <c r="P1177">
        <v>639.00199999999995</v>
      </c>
      <c r="Q1177">
        <v>58</v>
      </c>
      <c r="R1177">
        <v>12.96</v>
      </c>
    </row>
    <row r="1178" spans="1:18" x14ac:dyDescent="0.25">
      <c r="A1178" s="1" t="s">
        <v>45</v>
      </c>
      <c r="B1178" s="2" t="s">
        <v>57</v>
      </c>
      <c r="C1178" s="19">
        <v>43</v>
      </c>
      <c r="D1178" s="3" t="s">
        <v>496</v>
      </c>
      <c r="E1178" s="3" t="s">
        <v>31</v>
      </c>
      <c r="F1178" s="23">
        <v>97176</v>
      </c>
      <c r="G1178" s="15">
        <v>2006</v>
      </c>
      <c r="H1178" s="15">
        <f>Table_7[[#This Row],[Listing Price (USD)]]/10000</f>
        <v>9.7175999999999991</v>
      </c>
      <c r="I1178" s="28">
        <f>Table_7[[#This Row],[Length 
(ft)]]</f>
        <v>43</v>
      </c>
      <c r="J1178" s="28">
        <f>2020-Table_7[[#This Row],[Year]]</f>
        <v>14</v>
      </c>
      <c r="K1178">
        <v>57472012426.685303</v>
      </c>
      <c r="L1178">
        <v>14198.753959474399</v>
      </c>
      <c r="M1178">
        <v>0.15481137456202801</v>
      </c>
      <c r="N1178">
        <v>-8.5803430210621805</v>
      </c>
      <c r="O1178">
        <v>35</v>
      </c>
      <c r="P1178">
        <v>639.00199999999995</v>
      </c>
      <c r="Q1178">
        <v>58</v>
      </c>
      <c r="R1178">
        <v>12.96</v>
      </c>
    </row>
    <row r="1179" spans="1:18" x14ac:dyDescent="0.25">
      <c r="A1179" s="1" t="s">
        <v>45</v>
      </c>
      <c r="B1179" s="2" t="s">
        <v>57</v>
      </c>
      <c r="C1179" s="19">
        <v>43</v>
      </c>
      <c r="D1179" s="3" t="s">
        <v>496</v>
      </c>
      <c r="E1179" s="3" t="s">
        <v>18</v>
      </c>
      <c r="F1179" s="23">
        <v>109311</v>
      </c>
      <c r="G1179" s="15">
        <v>2008</v>
      </c>
      <c r="H1179" s="15">
        <f>Table_7[[#This Row],[Listing Price (USD)]]/10000</f>
        <v>10.931100000000001</v>
      </c>
      <c r="I1179" s="28">
        <f>Table_7[[#This Row],[Length 
(ft)]]</f>
        <v>43</v>
      </c>
      <c r="J1179" s="28">
        <f>2020-Table_7[[#This Row],[Year]]</f>
        <v>12</v>
      </c>
      <c r="K1179">
        <v>188925995936.80701</v>
      </c>
      <c r="L1179">
        <v>17658.947301119199</v>
      </c>
      <c r="M1179">
        <v>-1.2479835558140799</v>
      </c>
      <c r="N1179">
        <v>-9.0040436420214593</v>
      </c>
      <c r="O1179">
        <v>35</v>
      </c>
      <c r="P1179">
        <v>639.00199999999995</v>
      </c>
      <c r="Q1179">
        <v>58</v>
      </c>
      <c r="R1179">
        <v>12.96</v>
      </c>
    </row>
    <row r="1180" spans="1:18" x14ac:dyDescent="0.25">
      <c r="A1180" s="1" t="s">
        <v>45</v>
      </c>
      <c r="B1180" s="2" t="s">
        <v>57</v>
      </c>
      <c r="C1180" s="19">
        <v>43</v>
      </c>
      <c r="D1180" s="3" t="s">
        <v>496</v>
      </c>
      <c r="E1180" s="3" t="s">
        <v>18</v>
      </c>
      <c r="F1180" s="23">
        <v>112951</v>
      </c>
      <c r="G1180" s="15">
        <v>2007</v>
      </c>
      <c r="H1180" s="15">
        <f>Table_7[[#This Row],[Listing Price (USD)]]/10000</f>
        <v>11.2951</v>
      </c>
      <c r="I1180" s="28">
        <f>Table_7[[#This Row],[Length 
(ft)]]</f>
        <v>43</v>
      </c>
      <c r="J1180" s="28">
        <f>2020-Table_7[[#This Row],[Year]]</f>
        <v>13</v>
      </c>
      <c r="K1180">
        <v>188925995936.80701</v>
      </c>
      <c r="L1180">
        <v>17658.947301119199</v>
      </c>
      <c r="M1180">
        <v>-1.2479835558140799</v>
      </c>
      <c r="N1180">
        <v>-9.0040436420214593</v>
      </c>
      <c r="O1180">
        <v>35</v>
      </c>
      <c r="P1180">
        <v>639.00199999999995</v>
      </c>
      <c r="Q1180">
        <v>58</v>
      </c>
      <c r="R1180">
        <v>12.96</v>
      </c>
    </row>
    <row r="1181" spans="1:18" x14ac:dyDescent="0.25">
      <c r="A1181" s="1" t="s">
        <v>45</v>
      </c>
      <c r="B1181" s="2" t="s">
        <v>57</v>
      </c>
      <c r="C1181" s="19">
        <v>43</v>
      </c>
      <c r="D1181" s="3" t="s">
        <v>496</v>
      </c>
      <c r="E1181" s="3" t="s">
        <v>31</v>
      </c>
      <c r="F1181" s="23">
        <v>114789</v>
      </c>
      <c r="G1181" s="15">
        <v>2007</v>
      </c>
      <c r="H1181" s="15">
        <f>Table_7[[#This Row],[Listing Price (USD)]]/10000</f>
        <v>11.478899999999999</v>
      </c>
      <c r="I1181" s="28">
        <f>Table_7[[#This Row],[Length 
(ft)]]</f>
        <v>43</v>
      </c>
      <c r="J1181" s="28">
        <f>2020-Table_7[[#This Row],[Year]]</f>
        <v>13</v>
      </c>
      <c r="K1181">
        <v>57472012426.685303</v>
      </c>
      <c r="L1181">
        <v>14198.753959474399</v>
      </c>
      <c r="M1181">
        <v>0.15481137456202801</v>
      </c>
      <c r="N1181">
        <v>-8.5803430210621805</v>
      </c>
      <c r="O1181">
        <v>35</v>
      </c>
      <c r="P1181">
        <v>639.00199999999995</v>
      </c>
      <c r="Q1181">
        <v>58</v>
      </c>
      <c r="R1181">
        <v>12.96</v>
      </c>
    </row>
    <row r="1182" spans="1:18" x14ac:dyDescent="0.25">
      <c r="A1182" s="1" t="s">
        <v>45</v>
      </c>
      <c r="B1182" s="3" t="s">
        <v>57</v>
      </c>
      <c r="C1182" s="19">
        <v>43</v>
      </c>
      <c r="D1182" s="3" t="s">
        <v>495</v>
      </c>
      <c r="E1182" s="3" t="s">
        <v>554</v>
      </c>
      <c r="F1182" s="23">
        <v>129900</v>
      </c>
      <c r="G1182" s="15">
        <v>2007</v>
      </c>
      <c r="H1182" s="15">
        <f>Table_7[[#This Row],[Listing Price (USD)]]/10000</f>
        <v>12.99</v>
      </c>
      <c r="I1182" s="28">
        <f>Table_7[[#This Row],[Length 
(ft)]]</f>
        <v>43</v>
      </c>
      <c r="J1182" s="28">
        <f>2020-Table_7[[#This Row],[Year]]</f>
        <v>13</v>
      </c>
      <c r="K1182">
        <v>4200000000</v>
      </c>
      <c r="L1182">
        <v>39553.199999999997</v>
      </c>
      <c r="M1182">
        <v>4.0999999999999996</v>
      </c>
      <c r="N1182">
        <v>-2.1</v>
      </c>
      <c r="O1182">
        <v>35</v>
      </c>
      <c r="P1182">
        <v>639.00199999999995</v>
      </c>
      <c r="Q1182">
        <v>58</v>
      </c>
      <c r="R1182">
        <v>12.96</v>
      </c>
    </row>
    <row r="1183" spans="1:18" x14ac:dyDescent="0.25">
      <c r="A1183" s="1" t="s">
        <v>296</v>
      </c>
      <c r="B1183" s="2" t="s">
        <v>299</v>
      </c>
      <c r="C1183" s="19">
        <v>41</v>
      </c>
      <c r="D1183" s="3" t="s">
        <v>496</v>
      </c>
      <c r="E1183" s="3" t="s">
        <v>63</v>
      </c>
      <c r="F1183" s="23">
        <v>168843</v>
      </c>
      <c r="G1183" s="15">
        <v>2005</v>
      </c>
      <c r="H1183" s="15">
        <f>Table_7[[#This Row],[Listing Price (USD)]]/10000</f>
        <v>16.8843</v>
      </c>
      <c r="I1183" s="28">
        <f>Table_7[[#This Row],[Length 
(ft)]]</f>
        <v>41</v>
      </c>
      <c r="J1183" s="28">
        <f>2020-Table_7[[#This Row],[Year]]</f>
        <v>15</v>
      </c>
      <c r="K1183">
        <v>720290000034</v>
      </c>
      <c r="L1183">
        <v>13341.6</v>
      </c>
      <c r="M1183">
        <v>13</v>
      </c>
      <c r="N1183">
        <v>-3</v>
      </c>
      <c r="O1183">
        <v>36.090000000000003</v>
      </c>
      <c r="P1183">
        <v>686.00199999999995</v>
      </c>
      <c r="Q1183">
        <v>58</v>
      </c>
      <c r="R1183">
        <v>13.25</v>
      </c>
    </row>
    <row r="1184" spans="1:18" x14ac:dyDescent="0.25">
      <c r="A1184" s="1" t="s">
        <v>296</v>
      </c>
      <c r="B1184" s="2" t="s">
        <v>300</v>
      </c>
      <c r="C1184" s="19">
        <v>42</v>
      </c>
      <c r="D1184" s="3" t="s">
        <v>496</v>
      </c>
      <c r="E1184" s="3" t="s">
        <v>541</v>
      </c>
      <c r="F1184" s="23">
        <v>156696</v>
      </c>
      <c r="G1184" s="15">
        <v>2006</v>
      </c>
      <c r="H1184" s="15">
        <f>Table_7[[#This Row],[Listing Price (USD)]]/10000</f>
        <v>15.669600000000001</v>
      </c>
      <c r="I1184" s="28">
        <f>Table_7[[#This Row],[Length 
(ft)]]</f>
        <v>42</v>
      </c>
      <c r="J1184" s="28">
        <f>2020-Table_7[[#This Row],[Year]]</f>
        <v>14</v>
      </c>
      <c r="K1184">
        <v>1896755301518.1399</v>
      </c>
      <c r="L1184">
        <v>31911.0357890017</v>
      </c>
      <c r="M1184">
        <v>-0.13770757391656999</v>
      </c>
      <c r="N1184">
        <v>-9.0399534112288507</v>
      </c>
      <c r="O1184">
        <v>36.090000000000003</v>
      </c>
      <c r="P1184">
        <v>690.00199999999995</v>
      </c>
      <c r="Q1184">
        <v>58</v>
      </c>
      <c r="R1184">
        <v>13.25</v>
      </c>
    </row>
    <row r="1185" spans="1:18" x14ac:dyDescent="0.25">
      <c r="A1185" s="1" t="s">
        <v>296</v>
      </c>
      <c r="B1185" s="2" t="s">
        <v>300</v>
      </c>
      <c r="C1185" s="19">
        <v>42</v>
      </c>
      <c r="D1185" s="3" t="s">
        <v>496</v>
      </c>
      <c r="E1185" s="3" t="s">
        <v>24</v>
      </c>
      <c r="F1185" s="23">
        <v>188278</v>
      </c>
      <c r="G1185" s="15">
        <v>2007</v>
      </c>
      <c r="H1185" s="15">
        <f>Table_7[[#This Row],[Listing Price (USD)]]/10000</f>
        <v>18.8278</v>
      </c>
      <c r="I1185" s="28">
        <f>Table_7[[#This Row],[Length 
(ft)]]</f>
        <v>42</v>
      </c>
      <c r="J1185" s="28">
        <f>2020-Table_7[[#This Row],[Year]]</f>
        <v>13</v>
      </c>
      <c r="K1185">
        <v>1896755301518.1399</v>
      </c>
      <c r="L1185">
        <v>31911.0357890017</v>
      </c>
      <c r="M1185">
        <v>-0.13770757391656999</v>
      </c>
      <c r="N1185">
        <v>-9.0399534112288507</v>
      </c>
      <c r="O1185">
        <v>36.090000000000003</v>
      </c>
      <c r="P1185">
        <v>690.00199999999995</v>
      </c>
      <c r="Q1185">
        <v>58</v>
      </c>
      <c r="R1185">
        <v>13.25</v>
      </c>
    </row>
    <row r="1186" spans="1:18" x14ac:dyDescent="0.25">
      <c r="A1186" s="1" t="s">
        <v>296</v>
      </c>
      <c r="B1186" s="2" t="s">
        <v>300</v>
      </c>
      <c r="C1186" s="19">
        <v>42</v>
      </c>
      <c r="D1186" s="3" t="s">
        <v>496</v>
      </c>
      <c r="E1186" s="3" t="s">
        <v>9</v>
      </c>
      <c r="F1186" s="23">
        <v>193137</v>
      </c>
      <c r="G1186" s="15">
        <v>2006</v>
      </c>
      <c r="H1186" s="15">
        <f>Table_7[[#This Row],[Listing Price (USD)]]/10000</f>
        <v>19.313700000000001</v>
      </c>
      <c r="I1186" s="28">
        <f>Table_7[[#This Row],[Length 
(ft)]]</f>
        <v>42</v>
      </c>
      <c r="J1186" s="28">
        <f>2020-Table_7[[#This Row],[Year]]</f>
        <v>14</v>
      </c>
      <c r="K1186">
        <v>1276962685648.25</v>
      </c>
      <c r="L1186">
        <v>26959.675436732599</v>
      </c>
      <c r="M1186">
        <v>-0.32275301729970501</v>
      </c>
      <c r="N1186">
        <v>-11.3254383222864</v>
      </c>
      <c r="O1186">
        <v>36.090000000000003</v>
      </c>
      <c r="P1186">
        <v>690.00199999999995</v>
      </c>
      <c r="Q1186">
        <v>58</v>
      </c>
      <c r="R1186">
        <v>13.25</v>
      </c>
    </row>
    <row r="1187" spans="1:18" x14ac:dyDescent="0.25">
      <c r="A1187" s="1" t="s">
        <v>281</v>
      </c>
      <c r="B1187" s="2">
        <v>42</v>
      </c>
      <c r="C1187" s="19">
        <v>43</v>
      </c>
      <c r="D1187" s="3" t="s">
        <v>496</v>
      </c>
      <c r="E1187" s="3" t="s">
        <v>19</v>
      </c>
      <c r="F1187" s="23">
        <v>166473</v>
      </c>
      <c r="G1187" s="15">
        <v>2005</v>
      </c>
      <c r="H1187" s="15">
        <f>Table_7[[#This Row],[Listing Price (USD)]]/10000</f>
        <v>16.647300000000001</v>
      </c>
      <c r="I1187" s="28">
        <f>Table_7[[#This Row],[Length 
(ft)]]</f>
        <v>43</v>
      </c>
      <c r="J1187" s="28">
        <f>2020-Table_7[[#This Row],[Year]]</f>
        <v>15</v>
      </c>
      <c r="K1187">
        <v>4200000000</v>
      </c>
      <c r="L1187">
        <v>39553.199999999997</v>
      </c>
      <c r="M1187">
        <v>4.0999999999999996</v>
      </c>
      <c r="N1187">
        <v>-2.1</v>
      </c>
      <c r="O1187">
        <v>37.57</v>
      </c>
      <c r="P1187">
        <v>838</v>
      </c>
      <c r="Q1187">
        <v>55</v>
      </c>
      <c r="R1187">
        <v>12.53</v>
      </c>
    </row>
    <row r="1188" spans="1:18" x14ac:dyDescent="0.25">
      <c r="A1188" s="1" t="s">
        <v>270</v>
      </c>
      <c r="B1188" s="2">
        <v>42</v>
      </c>
      <c r="C1188" s="19">
        <v>42</v>
      </c>
      <c r="D1188" s="3" t="s">
        <v>496</v>
      </c>
      <c r="E1188" s="3" t="s">
        <v>18</v>
      </c>
      <c r="F1188" s="23">
        <v>194351</v>
      </c>
      <c r="G1188" s="15">
        <v>2013</v>
      </c>
      <c r="H1188" s="15">
        <f>Table_7[[#This Row],[Listing Price (USD)]]/10000</f>
        <v>19.435099999999998</v>
      </c>
      <c r="I1188" s="28">
        <f>Table_7[[#This Row],[Length 
(ft)]]</f>
        <v>42</v>
      </c>
      <c r="J1188" s="28">
        <f>2020-Table_7[[#This Row],[Year]]</f>
        <v>7</v>
      </c>
      <c r="K1188">
        <v>188925995936.80701</v>
      </c>
      <c r="L1188">
        <v>17658.947301119199</v>
      </c>
      <c r="M1188">
        <v>-1.2479835558140799</v>
      </c>
      <c r="N1188">
        <v>-9.0040436420214593</v>
      </c>
      <c r="O1188">
        <v>37.57</v>
      </c>
      <c r="P1188">
        <v>838</v>
      </c>
      <c r="Q1188">
        <v>55</v>
      </c>
      <c r="R1188">
        <v>12.53</v>
      </c>
    </row>
    <row r="1189" spans="1:18" x14ac:dyDescent="0.25">
      <c r="A1189" s="1" t="s">
        <v>273</v>
      </c>
      <c r="B1189" s="2">
        <v>42</v>
      </c>
      <c r="C1189" s="19">
        <v>42</v>
      </c>
      <c r="D1189" s="3" t="s">
        <v>496</v>
      </c>
      <c r="E1189" s="3" t="s">
        <v>24</v>
      </c>
      <c r="F1189" s="23">
        <v>205284</v>
      </c>
      <c r="G1189" s="15">
        <v>2007</v>
      </c>
      <c r="H1189" s="15">
        <f>Table_7[[#This Row],[Listing Price (USD)]]/10000</f>
        <v>20.528400000000001</v>
      </c>
      <c r="I1189" s="28">
        <f>Table_7[[#This Row],[Length 
(ft)]]</f>
        <v>42</v>
      </c>
      <c r="J1189" s="28">
        <f>2020-Table_7[[#This Row],[Year]]</f>
        <v>13</v>
      </c>
      <c r="K1189">
        <v>1896755301518.1399</v>
      </c>
      <c r="L1189">
        <v>31911.0357890017</v>
      </c>
      <c r="M1189">
        <v>-0.13770757391656999</v>
      </c>
      <c r="N1189">
        <v>-9.0399534112288507</v>
      </c>
      <c r="O1189">
        <v>37.57</v>
      </c>
      <c r="P1189">
        <v>838</v>
      </c>
      <c r="Q1189">
        <v>55</v>
      </c>
      <c r="R1189">
        <v>12.53</v>
      </c>
    </row>
    <row r="1190" spans="1:18" x14ac:dyDescent="0.25">
      <c r="A1190" s="1" t="s">
        <v>275</v>
      </c>
      <c r="B1190" s="2">
        <v>42</v>
      </c>
      <c r="C1190" s="19">
        <v>40</v>
      </c>
      <c r="D1190" s="3" t="s">
        <v>496</v>
      </c>
      <c r="E1190" s="3" t="s">
        <v>24</v>
      </c>
      <c r="F1190" s="23">
        <v>327968</v>
      </c>
      <c r="G1190" s="15">
        <v>2013</v>
      </c>
      <c r="H1190" s="15">
        <f>Table_7[[#This Row],[Listing Price (USD)]]/10000</f>
        <v>32.796799999999998</v>
      </c>
      <c r="I1190" s="28">
        <f>Table_7[[#This Row],[Length 
(ft)]]</f>
        <v>40</v>
      </c>
      <c r="J1190" s="28">
        <f>2020-Table_7[[#This Row],[Year]]</f>
        <v>7</v>
      </c>
      <c r="K1190">
        <v>1896755301518.1399</v>
      </c>
      <c r="L1190">
        <v>31911.0357890017</v>
      </c>
      <c r="M1190">
        <v>-0.13770757391656999</v>
      </c>
      <c r="N1190">
        <v>-9.0399534112288507</v>
      </c>
      <c r="O1190">
        <v>37.57</v>
      </c>
      <c r="P1190">
        <v>838</v>
      </c>
      <c r="Q1190">
        <v>55</v>
      </c>
      <c r="R1190">
        <v>12.53</v>
      </c>
    </row>
    <row r="1191" spans="1:18" x14ac:dyDescent="0.25">
      <c r="A1191" s="1" t="s">
        <v>270</v>
      </c>
      <c r="B1191" s="2">
        <v>45</v>
      </c>
      <c r="C1191" s="19">
        <v>44</v>
      </c>
      <c r="D1191" s="3" t="s">
        <v>496</v>
      </c>
      <c r="E1191" s="3" t="s">
        <v>24</v>
      </c>
      <c r="F1191" s="23">
        <v>91858</v>
      </c>
      <c r="G1191" s="15">
        <v>2005</v>
      </c>
      <c r="H1191" s="15">
        <f>Table_7[[#This Row],[Listing Price (USD)]]/10000</f>
        <v>9.1858000000000004</v>
      </c>
      <c r="I1191" s="28">
        <f>Table_7[[#This Row],[Length 
(ft)]]</f>
        <v>44</v>
      </c>
      <c r="J1191" s="28">
        <f>2020-Table_7[[#This Row],[Year]]</f>
        <v>15</v>
      </c>
      <c r="K1191">
        <v>1896755301518.1399</v>
      </c>
      <c r="L1191">
        <v>31911.0357890017</v>
      </c>
      <c r="M1191">
        <v>-0.13770757391656999</v>
      </c>
      <c r="N1191">
        <v>-9.0399534112288507</v>
      </c>
      <c r="O1191">
        <v>35.630000000000003</v>
      </c>
      <c r="P1191">
        <v>936</v>
      </c>
      <c r="Q1191">
        <v>55</v>
      </c>
      <c r="R1191">
        <v>13.62</v>
      </c>
    </row>
    <row r="1192" spans="1:18" x14ac:dyDescent="0.25">
      <c r="A1192" s="1" t="s">
        <v>270</v>
      </c>
      <c r="B1192" s="2">
        <v>45</v>
      </c>
      <c r="C1192" s="19">
        <v>44</v>
      </c>
      <c r="D1192" s="3" t="s">
        <v>496</v>
      </c>
      <c r="E1192" s="3" t="s">
        <v>176</v>
      </c>
      <c r="F1192" s="23">
        <v>127543</v>
      </c>
      <c r="G1192" s="15">
        <v>2005</v>
      </c>
      <c r="H1192" s="15">
        <f>Table_7[[#This Row],[Listing Price (USD)]]/10000</f>
        <v>12.754300000000001</v>
      </c>
      <c r="I1192" s="28">
        <f>Table_7[[#This Row],[Length 
(ft)]]</f>
        <v>44</v>
      </c>
      <c r="J1192" s="28">
        <f>2020-Table_7[[#This Row],[Year]]</f>
        <v>15</v>
      </c>
      <c r="K1192">
        <v>25008448886.3507</v>
      </c>
      <c r="L1192">
        <v>28036.189453125</v>
      </c>
      <c r="M1192">
        <v>-0.638422797978907</v>
      </c>
      <c r="N1192">
        <v>-4.3724741857521501</v>
      </c>
      <c r="O1192">
        <v>35.630000000000003</v>
      </c>
      <c r="P1192">
        <v>936</v>
      </c>
      <c r="Q1192">
        <v>55</v>
      </c>
      <c r="R1192">
        <v>13.62</v>
      </c>
    </row>
    <row r="1193" spans="1:18" x14ac:dyDescent="0.25">
      <c r="A1193" s="1" t="s">
        <v>164</v>
      </c>
      <c r="B1193" s="2">
        <v>45</v>
      </c>
      <c r="C1193" s="19">
        <v>45</v>
      </c>
      <c r="D1193" s="3" t="s">
        <v>496</v>
      </c>
      <c r="E1193" s="3" t="s">
        <v>63</v>
      </c>
      <c r="F1193" s="23">
        <v>144549</v>
      </c>
      <c r="G1193" s="15">
        <v>2006</v>
      </c>
      <c r="H1193" s="15">
        <f>Table_7[[#This Row],[Listing Price (USD)]]/10000</f>
        <v>14.4549</v>
      </c>
      <c r="I1193" s="28">
        <f>Table_7[[#This Row],[Length 
(ft)]]</f>
        <v>45</v>
      </c>
      <c r="J1193" s="28">
        <f>2020-Table_7[[#This Row],[Year]]</f>
        <v>14</v>
      </c>
      <c r="K1193">
        <v>720290000000</v>
      </c>
      <c r="L1193">
        <v>13341.6</v>
      </c>
      <c r="M1193">
        <v>13</v>
      </c>
      <c r="N1193">
        <v>-3</v>
      </c>
      <c r="O1193">
        <v>35.630000000000003</v>
      </c>
      <c r="P1193">
        <v>936</v>
      </c>
      <c r="Q1193">
        <v>55</v>
      </c>
      <c r="R1193">
        <v>13.62</v>
      </c>
    </row>
    <row r="1194" spans="1:18" x14ac:dyDescent="0.25">
      <c r="A1194" s="1" t="s">
        <v>164</v>
      </c>
      <c r="B1194" s="2">
        <v>45</v>
      </c>
      <c r="C1194" s="19">
        <v>45</v>
      </c>
      <c r="D1194" s="3" t="s">
        <v>496</v>
      </c>
      <c r="E1194" s="3" t="s">
        <v>63</v>
      </c>
      <c r="F1194" s="23">
        <v>156742</v>
      </c>
      <c r="G1194" s="15">
        <v>2006</v>
      </c>
      <c r="H1194" s="15">
        <f>Table_7[[#This Row],[Listing Price (USD)]]/10000</f>
        <v>15.674200000000001</v>
      </c>
      <c r="I1194" s="28">
        <f>Table_7[[#This Row],[Length 
(ft)]]</f>
        <v>45</v>
      </c>
      <c r="J1194" s="28">
        <f>2020-Table_7[[#This Row],[Year]]</f>
        <v>14</v>
      </c>
      <c r="K1194">
        <v>720290000023</v>
      </c>
      <c r="L1194">
        <v>13341.6</v>
      </c>
      <c r="M1194">
        <v>13</v>
      </c>
      <c r="N1194">
        <v>-3</v>
      </c>
      <c r="O1194">
        <v>35.630000000000003</v>
      </c>
      <c r="P1194">
        <v>936</v>
      </c>
      <c r="Q1194">
        <v>55</v>
      </c>
      <c r="R1194">
        <v>13.62</v>
      </c>
    </row>
    <row r="1195" spans="1:18" x14ac:dyDescent="0.25">
      <c r="A1195" s="1" t="s">
        <v>270</v>
      </c>
      <c r="B1195" s="2">
        <v>45</v>
      </c>
      <c r="C1195" s="19">
        <v>44</v>
      </c>
      <c r="D1195" s="3" t="s">
        <v>496</v>
      </c>
      <c r="E1195" s="3" t="s">
        <v>24</v>
      </c>
      <c r="F1195" s="23">
        <v>170057</v>
      </c>
      <c r="G1195" s="15">
        <v>2008</v>
      </c>
      <c r="H1195" s="15">
        <f>Table_7[[#This Row],[Listing Price (USD)]]/10000</f>
        <v>17.005700000000001</v>
      </c>
      <c r="I1195" s="28">
        <f>Table_7[[#This Row],[Length 
(ft)]]</f>
        <v>44</v>
      </c>
      <c r="J1195" s="28">
        <f>2020-Table_7[[#This Row],[Year]]</f>
        <v>12</v>
      </c>
      <c r="K1195">
        <v>1896755301518.1399</v>
      </c>
      <c r="L1195">
        <v>31911.0357890017</v>
      </c>
      <c r="M1195">
        <v>-0.13770757391656999</v>
      </c>
      <c r="N1195">
        <v>-9.0399534112288507</v>
      </c>
      <c r="O1195">
        <v>35.630000000000003</v>
      </c>
      <c r="P1195">
        <v>936</v>
      </c>
      <c r="Q1195">
        <v>55</v>
      </c>
      <c r="R1195">
        <v>13.62</v>
      </c>
    </row>
    <row r="1196" spans="1:18" x14ac:dyDescent="0.25">
      <c r="A1196" s="1" t="s">
        <v>164</v>
      </c>
      <c r="B1196" s="2">
        <v>45</v>
      </c>
      <c r="C1196" s="19">
        <v>45</v>
      </c>
      <c r="D1196" s="3" t="s">
        <v>496</v>
      </c>
      <c r="E1196" s="3" t="s">
        <v>24</v>
      </c>
      <c r="F1196" s="23">
        <v>176176</v>
      </c>
      <c r="G1196" s="15">
        <v>2006</v>
      </c>
      <c r="H1196" s="15">
        <f>Table_7[[#This Row],[Listing Price (USD)]]/10000</f>
        <v>17.617599999999999</v>
      </c>
      <c r="I1196" s="28">
        <f>Table_7[[#This Row],[Length 
(ft)]]</f>
        <v>45</v>
      </c>
      <c r="J1196" s="28">
        <f>2020-Table_7[[#This Row],[Year]]</f>
        <v>14</v>
      </c>
      <c r="K1196">
        <v>1896755301518.1399</v>
      </c>
      <c r="L1196">
        <v>31911.0357890017</v>
      </c>
      <c r="M1196">
        <v>-0.13770757391656999</v>
      </c>
      <c r="N1196">
        <v>-9.0399534112288507</v>
      </c>
      <c r="O1196">
        <v>35.630000000000003</v>
      </c>
      <c r="P1196">
        <v>936</v>
      </c>
      <c r="Q1196">
        <v>55</v>
      </c>
      <c r="R1196">
        <v>13.62</v>
      </c>
    </row>
    <row r="1197" spans="1:18" x14ac:dyDescent="0.25">
      <c r="A1197" s="1" t="s">
        <v>164</v>
      </c>
      <c r="B1197" s="2">
        <v>45</v>
      </c>
      <c r="C1197" s="19">
        <v>45</v>
      </c>
      <c r="D1197" s="3" t="s">
        <v>496</v>
      </c>
      <c r="E1197" s="3" t="s">
        <v>24</v>
      </c>
      <c r="F1197" s="23">
        <v>193137</v>
      </c>
      <c r="G1197" s="15">
        <v>2007</v>
      </c>
      <c r="H1197" s="15">
        <f>Table_7[[#This Row],[Listing Price (USD)]]/10000</f>
        <v>19.313700000000001</v>
      </c>
      <c r="I1197" s="28">
        <f>Table_7[[#This Row],[Length 
(ft)]]</f>
        <v>45</v>
      </c>
      <c r="J1197" s="28">
        <f>2020-Table_7[[#This Row],[Year]]</f>
        <v>13</v>
      </c>
      <c r="K1197">
        <v>1896755301518.1399</v>
      </c>
      <c r="L1197">
        <v>31911.0357890017</v>
      </c>
      <c r="M1197">
        <v>-0.13770757391656999</v>
      </c>
      <c r="N1197">
        <v>-9.0399534112288507</v>
      </c>
      <c r="O1197">
        <v>35.630000000000003</v>
      </c>
      <c r="P1197">
        <v>936</v>
      </c>
      <c r="Q1197">
        <v>55</v>
      </c>
      <c r="R1197">
        <v>13.62</v>
      </c>
    </row>
    <row r="1198" spans="1:18" x14ac:dyDescent="0.25">
      <c r="A1198" s="1" t="s">
        <v>164</v>
      </c>
      <c r="B1198" s="2">
        <v>45</v>
      </c>
      <c r="C1198" s="19">
        <v>45</v>
      </c>
      <c r="D1198" s="3" t="s">
        <v>496</v>
      </c>
      <c r="E1198" s="3" t="s">
        <v>24</v>
      </c>
      <c r="F1198" s="23">
        <v>193137</v>
      </c>
      <c r="G1198" s="15">
        <v>2006</v>
      </c>
      <c r="H1198" s="15">
        <f>Table_7[[#This Row],[Listing Price (USD)]]/10000</f>
        <v>19.313700000000001</v>
      </c>
      <c r="I1198" s="28">
        <f>Table_7[[#This Row],[Length 
(ft)]]</f>
        <v>45</v>
      </c>
      <c r="J1198" s="28">
        <f>2020-Table_7[[#This Row],[Year]]</f>
        <v>14</v>
      </c>
      <c r="K1198">
        <v>1896755301518.1399</v>
      </c>
      <c r="L1198">
        <v>31911.0357890017</v>
      </c>
      <c r="M1198">
        <v>-0.13770757391656999</v>
      </c>
      <c r="N1198">
        <v>-9.0399534112288507</v>
      </c>
      <c r="O1198">
        <v>35.630000000000003</v>
      </c>
      <c r="P1198">
        <v>936</v>
      </c>
      <c r="Q1198">
        <v>55</v>
      </c>
      <c r="R1198">
        <v>13.62</v>
      </c>
    </row>
    <row r="1199" spans="1:18" x14ac:dyDescent="0.25">
      <c r="A1199" s="1" t="s">
        <v>164</v>
      </c>
      <c r="B1199" s="2">
        <v>45</v>
      </c>
      <c r="C1199" s="19">
        <v>45</v>
      </c>
      <c r="D1199" s="3" t="s">
        <v>496</v>
      </c>
      <c r="E1199" s="3" t="s">
        <v>3</v>
      </c>
      <c r="F1199" s="23">
        <v>194230</v>
      </c>
      <c r="G1199" s="15">
        <v>2007</v>
      </c>
      <c r="H1199" s="15">
        <f>Table_7[[#This Row],[Listing Price (USD)]]/10000</f>
        <v>19.422999999999998</v>
      </c>
      <c r="I1199" s="28">
        <f>Table_7[[#This Row],[Length 
(ft)]]</f>
        <v>45</v>
      </c>
      <c r="J1199" s="28">
        <f>2020-Table_7[[#This Row],[Year]]</f>
        <v>13</v>
      </c>
      <c r="K1199">
        <v>2639008701648.2598</v>
      </c>
      <c r="L1199">
        <v>39055.282928075401</v>
      </c>
      <c r="M1199">
        <v>0.47649885272508302</v>
      </c>
      <c r="N1199">
        <v>-7.7845864916787102</v>
      </c>
      <c r="O1199">
        <v>35.630000000000003</v>
      </c>
      <c r="P1199">
        <v>936</v>
      </c>
      <c r="Q1199">
        <v>55</v>
      </c>
      <c r="R1199">
        <v>13.62</v>
      </c>
    </row>
    <row r="1200" spans="1:18" x14ac:dyDescent="0.25">
      <c r="A1200" s="1" t="s">
        <v>164</v>
      </c>
      <c r="B1200" s="2">
        <v>45</v>
      </c>
      <c r="C1200" s="19">
        <v>45</v>
      </c>
      <c r="D1200" s="3" t="s">
        <v>496</v>
      </c>
      <c r="E1200" s="3" t="s">
        <v>24</v>
      </c>
      <c r="F1200" s="23">
        <v>200425</v>
      </c>
      <c r="G1200" s="15">
        <v>2006</v>
      </c>
      <c r="H1200" s="15">
        <f>Table_7[[#This Row],[Listing Price (USD)]]/10000</f>
        <v>20.0425</v>
      </c>
      <c r="I1200" s="28">
        <f>Table_7[[#This Row],[Length 
(ft)]]</f>
        <v>45</v>
      </c>
      <c r="J1200" s="28">
        <f>2020-Table_7[[#This Row],[Year]]</f>
        <v>14</v>
      </c>
      <c r="K1200">
        <v>1896755301518.1399</v>
      </c>
      <c r="L1200">
        <v>31911.0357890017</v>
      </c>
      <c r="M1200">
        <v>-0.13770757391656999</v>
      </c>
      <c r="N1200">
        <v>-9.0399534112288507</v>
      </c>
      <c r="O1200">
        <v>35.630000000000003</v>
      </c>
      <c r="P1200">
        <v>936</v>
      </c>
      <c r="Q1200">
        <v>55</v>
      </c>
      <c r="R1200">
        <v>13.62</v>
      </c>
    </row>
    <row r="1201" spans="1:18" x14ac:dyDescent="0.25">
      <c r="A1201" s="1" t="s">
        <v>164</v>
      </c>
      <c r="B1201" s="2">
        <v>45</v>
      </c>
      <c r="C1201" s="19">
        <v>45</v>
      </c>
      <c r="D1201" s="3" t="s">
        <v>496</v>
      </c>
      <c r="E1201" s="3" t="s">
        <v>63</v>
      </c>
      <c r="F1201" s="23">
        <v>200484</v>
      </c>
      <c r="G1201" s="15">
        <v>2007</v>
      </c>
      <c r="H1201" s="15">
        <f>Table_7[[#This Row],[Listing Price (USD)]]/10000</f>
        <v>20.048400000000001</v>
      </c>
      <c r="I1201" s="28">
        <f>Table_7[[#This Row],[Length 
(ft)]]</f>
        <v>45</v>
      </c>
      <c r="J1201" s="28">
        <f>2020-Table_7[[#This Row],[Year]]</f>
        <v>13</v>
      </c>
      <c r="K1201">
        <v>720290000000</v>
      </c>
      <c r="L1201">
        <v>13341.6</v>
      </c>
      <c r="M1201">
        <v>13</v>
      </c>
      <c r="N1201">
        <v>-3</v>
      </c>
      <c r="O1201">
        <v>35.630000000000003</v>
      </c>
      <c r="P1201">
        <v>936</v>
      </c>
      <c r="Q1201">
        <v>55</v>
      </c>
      <c r="R1201">
        <v>13.62</v>
      </c>
    </row>
    <row r="1202" spans="1:18" x14ac:dyDescent="0.25">
      <c r="A1202" s="1" t="s">
        <v>117</v>
      </c>
      <c r="B1202" s="2">
        <v>45</v>
      </c>
      <c r="C1202" s="19">
        <v>45</v>
      </c>
      <c r="D1202" s="3" t="s">
        <v>496</v>
      </c>
      <c r="E1202" s="3" t="s">
        <v>124</v>
      </c>
      <c r="F1202" s="23">
        <v>201732</v>
      </c>
      <c r="G1202" s="15">
        <v>2011</v>
      </c>
      <c r="H1202" s="15">
        <f>Table_7[[#This Row],[Listing Price (USD)]]/10000</f>
        <v>20.173200000000001</v>
      </c>
      <c r="I1202" s="28">
        <f>Table_7[[#This Row],[Length 
(ft)]]</f>
        <v>45</v>
      </c>
      <c r="J1202" s="28">
        <f>2020-Table_7[[#This Row],[Year]]</f>
        <v>9</v>
      </c>
      <c r="K1202">
        <v>547054174235.87598</v>
      </c>
      <c r="L1202">
        <v>52837.903977814902</v>
      </c>
      <c r="M1202">
        <v>0.497367318853562</v>
      </c>
      <c r="N1202">
        <v>-2.1702131788587198</v>
      </c>
      <c r="O1202">
        <v>35.630000000000003</v>
      </c>
      <c r="P1202">
        <v>936</v>
      </c>
      <c r="Q1202">
        <v>55</v>
      </c>
      <c r="R1202">
        <v>13.62</v>
      </c>
    </row>
    <row r="1203" spans="1:18" x14ac:dyDescent="0.25">
      <c r="A1203" s="1" t="s">
        <v>164</v>
      </c>
      <c r="B1203" s="2">
        <v>45</v>
      </c>
      <c r="C1203" s="19">
        <v>45</v>
      </c>
      <c r="D1203" s="3" t="s">
        <v>496</v>
      </c>
      <c r="E1203" s="3" t="s">
        <v>24</v>
      </c>
      <c r="F1203" s="23">
        <v>212572</v>
      </c>
      <c r="G1203" s="15">
        <v>2008</v>
      </c>
      <c r="H1203" s="15">
        <f>Table_7[[#This Row],[Listing Price (USD)]]/10000</f>
        <v>21.257200000000001</v>
      </c>
      <c r="I1203" s="28">
        <f>Table_7[[#This Row],[Length 
(ft)]]</f>
        <v>45</v>
      </c>
      <c r="J1203" s="28">
        <f>2020-Table_7[[#This Row],[Year]]</f>
        <v>12</v>
      </c>
      <c r="K1203">
        <v>1896755301518.1399</v>
      </c>
      <c r="L1203">
        <v>31911.0357890017</v>
      </c>
      <c r="M1203">
        <v>-0.13770757391656999</v>
      </c>
      <c r="N1203">
        <v>-9.0399534112288507</v>
      </c>
      <c r="O1203">
        <v>35.630000000000003</v>
      </c>
      <c r="P1203">
        <v>936</v>
      </c>
      <c r="Q1203">
        <v>55</v>
      </c>
      <c r="R1203">
        <v>13.62</v>
      </c>
    </row>
    <row r="1204" spans="1:18" x14ac:dyDescent="0.25">
      <c r="A1204" s="1" t="s">
        <v>14</v>
      </c>
      <c r="B1204" s="2" t="s">
        <v>17</v>
      </c>
      <c r="C1204" s="19">
        <v>39</v>
      </c>
      <c r="D1204" s="3" t="s">
        <v>496</v>
      </c>
      <c r="E1204" s="3" t="s">
        <v>198</v>
      </c>
      <c r="F1204" s="23">
        <v>59520</v>
      </c>
      <c r="G1204" s="15">
        <v>2006</v>
      </c>
      <c r="H1204" s="15">
        <f>Table_7[[#This Row],[Listing Price (USD)]]/10000</f>
        <v>5.952</v>
      </c>
      <c r="I1204" s="28">
        <f>Table_7[[#This Row],[Length 
(ft)]]</f>
        <v>39</v>
      </c>
      <c r="J1204" s="28">
        <f>2020-Table_7[[#This Row],[Year]]</f>
        <v>14</v>
      </c>
      <c r="K1204">
        <v>53706800043.684196</v>
      </c>
      <c r="L1204">
        <v>25545.241002713599</v>
      </c>
      <c r="M1204">
        <v>-5.4856815760606699E-2</v>
      </c>
      <c r="N1204">
        <v>-4.3213699045106999</v>
      </c>
      <c r="O1204">
        <v>35.159999999999997</v>
      </c>
      <c r="P1204">
        <v>890.00199999999995</v>
      </c>
      <c r="Q1204">
        <v>55</v>
      </c>
      <c r="R1204">
        <v>13</v>
      </c>
    </row>
    <row r="1205" spans="1:18" x14ac:dyDescent="0.25">
      <c r="A1205" s="1" t="s">
        <v>14</v>
      </c>
      <c r="B1205" s="2" t="s">
        <v>17</v>
      </c>
      <c r="C1205" s="19">
        <v>39</v>
      </c>
      <c r="D1205" s="3" t="s">
        <v>496</v>
      </c>
      <c r="E1205" s="3" t="s">
        <v>18</v>
      </c>
      <c r="F1205" s="23">
        <v>66748</v>
      </c>
      <c r="G1205" s="15">
        <v>2005</v>
      </c>
      <c r="H1205" s="15">
        <f>Table_7[[#This Row],[Listing Price (USD)]]/10000</f>
        <v>6.6748000000000003</v>
      </c>
      <c r="I1205" s="28">
        <f>Table_7[[#This Row],[Length 
(ft)]]</f>
        <v>39</v>
      </c>
      <c r="J1205" s="28">
        <f>2020-Table_7[[#This Row],[Year]]</f>
        <v>15</v>
      </c>
      <c r="K1205">
        <v>188925995936.80701</v>
      </c>
      <c r="L1205">
        <v>17658.947301119199</v>
      </c>
      <c r="M1205">
        <v>-1.2479835558140799</v>
      </c>
      <c r="N1205">
        <v>-9.0040436420214593</v>
      </c>
      <c r="O1205">
        <v>35.159999999999997</v>
      </c>
      <c r="P1205">
        <v>890.00199999999995</v>
      </c>
      <c r="Q1205">
        <v>55</v>
      </c>
      <c r="R1205">
        <v>13</v>
      </c>
    </row>
    <row r="1206" spans="1:18" x14ac:dyDescent="0.25">
      <c r="A1206" s="1" t="s">
        <v>14</v>
      </c>
      <c r="B1206" s="2" t="s">
        <v>17</v>
      </c>
      <c r="C1206" s="19">
        <v>39</v>
      </c>
      <c r="D1206" s="3" t="s">
        <v>496</v>
      </c>
      <c r="E1206" s="3" t="s">
        <v>18</v>
      </c>
      <c r="F1206" s="23">
        <v>67537</v>
      </c>
      <c r="G1206" s="15">
        <v>2007</v>
      </c>
      <c r="H1206" s="15">
        <f>Table_7[[#This Row],[Listing Price (USD)]]/10000</f>
        <v>6.7537000000000003</v>
      </c>
      <c r="I1206" s="28">
        <f>Table_7[[#This Row],[Length 
(ft)]]</f>
        <v>39</v>
      </c>
      <c r="J1206" s="28">
        <f>2020-Table_7[[#This Row],[Year]]</f>
        <v>13</v>
      </c>
      <c r="K1206">
        <v>188925995936.80701</v>
      </c>
      <c r="L1206">
        <v>17658.947301119199</v>
      </c>
      <c r="M1206">
        <v>-1.2479835558140799</v>
      </c>
      <c r="N1206">
        <v>-9.0040436420214593</v>
      </c>
      <c r="O1206">
        <v>35.159999999999997</v>
      </c>
      <c r="P1206">
        <v>890.00199999999995</v>
      </c>
      <c r="Q1206">
        <v>55</v>
      </c>
      <c r="R1206">
        <v>13</v>
      </c>
    </row>
    <row r="1207" spans="1:18" x14ac:dyDescent="0.25">
      <c r="A1207" s="1" t="s">
        <v>14</v>
      </c>
      <c r="B1207" s="2" t="s">
        <v>17</v>
      </c>
      <c r="C1207" s="19">
        <v>39</v>
      </c>
      <c r="D1207" s="3" t="s">
        <v>496</v>
      </c>
      <c r="E1207" s="3" t="s">
        <v>18</v>
      </c>
      <c r="F1207" s="23">
        <v>68023</v>
      </c>
      <c r="G1207" s="15">
        <v>2007</v>
      </c>
      <c r="H1207" s="15">
        <f>Table_7[[#This Row],[Listing Price (USD)]]/10000</f>
        <v>6.8022999999999998</v>
      </c>
      <c r="I1207" s="28">
        <f>Table_7[[#This Row],[Length 
(ft)]]</f>
        <v>39</v>
      </c>
      <c r="J1207" s="28">
        <f>2020-Table_7[[#This Row],[Year]]</f>
        <v>13</v>
      </c>
      <c r="K1207">
        <v>188925995936.80701</v>
      </c>
      <c r="L1207">
        <v>17658.947301119199</v>
      </c>
      <c r="M1207">
        <v>-1.2479835558140799</v>
      </c>
      <c r="N1207">
        <v>-9.0040436420214593</v>
      </c>
      <c r="O1207">
        <v>35.159999999999997</v>
      </c>
      <c r="P1207">
        <v>890.00199999999995</v>
      </c>
      <c r="Q1207">
        <v>55</v>
      </c>
      <c r="R1207">
        <v>13</v>
      </c>
    </row>
    <row r="1208" spans="1:18" x14ac:dyDescent="0.25">
      <c r="A1208" s="1" t="s">
        <v>14</v>
      </c>
      <c r="B1208" s="2" t="s">
        <v>17</v>
      </c>
      <c r="C1208" s="19">
        <v>39</v>
      </c>
      <c r="D1208" s="3" t="s">
        <v>496</v>
      </c>
      <c r="E1208" s="3" t="s">
        <v>18</v>
      </c>
      <c r="F1208" s="23">
        <v>68040</v>
      </c>
      <c r="G1208" s="15">
        <v>2007</v>
      </c>
      <c r="H1208" s="15">
        <f>Table_7[[#This Row],[Listing Price (USD)]]/10000</f>
        <v>6.8040000000000003</v>
      </c>
      <c r="I1208" s="28">
        <f>Table_7[[#This Row],[Length 
(ft)]]</f>
        <v>39</v>
      </c>
      <c r="J1208" s="28">
        <f>2020-Table_7[[#This Row],[Year]]</f>
        <v>13</v>
      </c>
      <c r="K1208">
        <v>188925995936.80701</v>
      </c>
      <c r="L1208">
        <v>17658.947301119199</v>
      </c>
      <c r="M1208">
        <v>-1.2479835558140799</v>
      </c>
      <c r="N1208">
        <v>-9.0040436420214593</v>
      </c>
      <c r="O1208">
        <v>35.159999999999997</v>
      </c>
      <c r="P1208">
        <v>890.00199999999995</v>
      </c>
      <c r="Q1208">
        <v>55</v>
      </c>
      <c r="R1208">
        <v>13</v>
      </c>
    </row>
    <row r="1209" spans="1:18" x14ac:dyDescent="0.25">
      <c r="A1209" s="1" t="s">
        <v>14</v>
      </c>
      <c r="B1209" s="2" t="s">
        <v>17</v>
      </c>
      <c r="C1209" s="19">
        <v>39</v>
      </c>
      <c r="D1209" s="3" t="s">
        <v>496</v>
      </c>
      <c r="E1209" s="3" t="s">
        <v>18</v>
      </c>
      <c r="F1209" s="23">
        <v>69238</v>
      </c>
      <c r="G1209" s="15">
        <v>2007</v>
      </c>
      <c r="H1209" s="15">
        <f>Table_7[[#This Row],[Listing Price (USD)]]/10000</f>
        <v>6.9238</v>
      </c>
      <c r="I1209" s="28">
        <f>Table_7[[#This Row],[Length 
(ft)]]</f>
        <v>39</v>
      </c>
      <c r="J1209" s="28">
        <f>2020-Table_7[[#This Row],[Year]]</f>
        <v>13</v>
      </c>
      <c r="K1209">
        <v>188925995936.80701</v>
      </c>
      <c r="L1209">
        <v>17658.947301119199</v>
      </c>
      <c r="M1209">
        <v>-1.2479835558140799</v>
      </c>
      <c r="N1209">
        <v>-9.0040436420214593</v>
      </c>
      <c r="O1209">
        <v>35.159999999999997</v>
      </c>
      <c r="P1209">
        <v>890.00199999999995</v>
      </c>
      <c r="Q1209">
        <v>55</v>
      </c>
      <c r="R1209">
        <v>13</v>
      </c>
    </row>
    <row r="1210" spans="1:18" x14ac:dyDescent="0.25">
      <c r="A1210" s="1" t="s">
        <v>14</v>
      </c>
      <c r="B1210" s="2" t="s">
        <v>17</v>
      </c>
      <c r="C1210" s="19">
        <v>39</v>
      </c>
      <c r="D1210" s="3" t="s">
        <v>496</v>
      </c>
      <c r="E1210" s="3" t="s">
        <v>18</v>
      </c>
      <c r="F1210" s="23">
        <v>72760</v>
      </c>
      <c r="G1210" s="15">
        <v>2006</v>
      </c>
      <c r="H1210" s="15">
        <f>Table_7[[#This Row],[Listing Price (USD)]]/10000</f>
        <v>7.2759999999999998</v>
      </c>
      <c r="I1210" s="28">
        <f>Table_7[[#This Row],[Length 
(ft)]]</f>
        <v>39</v>
      </c>
      <c r="J1210" s="28">
        <f>2020-Table_7[[#This Row],[Year]]</f>
        <v>14</v>
      </c>
      <c r="K1210">
        <v>188925995936.80701</v>
      </c>
      <c r="L1210">
        <v>17658.947301119199</v>
      </c>
      <c r="M1210">
        <v>-1.2479835558140799</v>
      </c>
      <c r="N1210">
        <v>-9.0040436420214593</v>
      </c>
      <c r="O1210">
        <v>35.159999999999997</v>
      </c>
      <c r="P1210">
        <v>890.00199999999995</v>
      </c>
      <c r="Q1210">
        <v>55</v>
      </c>
      <c r="R1210">
        <v>13</v>
      </c>
    </row>
    <row r="1211" spans="1:18" x14ac:dyDescent="0.25">
      <c r="A1211" s="1" t="s">
        <v>14</v>
      </c>
      <c r="B1211" s="2" t="s">
        <v>17</v>
      </c>
      <c r="C1211" s="19">
        <v>39</v>
      </c>
      <c r="D1211" s="3" t="s">
        <v>496</v>
      </c>
      <c r="E1211" s="3" t="s">
        <v>31</v>
      </c>
      <c r="F1211" s="23">
        <v>78955</v>
      </c>
      <c r="G1211" s="15">
        <v>2006</v>
      </c>
      <c r="H1211" s="15">
        <f>Table_7[[#This Row],[Listing Price (USD)]]/10000</f>
        <v>7.8955000000000002</v>
      </c>
      <c r="I1211" s="28">
        <f>Table_7[[#This Row],[Length 
(ft)]]</f>
        <v>39</v>
      </c>
      <c r="J1211" s="28">
        <f>2020-Table_7[[#This Row],[Year]]</f>
        <v>14</v>
      </c>
      <c r="K1211">
        <v>57472012426.685303</v>
      </c>
      <c r="L1211">
        <v>14198.753959474399</v>
      </c>
      <c r="M1211">
        <v>0.15481137456202801</v>
      </c>
      <c r="N1211">
        <v>-8.5803430210621805</v>
      </c>
      <c r="O1211">
        <v>35.159999999999997</v>
      </c>
      <c r="P1211">
        <v>890.00199999999995</v>
      </c>
      <c r="Q1211">
        <v>55</v>
      </c>
      <c r="R1211">
        <v>13</v>
      </c>
    </row>
    <row r="1212" spans="1:18" x14ac:dyDescent="0.25">
      <c r="A1212" s="1" t="s">
        <v>14</v>
      </c>
      <c r="B1212" s="2" t="s">
        <v>17</v>
      </c>
      <c r="C1212" s="19">
        <v>39</v>
      </c>
      <c r="D1212" s="3" t="s">
        <v>496</v>
      </c>
      <c r="E1212" s="3" t="s">
        <v>18</v>
      </c>
      <c r="F1212" s="23">
        <v>78955</v>
      </c>
      <c r="G1212" s="15">
        <v>2006</v>
      </c>
      <c r="H1212" s="15">
        <f>Table_7[[#This Row],[Listing Price (USD)]]/10000</f>
        <v>7.8955000000000002</v>
      </c>
      <c r="I1212" s="28">
        <f>Table_7[[#This Row],[Length 
(ft)]]</f>
        <v>39</v>
      </c>
      <c r="J1212" s="28">
        <f>2020-Table_7[[#This Row],[Year]]</f>
        <v>14</v>
      </c>
      <c r="K1212">
        <v>188925995936.80701</v>
      </c>
      <c r="L1212">
        <v>17658.947301119199</v>
      </c>
      <c r="M1212">
        <v>-1.2479835558140799</v>
      </c>
      <c r="N1212">
        <v>-9.0040436420214593</v>
      </c>
      <c r="O1212">
        <v>35.159999999999997</v>
      </c>
      <c r="P1212">
        <v>890.00199999999995</v>
      </c>
      <c r="Q1212">
        <v>55</v>
      </c>
      <c r="R1212">
        <v>13</v>
      </c>
    </row>
    <row r="1213" spans="1:18" x14ac:dyDescent="0.25">
      <c r="A1213" s="1" t="s">
        <v>14</v>
      </c>
      <c r="B1213" s="3" t="s">
        <v>17</v>
      </c>
      <c r="C1213" s="19">
        <v>39</v>
      </c>
      <c r="D1213" s="3" t="s">
        <v>495</v>
      </c>
      <c r="E1213" s="3" t="s">
        <v>333</v>
      </c>
      <c r="F1213" s="23">
        <v>85900</v>
      </c>
      <c r="G1213" s="15">
        <v>2007</v>
      </c>
      <c r="H1213" s="15">
        <f>Table_7[[#This Row],[Listing Price (USD)]]/10000</f>
        <v>8.59</v>
      </c>
      <c r="I1213" s="28">
        <f>Table_7[[#This Row],[Length 
(ft)]]</f>
        <v>39</v>
      </c>
      <c r="J1213" s="28">
        <f>2020-Table_7[[#This Row],[Year]]</f>
        <v>13</v>
      </c>
      <c r="K1213">
        <v>1106036000000</v>
      </c>
      <c r="L1213">
        <v>51276.72</v>
      </c>
      <c r="M1213">
        <v>1.23</v>
      </c>
      <c r="N1213">
        <v>2.9</v>
      </c>
      <c r="O1213">
        <v>35.159999999999997</v>
      </c>
      <c r="P1213">
        <v>890.00199999999995</v>
      </c>
      <c r="Q1213">
        <v>55</v>
      </c>
      <c r="R1213">
        <v>13</v>
      </c>
    </row>
    <row r="1214" spans="1:18" x14ac:dyDescent="0.25">
      <c r="A1214" s="1" t="s">
        <v>14</v>
      </c>
      <c r="B1214" s="2" t="s">
        <v>17</v>
      </c>
      <c r="C1214" s="19">
        <v>39</v>
      </c>
      <c r="D1214" s="3" t="s">
        <v>496</v>
      </c>
      <c r="E1214" s="3" t="s">
        <v>31</v>
      </c>
      <c r="F1214" s="23">
        <v>91102</v>
      </c>
      <c r="G1214" s="15">
        <v>2007</v>
      </c>
      <c r="H1214" s="15">
        <f>Table_7[[#This Row],[Listing Price (USD)]]/10000</f>
        <v>9.1102000000000007</v>
      </c>
      <c r="I1214" s="28">
        <f>Table_7[[#This Row],[Length 
(ft)]]</f>
        <v>39</v>
      </c>
      <c r="J1214" s="28">
        <f>2020-Table_7[[#This Row],[Year]]</f>
        <v>13</v>
      </c>
      <c r="K1214">
        <v>57472012426.685303</v>
      </c>
      <c r="L1214">
        <v>14198.753959474399</v>
      </c>
      <c r="M1214">
        <v>0.15481137456202801</v>
      </c>
      <c r="N1214">
        <v>-8.5803430210621805</v>
      </c>
      <c r="O1214">
        <v>35.159999999999997</v>
      </c>
      <c r="P1214">
        <v>890.00199999999995</v>
      </c>
      <c r="Q1214">
        <v>55</v>
      </c>
      <c r="R1214">
        <v>13</v>
      </c>
    </row>
    <row r="1215" spans="1:18" x14ac:dyDescent="0.25">
      <c r="A1215" s="1" t="s">
        <v>14</v>
      </c>
      <c r="B1215" s="2" t="s">
        <v>17</v>
      </c>
      <c r="C1215" s="19">
        <v>39</v>
      </c>
      <c r="D1215" s="3" t="s">
        <v>496</v>
      </c>
      <c r="E1215" s="3" t="s">
        <v>9</v>
      </c>
      <c r="F1215" s="23">
        <v>91102</v>
      </c>
      <c r="G1215" s="15">
        <v>2007</v>
      </c>
      <c r="H1215" s="15">
        <f>Table_7[[#This Row],[Listing Price (USD)]]/10000</f>
        <v>9.1102000000000007</v>
      </c>
      <c r="I1215" s="28">
        <f>Table_7[[#This Row],[Length 
(ft)]]</f>
        <v>39</v>
      </c>
      <c r="J1215" s="28">
        <f>2020-Table_7[[#This Row],[Year]]</f>
        <v>13</v>
      </c>
      <c r="K1215">
        <v>1276962685648.25</v>
      </c>
      <c r="L1215">
        <v>26959.675436732599</v>
      </c>
      <c r="M1215">
        <v>-0.32275301729970501</v>
      </c>
      <c r="N1215">
        <v>-11.3254383222864</v>
      </c>
      <c r="O1215">
        <v>35.159999999999997</v>
      </c>
      <c r="P1215">
        <v>890.00199999999995</v>
      </c>
      <c r="Q1215">
        <v>55</v>
      </c>
      <c r="R1215">
        <v>13</v>
      </c>
    </row>
    <row r="1216" spans="1:18" x14ac:dyDescent="0.25">
      <c r="A1216" s="1" t="s">
        <v>14</v>
      </c>
      <c r="B1216" s="2" t="s">
        <v>17</v>
      </c>
      <c r="C1216" s="19">
        <v>39</v>
      </c>
      <c r="D1216" s="3" t="s">
        <v>496</v>
      </c>
      <c r="E1216" s="3" t="s">
        <v>9</v>
      </c>
      <c r="F1216" s="23">
        <v>91102</v>
      </c>
      <c r="G1216" s="15">
        <v>2006</v>
      </c>
      <c r="H1216" s="15">
        <f>Table_7[[#This Row],[Listing Price (USD)]]/10000</f>
        <v>9.1102000000000007</v>
      </c>
      <c r="I1216" s="28">
        <f>Table_7[[#This Row],[Length 
(ft)]]</f>
        <v>39</v>
      </c>
      <c r="J1216" s="28">
        <f>2020-Table_7[[#This Row],[Year]]</f>
        <v>14</v>
      </c>
      <c r="K1216">
        <v>1276962685648.25</v>
      </c>
      <c r="L1216">
        <v>26959.675436732599</v>
      </c>
      <c r="M1216">
        <v>-0.32275301729970501</v>
      </c>
      <c r="N1216">
        <v>-11.3254383222864</v>
      </c>
      <c r="O1216">
        <v>35.159999999999997</v>
      </c>
      <c r="P1216">
        <v>890.00199999999995</v>
      </c>
      <c r="Q1216">
        <v>55</v>
      </c>
      <c r="R1216">
        <v>13</v>
      </c>
    </row>
    <row r="1217" spans="1:18" x14ac:dyDescent="0.25">
      <c r="A1217" s="1" t="s">
        <v>14</v>
      </c>
      <c r="B1217" s="3" t="s">
        <v>17</v>
      </c>
      <c r="C1217" s="19">
        <v>39</v>
      </c>
      <c r="D1217" s="3" t="s">
        <v>495</v>
      </c>
      <c r="E1217" s="3" t="s">
        <v>333</v>
      </c>
      <c r="F1217" s="23">
        <v>93693</v>
      </c>
      <c r="G1217" s="15">
        <v>2008</v>
      </c>
      <c r="H1217" s="15">
        <f>Table_7[[#This Row],[Listing Price (USD)]]/10000</f>
        <v>9.3693000000000008</v>
      </c>
      <c r="I1217" s="28">
        <f>Table_7[[#This Row],[Length 
(ft)]]</f>
        <v>39</v>
      </c>
      <c r="J1217" s="28">
        <f>2020-Table_7[[#This Row],[Year]]</f>
        <v>12</v>
      </c>
      <c r="K1217">
        <v>1106036000000</v>
      </c>
      <c r="L1217">
        <v>51276.72</v>
      </c>
      <c r="M1217">
        <v>1.23</v>
      </c>
      <c r="N1217">
        <v>2.9</v>
      </c>
      <c r="O1217">
        <v>35.159999999999997</v>
      </c>
      <c r="P1217">
        <v>890.00199999999995</v>
      </c>
      <c r="Q1217">
        <v>55</v>
      </c>
      <c r="R1217">
        <v>13</v>
      </c>
    </row>
    <row r="1218" spans="1:18" x14ac:dyDescent="0.25">
      <c r="A1218" s="1" t="s">
        <v>14</v>
      </c>
      <c r="B1218" s="2" t="s">
        <v>17</v>
      </c>
      <c r="C1218" s="19">
        <v>39</v>
      </c>
      <c r="D1218" s="3" t="s">
        <v>496</v>
      </c>
      <c r="E1218" s="3" t="s">
        <v>63</v>
      </c>
      <c r="F1218" s="23">
        <v>94770</v>
      </c>
      <c r="G1218" s="15">
        <v>2006</v>
      </c>
      <c r="H1218" s="15">
        <f>Table_7[[#This Row],[Listing Price (USD)]]/10000</f>
        <v>9.4770000000000003</v>
      </c>
      <c r="I1218" s="28">
        <f>Table_7[[#This Row],[Length 
(ft)]]</f>
        <v>39</v>
      </c>
      <c r="J1218" s="28">
        <f>2020-Table_7[[#This Row],[Year]]</f>
        <v>14</v>
      </c>
      <c r="K1218">
        <v>720290000000</v>
      </c>
      <c r="L1218">
        <v>13341.6</v>
      </c>
      <c r="M1218">
        <v>13</v>
      </c>
      <c r="N1218">
        <v>-3</v>
      </c>
      <c r="O1218">
        <v>35.159999999999997</v>
      </c>
      <c r="P1218">
        <v>890.00199999999995</v>
      </c>
      <c r="Q1218">
        <v>55</v>
      </c>
      <c r="R1218">
        <v>13</v>
      </c>
    </row>
    <row r="1219" spans="1:18" x14ac:dyDescent="0.25">
      <c r="A1219" s="1" t="s">
        <v>14</v>
      </c>
      <c r="B1219" s="2" t="s">
        <v>17</v>
      </c>
      <c r="C1219" s="19">
        <v>39</v>
      </c>
      <c r="D1219" s="3" t="s">
        <v>496</v>
      </c>
      <c r="E1219" s="3" t="s">
        <v>3</v>
      </c>
      <c r="F1219" s="23">
        <v>95961</v>
      </c>
      <c r="G1219" s="15">
        <v>2006</v>
      </c>
      <c r="H1219" s="15">
        <f>Table_7[[#This Row],[Listing Price (USD)]]/10000</f>
        <v>9.5960999999999999</v>
      </c>
      <c r="I1219" s="28">
        <f>Table_7[[#This Row],[Length 
(ft)]]</f>
        <v>39</v>
      </c>
      <c r="J1219" s="28">
        <f>2020-Table_7[[#This Row],[Year]]</f>
        <v>14</v>
      </c>
      <c r="K1219">
        <v>2639008701648.2598</v>
      </c>
      <c r="L1219">
        <v>39055.282928075401</v>
      </c>
      <c r="M1219">
        <v>0.47649885272508302</v>
      </c>
      <c r="N1219">
        <v>-7.7845864916787102</v>
      </c>
      <c r="O1219">
        <v>35.159999999999997</v>
      </c>
      <c r="P1219">
        <v>890.00199999999995</v>
      </c>
      <c r="Q1219">
        <v>55</v>
      </c>
      <c r="R1219">
        <v>13</v>
      </c>
    </row>
    <row r="1220" spans="1:18" x14ac:dyDescent="0.25">
      <c r="A1220" s="1" t="s">
        <v>14</v>
      </c>
      <c r="B1220" s="2" t="s">
        <v>17</v>
      </c>
      <c r="C1220" s="19">
        <v>39</v>
      </c>
      <c r="D1220" s="3" t="s">
        <v>496</v>
      </c>
      <c r="E1220" s="3" t="s">
        <v>3</v>
      </c>
      <c r="F1220" s="23">
        <v>95961</v>
      </c>
      <c r="G1220" s="15">
        <v>2006</v>
      </c>
      <c r="H1220" s="15">
        <f>Table_7[[#This Row],[Listing Price (USD)]]/10000</f>
        <v>9.5960999999999999</v>
      </c>
      <c r="I1220" s="28">
        <f>Table_7[[#This Row],[Length 
(ft)]]</f>
        <v>39</v>
      </c>
      <c r="J1220" s="28">
        <f>2020-Table_7[[#This Row],[Year]]</f>
        <v>14</v>
      </c>
      <c r="K1220">
        <v>2639008701648.2598</v>
      </c>
      <c r="L1220">
        <v>39055.282928075401</v>
      </c>
      <c r="M1220">
        <v>0.47649885272508302</v>
      </c>
      <c r="N1220">
        <v>-7.7845864916787102</v>
      </c>
      <c r="O1220">
        <v>35.159999999999997</v>
      </c>
      <c r="P1220">
        <v>890.00199999999995</v>
      </c>
      <c r="Q1220">
        <v>55</v>
      </c>
      <c r="R1220">
        <v>13</v>
      </c>
    </row>
    <row r="1221" spans="1:18" x14ac:dyDescent="0.25">
      <c r="A1221" s="1" t="s">
        <v>14</v>
      </c>
      <c r="B1221" s="2" t="s">
        <v>17</v>
      </c>
      <c r="C1221" s="19">
        <v>39</v>
      </c>
      <c r="D1221" s="3" t="s">
        <v>496</v>
      </c>
      <c r="E1221" s="3" t="s">
        <v>9</v>
      </c>
      <c r="F1221" s="23">
        <v>95961</v>
      </c>
      <c r="G1221" s="15">
        <v>2008</v>
      </c>
      <c r="H1221" s="15">
        <f>Table_7[[#This Row],[Listing Price (USD)]]/10000</f>
        <v>9.5960999999999999</v>
      </c>
      <c r="I1221" s="28">
        <f>Table_7[[#This Row],[Length 
(ft)]]</f>
        <v>39</v>
      </c>
      <c r="J1221" s="28">
        <f>2020-Table_7[[#This Row],[Year]]</f>
        <v>12</v>
      </c>
      <c r="K1221">
        <v>1276962685648.25</v>
      </c>
      <c r="L1221">
        <v>26959.675436732599</v>
      </c>
      <c r="M1221">
        <v>-0.32275301729970501</v>
      </c>
      <c r="N1221">
        <v>-11.3254383222864</v>
      </c>
      <c r="O1221">
        <v>35.159999999999997</v>
      </c>
      <c r="P1221">
        <v>890.00199999999995</v>
      </c>
      <c r="Q1221">
        <v>55</v>
      </c>
      <c r="R1221">
        <v>13</v>
      </c>
    </row>
    <row r="1222" spans="1:18" x14ac:dyDescent="0.25">
      <c r="A1222" s="1" t="s">
        <v>14</v>
      </c>
      <c r="B1222" s="2" t="s">
        <v>17</v>
      </c>
      <c r="C1222" s="19">
        <v>39</v>
      </c>
      <c r="D1222" s="3" t="s">
        <v>496</v>
      </c>
      <c r="E1222" s="3" t="s">
        <v>18</v>
      </c>
      <c r="F1222" s="23">
        <v>97176</v>
      </c>
      <c r="G1222" s="15">
        <v>2007</v>
      </c>
      <c r="H1222" s="15">
        <f>Table_7[[#This Row],[Listing Price (USD)]]/10000</f>
        <v>9.7175999999999991</v>
      </c>
      <c r="I1222" s="28">
        <f>Table_7[[#This Row],[Length 
(ft)]]</f>
        <v>39</v>
      </c>
      <c r="J1222" s="28">
        <f>2020-Table_7[[#This Row],[Year]]</f>
        <v>13</v>
      </c>
      <c r="K1222">
        <v>188925995936.80701</v>
      </c>
      <c r="L1222">
        <v>17658.947301119199</v>
      </c>
      <c r="M1222">
        <v>-1.2479835558140799</v>
      </c>
      <c r="N1222">
        <v>-9.0040436420214593</v>
      </c>
      <c r="O1222">
        <v>35.159999999999997</v>
      </c>
      <c r="P1222">
        <v>890.00199999999995</v>
      </c>
      <c r="Q1222">
        <v>55</v>
      </c>
      <c r="R1222">
        <v>13</v>
      </c>
    </row>
    <row r="1223" spans="1:18" x14ac:dyDescent="0.25">
      <c r="A1223" s="1" t="s">
        <v>14</v>
      </c>
      <c r="B1223" s="2" t="s">
        <v>17</v>
      </c>
      <c r="C1223" s="19">
        <v>39</v>
      </c>
      <c r="D1223" s="3" t="s">
        <v>496</v>
      </c>
      <c r="E1223" s="3" t="s">
        <v>19</v>
      </c>
      <c r="F1223" s="23">
        <v>99898</v>
      </c>
      <c r="G1223" s="15">
        <v>2007</v>
      </c>
      <c r="H1223" s="15">
        <f>Table_7[[#This Row],[Listing Price (USD)]]/10000</f>
        <v>9.9898000000000007</v>
      </c>
      <c r="I1223" s="28">
        <f>Table_7[[#This Row],[Length 
(ft)]]</f>
        <v>39</v>
      </c>
      <c r="J1223" s="28">
        <f>2020-Table_7[[#This Row],[Year]]</f>
        <v>13</v>
      </c>
      <c r="K1223">
        <v>4200000000</v>
      </c>
      <c r="L1223">
        <v>39553.199999999997</v>
      </c>
      <c r="M1223">
        <v>4.0999999999999996</v>
      </c>
      <c r="N1223">
        <v>-2.1</v>
      </c>
      <c r="O1223">
        <v>35.159999999999997</v>
      </c>
      <c r="P1223">
        <v>890.00199999999995</v>
      </c>
      <c r="Q1223">
        <v>55</v>
      </c>
      <c r="R1223">
        <v>13</v>
      </c>
    </row>
    <row r="1224" spans="1:18" x14ac:dyDescent="0.25">
      <c r="A1224" s="1" t="s">
        <v>14</v>
      </c>
      <c r="B1224" s="2" t="s">
        <v>17</v>
      </c>
      <c r="C1224" s="19">
        <v>39</v>
      </c>
      <c r="D1224" s="3" t="s">
        <v>496</v>
      </c>
      <c r="E1224" s="3" t="s">
        <v>31</v>
      </c>
      <c r="F1224" s="23">
        <v>102668</v>
      </c>
      <c r="G1224" s="15">
        <v>2006</v>
      </c>
      <c r="H1224" s="15">
        <f>Table_7[[#This Row],[Listing Price (USD)]]/10000</f>
        <v>10.2668</v>
      </c>
      <c r="I1224" s="28">
        <f>Table_7[[#This Row],[Length 
(ft)]]</f>
        <v>39</v>
      </c>
      <c r="J1224" s="28">
        <f>2020-Table_7[[#This Row],[Year]]</f>
        <v>14</v>
      </c>
      <c r="K1224">
        <v>57472012426.685303</v>
      </c>
      <c r="L1224">
        <v>14198.753959474399</v>
      </c>
      <c r="M1224">
        <v>0.15481137456202801</v>
      </c>
      <c r="N1224">
        <v>-8.5803430210621805</v>
      </c>
      <c r="O1224">
        <v>35.159999999999997</v>
      </c>
      <c r="P1224">
        <v>890.00199999999995</v>
      </c>
      <c r="Q1224">
        <v>55</v>
      </c>
      <c r="R1224">
        <v>13</v>
      </c>
    </row>
    <row r="1225" spans="1:18" x14ac:dyDescent="0.25">
      <c r="A1225" s="1" t="s">
        <v>14</v>
      </c>
      <c r="B1225" s="2" t="s">
        <v>17</v>
      </c>
      <c r="C1225" s="19">
        <v>39</v>
      </c>
      <c r="D1225" s="3" t="s">
        <v>496</v>
      </c>
      <c r="E1225" s="3" t="s">
        <v>22</v>
      </c>
      <c r="F1225" s="23">
        <v>109201</v>
      </c>
      <c r="G1225" s="15">
        <v>2006</v>
      </c>
      <c r="H1225" s="15">
        <f>Table_7[[#This Row],[Listing Price (USD)]]/10000</f>
        <v>10.9201</v>
      </c>
      <c r="I1225" s="28">
        <f>Table_7[[#This Row],[Length 
(ft)]]</f>
        <v>39</v>
      </c>
      <c r="J1225" s="28">
        <f>2020-Table_7[[#This Row],[Year]]</f>
        <v>14</v>
      </c>
      <c r="K1225">
        <v>3889668895299.6201</v>
      </c>
      <c r="L1225">
        <v>46772.825350754501</v>
      </c>
      <c r="M1225">
        <v>0.50668988995327402</v>
      </c>
      <c r="N1225">
        <v>-3.6967887053804298</v>
      </c>
      <c r="O1225">
        <v>35.159999999999997</v>
      </c>
      <c r="P1225">
        <v>890.00199999999995</v>
      </c>
      <c r="Q1225">
        <v>55</v>
      </c>
      <c r="R1225">
        <v>13</v>
      </c>
    </row>
    <row r="1226" spans="1:18" x14ac:dyDescent="0.25">
      <c r="A1226" s="1" t="s">
        <v>14</v>
      </c>
      <c r="B1226" s="2" t="s">
        <v>17</v>
      </c>
      <c r="C1226" s="19">
        <v>39</v>
      </c>
      <c r="D1226" s="3" t="s">
        <v>496</v>
      </c>
      <c r="E1226" s="3" t="s">
        <v>31</v>
      </c>
      <c r="F1226" s="23">
        <v>123292</v>
      </c>
      <c r="G1226" s="15">
        <v>2007</v>
      </c>
      <c r="H1226" s="15">
        <f>Table_7[[#This Row],[Listing Price (USD)]]/10000</f>
        <v>12.3292</v>
      </c>
      <c r="I1226" s="28">
        <f>Table_7[[#This Row],[Length 
(ft)]]</f>
        <v>39</v>
      </c>
      <c r="J1226" s="28">
        <f>2020-Table_7[[#This Row],[Year]]</f>
        <v>13</v>
      </c>
      <c r="K1226">
        <v>57472012426.685303</v>
      </c>
      <c r="L1226">
        <v>14198.753959474399</v>
      </c>
      <c r="M1226">
        <v>0.15481137456202801</v>
      </c>
      <c r="N1226">
        <v>-8.5803430210621805</v>
      </c>
      <c r="O1226">
        <v>35.159999999999997</v>
      </c>
      <c r="P1226">
        <v>890.00199999999995</v>
      </c>
      <c r="Q1226">
        <v>55</v>
      </c>
      <c r="R1226">
        <v>13</v>
      </c>
    </row>
    <row r="1227" spans="1:18" x14ac:dyDescent="0.25">
      <c r="A1227" s="1" t="s">
        <v>14</v>
      </c>
      <c r="B1227" s="2" t="s">
        <v>20</v>
      </c>
      <c r="C1227" s="19">
        <v>40</v>
      </c>
      <c r="D1227" s="3" t="s">
        <v>496</v>
      </c>
      <c r="E1227" s="3" t="s">
        <v>18</v>
      </c>
      <c r="F1227" s="23">
        <v>69238</v>
      </c>
      <c r="G1227" s="15">
        <v>2008</v>
      </c>
      <c r="H1227" s="15">
        <f>Table_7[[#This Row],[Listing Price (USD)]]/10000</f>
        <v>6.9238</v>
      </c>
      <c r="I1227" s="28">
        <f>Table_7[[#This Row],[Length 
(ft)]]</f>
        <v>40</v>
      </c>
      <c r="J1227" s="28">
        <f>2020-Table_7[[#This Row],[Year]]</f>
        <v>12</v>
      </c>
      <c r="K1227">
        <v>188925995936.80701</v>
      </c>
      <c r="L1227">
        <v>17658.947301119199</v>
      </c>
      <c r="M1227">
        <v>-1.2479835558140799</v>
      </c>
      <c r="N1227">
        <v>-9.0040436420214593</v>
      </c>
      <c r="O1227">
        <v>35.33</v>
      </c>
      <c r="P1227">
        <v>882.00199999999995</v>
      </c>
      <c r="Q1227">
        <v>55</v>
      </c>
      <c r="R1227">
        <v>12.92</v>
      </c>
    </row>
    <row r="1228" spans="1:18" x14ac:dyDescent="0.25">
      <c r="A1228" s="1" t="s">
        <v>14</v>
      </c>
      <c r="B1228" s="2" t="s">
        <v>20</v>
      </c>
      <c r="C1228" s="19">
        <v>40</v>
      </c>
      <c r="D1228" s="3" t="s">
        <v>496</v>
      </c>
      <c r="E1228" s="3" t="s">
        <v>18</v>
      </c>
      <c r="F1228" s="23">
        <v>72840</v>
      </c>
      <c r="G1228" s="15">
        <v>2008</v>
      </c>
      <c r="H1228" s="15">
        <f>Table_7[[#This Row],[Listing Price (USD)]]/10000</f>
        <v>7.2839999999999998</v>
      </c>
      <c r="I1228" s="28">
        <f>Table_7[[#This Row],[Length 
(ft)]]</f>
        <v>40</v>
      </c>
      <c r="J1228" s="28">
        <f>2020-Table_7[[#This Row],[Year]]</f>
        <v>12</v>
      </c>
      <c r="K1228">
        <v>188925995936.80701</v>
      </c>
      <c r="L1228">
        <v>17658.947301119199</v>
      </c>
      <c r="M1228">
        <v>-1.2479835558140799</v>
      </c>
      <c r="N1228">
        <v>-9.0040436420214593</v>
      </c>
      <c r="O1228">
        <v>35.33</v>
      </c>
      <c r="P1228">
        <v>882.00199999999995</v>
      </c>
      <c r="Q1228">
        <v>55</v>
      </c>
      <c r="R1228">
        <v>12.92</v>
      </c>
    </row>
    <row r="1229" spans="1:18" x14ac:dyDescent="0.25">
      <c r="A1229" s="1" t="s">
        <v>14</v>
      </c>
      <c r="B1229" s="2" t="s">
        <v>20</v>
      </c>
      <c r="C1229" s="19">
        <v>40</v>
      </c>
      <c r="D1229" s="3" t="s">
        <v>496</v>
      </c>
      <c r="E1229" s="3" t="s">
        <v>18</v>
      </c>
      <c r="F1229" s="23">
        <v>81385</v>
      </c>
      <c r="G1229" s="15">
        <v>2008</v>
      </c>
      <c r="H1229" s="15">
        <f>Table_7[[#This Row],[Listing Price (USD)]]/10000</f>
        <v>8.1385000000000005</v>
      </c>
      <c r="I1229" s="28">
        <f>Table_7[[#This Row],[Length 
(ft)]]</f>
        <v>40</v>
      </c>
      <c r="J1229" s="28">
        <f>2020-Table_7[[#This Row],[Year]]</f>
        <v>12</v>
      </c>
      <c r="K1229">
        <v>188925995936.80701</v>
      </c>
      <c r="L1229">
        <v>17658.947301119199</v>
      </c>
      <c r="M1229">
        <v>-1.2479835558140799</v>
      </c>
      <c r="N1229">
        <v>-9.0040436420214593</v>
      </c>
      <c r="O1229">
        <v>35.33</v>
      </c>
      <c r="P1229">
        <v>882.00199999999995</v>
      </c>
      <c r="Q1229">
        <v>55</v>
      </c>
      <c r="R1229">
        <v>12.92</v>
      </c>
    </row>
    <row r="1230" spans="1:18" x14ac:dyDescent="0.25">
      <c r="A1230" s="1" t="s">
        <v>14</v>
      </c>
      <c r="B1230" s="2" t="s">
        <v>20</v>
      </c>
      <c r="C1230" s="19">
        <v>40</v>
      </c>
      <c r="D1230" s="3" t="s">
        <v>496</v>
      </c>
      <c r="E1230" s="3" t="s">
        <v>31</v>
      </c>
      <c r="F1230" s="23">
        <v>81992</v>
      </c>
      <c r="G1230" s="15">
        <v>2011</v>
      </c>
      <c r="H1230" s="15">
        <f>Table_7[[#This Row],[Listing Price (USD)]]/10000</f>
        <v>8.1991999999999994</v>
      </c>
      <c r="I1230" s="28">
        <f>Table_7[[#This Row],[Length 
(ft)]]</f>
        <v>40</v>
      </c>
      <c r="J1230" s="28">
        <f>2020-Table_7[[#This Row],[Year]]</f>
        <v>9</v>
      </c>
      <c r="K1230">
        <v>57472012426.685303</v>
      </c>
      <c r="L1230">
        <v>14198.753959474399</v>
      </c>
      <c r="M1230">
        <v>0.15481137456202801</v>
      </c>
      <c r="N1230">
        <v>-8.5803430210621805</v>
      </c>
      <c r="O1230">
        <v>35.33</v>
      </c>
      <c r="P1230">
        <v>882.00199999999995</v>
      </c>
      <c r="Q1230">
        <v>55</v>
      </c>
      <c r="R1230">
        <v>12.92</v>
      </c>
    </row>
    <row r="1231" spans="1:18" x14ac:dyDescent="0.25">
      <c r="A1231" s="1" t="s">
        <v>14</v>
      </c>
      <c r="B1231" s="2" t="s">
        <v>20</v>
      </c>
      <c r="C1231" s="19">
        <v>40</v>
      </c>
      <c r="D1231" s="3" t="s">
        <v>496</v>
      </c>
      <c r="E1231" s="3" t="s">
        <v>18</v>
      </c>
      <c r="F1231" s="23">
        <v>84807</v>
      </c>
      <c r="G1231" s="15">
        <v>2008</v>
      </c>
      <c r="H1231" s="15">
        <f>Table_7[[#This Row],[Listing Price (USD)]]/10000</f>
        <v>8.4807000000000006</v>
      </c>
      <c r="I1231" s="28">
        <f>Table_7[[#This Row],[Length 
(ft)]]</f>
        <v>40</v>
      </c>
      <c r="J1231" s="28">
        <f>2020-Table_7[[#This Row],[Year]]</f>
        <v>12</v>
      </c>
      <c r="K1231">
        <v>188925995936.80701</v>
      </c>
      <c r="L1231">
        <v>17658.947301119199</v>
      </c>
      <c r="M1231">
        <v>-1.2479835558140799</v>
      </c>
      <c r="N1231">
        <v>-9.0040436420214593</v>
      </c>
      <c r="O1231">
        <v>35.33</v>
      </c>
      <c r="P1231">
        <v>882.00199999999995</v>
      </c>
      <c r="Q1231">
        <v>55</v>
      </c>
      <c r="R1231">
        <v>12.92</v>
      </c>
    </row>
    <row r="1232" spans="1:18" x14ac:dyDescent="0.25">
      <c r="A1232" s="1" t="s">
        <v>14</v>
      </c>
      <c r="B1232" s="2" t="s">
        <v>20</v>
      </c>
      <c r="C1232" s="19">
        <v>40</v>
      </c>
      <c r="D1232" s="3" t="s">
        <v>496</v>
      </c>
      <c r="E1232" s="3" t="s">
        <v>18</v>
      </c>
      <c r="F1232" s="23">
        <v>91090</v>
      </c>
      <c r="G1232" s="15">
        <v>2008</v>
      </c>
      <c r="H1232" s="15">
        <f>Table_7[[#This Row],[Listing Price (USD)]]/10000</f>
        <v>9.109</v>
      </c>
      <c r="I1232" s="28">
        <f>Table_7[[#This Row],[Length 
(ft)]]</f>
        <v>40</v>
      </c>
      <c r="J1232" s="28">
        <f>2020-Table_7[[#This Row],[Year]]</f>
        <v>12</v>
      </c>
      <c r="K1232">
        <v>188925995936.80701</v>
      </c>
      <c r="L1232">
        <v>17658.947301119199</v>
      </c>
      <c r="M1232">
        <v>-1.2479835558140799</v>
      </c>
      <c r="N1232">
        <v>-9.0040436420214593</v>
      </c>
      <c r="O1232">
        <v>35.33</v>
      </c>
      <c r="P1232">
        <v>882.00199999999995</v>
      </c>
      <c r="Q1232">
        <v>55</v>
      </c>
      <c r="R1232">
        <v>12.92</v>
      </c>
    </row>
    <row r="1233" spans="1:18" x14ac:dyDescent="0.25">
      <c r="A1233" s="1" t="s">
        <v>14</v>
      </c>
      <c r="B1233" s="2" t="s">
        <v>20</v>
      </c>
      <c r="C1233" s="19">
        <v>40</v>
      </c>
      <c r="D1233" s="3" t="s">
        <v>496</v>
      </c>
      <c r="E1233" s="3" t="s">
        <v>18</v>
      </c>
      <c r="F1233" s="23">
        <v>91102</v>
      </c>
      <c r="G1233" s="15">
        <v>2011</v>
      </c>
      <c r="H1233" s="15">
        <f>Table_7[[#This Row],[Listing Price (USD)]]/10000</f>
        <v>9.1102000000000007</v>
      </c>
      <c r="I1233" s="28">
        <f>Table_7[[#This Row],[Length 
(ft)]]</f>
        <v>40</v>
      </c>
      <c r="J1233" s="28">
        <f>2020-Table_7[[#This Row],[Year]]</f>
        <v>9</v>
      </c>
      <c r="K1233">
        <v>188925995936.80701</v>
      </c>
      <c r="L1233">
        <v>17658.947301119199</v>
      </c>
      <c r="M1233">
        <v>-1.2479835558140799</v>
      </c>
      <c r="N1233">
        <v>-9.0040436420214593</v>
      </c>
      <c r="O1233">
        <v>35.33</v>
      </c>
      <c r="P1233">
        <v>882.00199999999995</v>
      </c>
      <c r="Q1233">
        <v>55</v>
      </c>
      <c r="R1233">
        <v>12.92</v>
      </c>
    </row>
    <row r="1234" spans="1:18" x14ac:dyDescent="0.25">
      <c r="A1234" s="1" t="s">
        <v>14</v>
      </c>
      <c r="B1234" s="3" t="s">
        <v>20</v>
      </c>
      <c r="C1234" s="19">
        <v>40</v>
      </c>
      <c r="D1234" s="3" t="s">
        <v>497</v>
      </c>
      <c r="E1234" s="3" t="s">
        <v>392</v>
      </c>
      <c r="F1234" s="23">
        <v>92500</v>
      </c>
      <c r="G1234" s="15">
        <v>2012</v>
      </c>
      <c r="H1234" s="15">
        <f>Table_7[[#This Row],[Listing Price (USD)]]/10000</f>
        <v>9.25</v>
      </c>
      <c r="I1234" s="28">
        <f>Table_7[[#This Row],[Length 
(ft)]]</f>
        <v>40</v>
      </c>
      <c r="J1234" s="28">
        <f>2020-Table_7[[#This Row],[Year]]</f>
        <v>8</v>
      </c>
      <c r="K1234">
        <v>1043414814.81481</v>
      </c>
      <c r="L1234">
        <v>8437.5667322870595</v>
      </c>
      <c r="M1234">
        <v>-0.74073259704550098</v>
      </c>
      <c r="N1234">
        <v>-13.7559294530644</v>
      </c>
      <c r="O1234">
        <v>35.33</v>
      </c>
      <c r="P1234">
        <v>882.00199999999995</v>
      </c>
      <c r="Q1234">
        <v>55</v>
      </c>
      <c r="R1234">
        <v>12.92</v>
      </c>
    </row>
    <row r="1235" spans="1:18" x14ac:dyDescent="0.25">
      <c r="A1235" s="1" t="s">
        <v>14</v>
      </c>
      <c r="B1235" s="3" t="s">
        <v>20</v>
      </c>
      <c r="C1235" s="19">
        <v>40</v>
      </c>
      <c r="D1235" s="3" t="s">
        <v>497</v>
      </c>
      <c r="E1235" s="3" t="s">
        <v>551</v>
      </c>
      <c r="F1235" s="23">
        <v>92500</v>
      </c>
      <c r="G1235" s="15">
        <v>2012</v>
      </c>
      <c r="H1235" s="15">
        <f>Table_7[[#This Row],[Listing Price (USD)]]/10000</f>
        <v>9.25</v>
      </c>
      <c r="I1235" s="28">
        <f>Table_7[[#This Row],[Length 
(ft)]]</f>
        <v>40</v>
      </c>
      <c r="J1235" s="28">
        <f>2020-Table_7[[#This Row],[Year]]</f>
        <v>8</v>
      </c>
      <c r="K1235">
        <v>910149704</v>
      </c>
      <c r="L1235">
        <v>8335.2999999999993</v>
      </c>
      <c r="M1235">
        <v>4.3</v>
      </c>
      <c r="N1235">
        <v>2.2999999999999998</v>
      </c>
      <c r="O1235">
        <v>35.33</v>
      </c>
      <c r="P1235">
        <v>882.00199999999995</v>
      </c>
      <c r="Q1235">
        <v>55</v>
      </c>
      <c r="R1235">
        <v>12.92</v>
      </c>
    </row>
    <row r="1236" spans="1:18" x14ac:dyDescent="0.25">
      <c r="A1236" s="1" t="s">
        <v>14</v>
      </c>
      <c r="B1236" s="2" t="s">
        <v>20</v>
      </c>
      <c r="C1236" s="19">
        <v>40</v>
      </c>
      <c r="D1236" s="3" t="s">
        <v>496</v>
      </c>
      <c r="E1236" s="3" t="s">
        <v>18</v>
      </c>
      <c r="F1236" s="23">
        <v>94746</v>
      </c>
      <c r="G1236" s="15">
        <v>2008</v>
      </c>
      <c r="H1236" s="15">
        <f>Table_7[[#This Row],[Listing Price (USD)]]/10000</f>
        <v>9.4746000000000006</v>
      </c>
      <c r="I1236" s="28">
        <f>Table_7[[#This Row],[Length 
(ft)]]</f>
        <v>40</v>
      </c>
      <c r="J1236" s="28">
        <f>2020-Table_7[[#This Row],[Year]]</f>
        <v>12</v>
      </c>
      <c r="K1236">
        <v>188925995936.80701</v>
      </c>
      <c r="L1236">
        <v>17658.947301119199</v>
      </c>
      <c r="M1236">
        <v>-1.2479835558140799</v>
      </c>
      <c r="N1236">
        <v>-9.0040436420214593</v>
      </c>
      <c r="O1236">
        <v>35.33</v>
      </c>
      <c r="P1236">
        <v>882.00199999999995</v>
      </c>
      <c r="Q1236">
        <v>55</v>
      </c>
      <c r="R1236">
        <v>12.92</v>
      </c>
    </row>
    <row r="1237" spans="1:18" x14ac:dyDescent="0.25">
      <c r="A1237" s="1" t="s">
        <v>14</v>
      </c>
      <c r="B1237" s="2" t="s">
        <v>20</v>
      </c>
      <c r="C1237" s="19">
        <v>40</v>
      </c>
      <c r="D1237" s="3" t="s">
        <v>496</v>
      </c>
      <c r="E1237" s="3" t="s">
        <v>31</v>
      </c>
      <c r="F1237" s="23">
        <v>95948</v>
      </c>
      <c r="G1237" s="15">
        <v>2009</v>
      </c>
      <c r="H1237" s="15">
        <f>Table_7[[#This Row],[Listing Price (USD)]]/10000</f>
        <v>9.5947999999999993</v>
      </c>
      <c r="I1237" s="28">
        <f>Table_7[[#This Row],[Length 
(ft)]]</f>
        <v>40</v>
      </c>
      <c r="J1237" s="28">
        <f>2020-Table_7[[#This Row],[Year]]</f>
        <v>11</v>
      </c>
      <c r="K1237">
        <v>57472012426.685303</v>
      </c>
      <c r="L1237">
        <v>14198.753959474399</v>
      </c>
      <c r="M1237">
        <v>0.15481137456202801</v>
      </c>
      <c r="N1237">
        <v>-8.5803430210621805</v>
      </c>
      <c r="O1237">
        <v>35.33</v>
      </c>
      <c r="P1237">
        <v>882.00199999999995</v>
      </c>
      <c r="Q1237">
        <v>55</v>
      </c>
      <c r="R1237">
        <v>12.92</v>
      </c>
    </row>
    <row r="1238" spans="1:18" x14ac:dyDescent="0.25">
      <c r="A1238" s="1" t="s">
        <v>14</v>
      </c>
      <c r="B1238" s="2" t="s">
        <v>20</v>
      </c>
      <c r="C1238" s="19">
        <v>40</v>
      </c>
      <c r="D1238" s="3" t="s">
        <v>496</v>
      </c>
      <c r="E1238" s="3" t="s">
        <v>31</v>
      </c>
      <c r="F1238" s="23">
        <v>97162</v>
      </c>
      <c r="G1238" s="15">
        <v>2008</v>
      </c>
      <c r="H1238" s="15">
        <f>Table_7[[#This Row],[Listing Price (USD)]]/10000</f>
        <v>9.7162000000000006</v>
      </c>
      <c r="I1238" s="28">
        <f>Table_7[[#This Row],[Length 
(ft)]]</f>
        <v>40</v>
      </c>
      <c r="J1238" s="28">
        <f>2020-Table_7[[#This Row],[Year]]</f>
        <v>12</v>
      </c>
      <c r="K1238">
        <v>57472012426.685303</v>
      </c>
      <c r="L1238">
        <v>14198.753959474399</v>
      </c>
      <c r="M1238">
        <v>0.15481137456202801</v>
      </c>
      <c r="N1238">
        <v>-8.5803430210621805</v>
      </c>
      <c r="O1238">
        <v>35.33</v>
      </c>
      <c r="P1238">
        <v>882.00199999999995</v>
      </c>
      <c r="Q1238">
        <v>55</v>
      </c>
      <c r="R1238">
        <v>12.92</v>
      </c>
    </row>
    <row r="1239" spans="1:18" x14ac:dyDescent="0.25">
      <c r="A1239" s="1" t="s">
        <v>14</v>
      </c>
      <c r="B1239" s="2" t="s">
        <v>20</v>
      </c>
      <c r="C1239" s="19">
        <v>40</v>
      </c>
      <c r="D1239" s="3" t="s">
        <v>496</v>
      </c>
      <c r="E1239" s="3" t="s">
        <v>31</v>
      </c>
      <c r="F1239" s="23">
        <v>97200</v>
      </c>
      <c r="G1239" s="15">
        <v>2008</v>
      </c>
      <c r="H1239" s="15">
        <f>Table_7[[#This Row],[Listing Price (USD)]]/10000</f>
        <v>9.7200000000000006</v>
      </c>
      <c r="I1239" s="28">
        <f>Table_7[[#This Row],[Length 
(ft)]]</f>
        <v>40</v>
      </c>
      <c r="J1239" s="28">
        <f>2020-Table_7[[#This Row],[Year]]</f>
        <v>12</v>
      </c>
      <c r="K1239">
        <v>57472012426.685303</v>
      </c>
      <c r="L1239">
        <v>14198.753959474399</v>
      </c>
      <c r="M1239">
        <v>0.15481137456202801</v>
      </c>
      <c r="N1239">
        <v>-8.5803430210621805</v>
      </c>
      <c r="O1239">
        <v>35.33</v>
      </c>
      <c r="P1239">
        <v>882.00199999999995</v>
      </c>
      <c r="Q1239">
        <v>55</v>
      </c>
      <c r="R1239">
        <v>12.92</v>
      </c>
    </row>
    <row r="1240" spans="1:18" x14ac:dyDescent="0.25">
      <c r="A1240" s="1" t="s">
        <v>14</v>
      </c>
      <c r="B1240" s="2" t="s">
        <v>20</v>
      </c>
      <c r="C1240" s="19">
        <v>40</v>
      </c>
      <c r="D1240" s="3" t="s">
        <v>496</v>
      </c>
      <c r="E1240" s="3" t="s">
        <v>18</v>
      </c>
      <c r="F1240" s="23">
        <v>97200</v>
      </c>
      <c r="G1240" s="15">
        <v>2012</v>
      </c>
      <c r="H1240" s="15">
        <f>Table_7[[#This Row],[Listing Price (USD)]]/10000</f>
        <v>9.7200000000000006</v>
      </c>
      <c r="I1240" s="28">
        <f>Table_7[[#This Row],[Length 
(ft)]]</f>
        <v>40</v>
      </c>
      <c r="J1240" s="28">
        <f>2020-Table_7[[#This Row],[Year]]</f>
        <v>8</v>
      </c>
      <c r="K1240">
        <v>188925995936.80701</v>
      </c>
      <c r="L1240">
        <v>17658.947301119199</v>
      </c>
      <c r="M1240">
        <v>-1.2479835558140799</v>
      </c>
      <c r="N1240">
        <v>-9.0040436420214593</v>
      </c>
      <c r="O1240">
        <v>35.33</v>
      </c>
      <c r="P1240">
        <v>882.00199999999995</v>
      </c>
      <c r="Q1240">
        <v>55</v>
      </c>
      <c r="R1240">
        <v>12.92</v>
      </c>
    </row>
    <row r="1241" spans="1:18" x14ac:dyDescent="0.25">
      <c r="A1241" s="1" t="s">
        <v>14</v>
      </c>
      <c r="B1241" s="2" t="s">
        <v>20</v>
      </c>
      <c r="C1241" s="19">
        <v>40</v>
      </c>
      <c r="D1241" s="3" t="s">
        <v>496</v>
      </c>
      <c r="E1241" s="3" t="s">
        <v>31</v>
      </c>
      <c r="F1241" s="23">
        <v>99630</v>
      </c>
      <c r="G1241" s="15">
        <v>2011</v>
      </c>
      <c r="H1241" s="15">
        <f>Table_7[[#This Row],[Listing Price (USD)]]/10000</f>
        <v>9.9629999999999992</v>
      </c>
      <c r="I1241" s="28">
        <f>Table_7[[#This Row],[Length 
(ft)]]</f>
        <v>40</v>
      </c>
      <c r="J1241" s="28">
        <f>2020-Table_7[[#This Row],[Year]]</f>
        <v>9</v>
      </c>
      <c r="K1241">
        <v>57472012426.685303</v>
      </c>
      <c r="L1241">
        <v>14198.753959474399</v>
      </c>
      <c r="M1241">
        <v>0.15481137456202801</v>
      </c>
      <c r="N1241">
        <v>-8.5803430210621805</v>
      </c>
      <c r="O1241">
        <v>35.33</v>
      </c>
      <c r="P1241">
        <v>882.00199999999995</v>
      </c>
      <c r="Q1241">
        <v>55</v>
      </c>
      <c r="R1241">
        <v>12.92</v>
      </c>
    </row>
    <row r="1242" spans="1:18" x14ac:dyDescent="0.25">
      <c r="A1242" s="1" t="s">
        <v>14</v>
      </c>
      <c r="B1242" s="2" t="s">
        <v>20</v>
      </c>
      <c r="C1242" s="19">
        <v>40</v>
      </c>
      <c r="D1242" s="3" t="s">
        <v>496</v>
      </c>
      <c r="E1242" s="3" t="s">
        <v>18</v>
      </c>
      <c r="F1242" s="23">
        <v>102060</v>
      </c>
      <c r="G1242" s="15">
        <v>2011</v>
      </c>
      <c r="H1242" s="15">
        <f>Table_7[[#This Row],[Listing Price (USD)]]/10000</f>
        <v>10.206</v>
      </c>
      <c r="I1242" s="28">
        <f>Table_7[[#This Row],[Length 
(ft)]]</f>
        <v>40</v>
      </c>
      <c r="J1242" s="28">
        <f>2020-Table_7[[#This Row],[Year]]</f>
        <v>9</v>
      </c>
      <c r="K1242">
        <v>188925995936.80701</v>
      </c>
      <c r="L1242">
        <v>17658.947301119199</v>
      </c>
      <c r="M1242">
        <v>-1.2479835558140799</v>
      </c>
      <c r="N1242">
        <v>-9.0040436420214593</v>
      </c>
      <c r="O1242">
        <v>35.33</v>
      </c>
      <c r="P1242">
        <v>882.00199999999995</v>
      </c>
      <c r="Q1242">
        <v>55</v>
      </c>
      <c r="R1242">
        <v>12.92</v>
      </c>
    </row>
    <row r="1243" spans="1:18" x14ac:dyDescent="0.25">
      <c r="A1243" s="1" t="s">
        <v>14</v>
      </c>
      <c r="B1243" s="2" t="s">
        <v>20</v>
      </c>
      <c r="C1243" s="19">
        <v>40</v>
      </c>
      <c r="D1243" s="3" t="s">
        <v>496</v>
      </c>
      <c r="E1243" s="3" t="s">
        <v>24</v>
      </c>
      <c r="F1243" s="23">
        <v>106893</v>
      </c>
      <c r="G1243" s="15">
        <v>2008</v>
      </c>
      <c r="H1243" s="15">
        <f>Table_7[[#This Row],[Listing Price (USD)]]/10000</f>
        <v>10.689299999999999</v>
      </c>
      <c r="I1243" s="28">
        <f>Table_7[[#This Row],[Length 
(ft)]]</f>
        <v>40</v>
      </c>
      <c r="J1243" s="28">
        <f>2020-Table_7[[#This Row],[Year]]</f>
        <v>12</v>
      </c>
      <c r="K1243">
        <v>1896755301518.1399</v>
      </c>
      <c r="L1243">
        <v>31911.0357890017</v>
      </c>
      <c r="M1243">
        <v>-0.13770757391656999</v>
      </c>
      <c r="N1243">
        <v>-9.0399534112288507</v>
      </c>
      <c r="O1243">
        <v>35.33</v>
      </c>
      <c r="P1243">
        <v>882.00199999999995</v>
      </c>
      <c r="Q1243">
        <v>55</v>
      </c>
      <c r="R1243">
        <v>12.92</v>
      </c>
    </row>
    <row r="1244" spans="1:18" x14ac:dyDescent="0.25">
      <c r="A1244" s="1" t="s">
        <v>14</v>
      </c>
      <c r="B1244" s="2" t="s">
        <v>20</v>
      </c>
      <c r="C1244" s="19">
        <v>40</v>
      </c>
      <c r="D1244" s="3" t="s">
        <v>496</v>
      </c>
      <c r="E1244" s="3" t="s">
        <v>31</v>
      </c>
      <c r="F1244" s="23">
        <v>119040</v>
      </c>
      <c r="G1244" s="15">
        <v>2011</v>
      </c>
      <c r="H1244" s="15">
        <f>Table_7[[#This Row],[Listing Price (USD)]]/10000</f>
        <v>11.904</v>
      </c>
      <c r="I1244" s="28">
        <f>Table_7[[#This Row],[Length 
(ft)]]</f>
        <v>40</v>
      </c>
      <c r="J1244" s="28">
        <f>2020-Table_7[[#This Row],[Year]]</f>
        <v>9</v>
      </c>
      <c r="K1244">
        <v>57472012426.685303</v>
      </c>
      <c r="L1244">
        <v>14198.753959474399</v>
      </c>
      <c r="M1244">
        <v>0.15481137456202801</v>
      </c>
      <c r="N1244">
        <v>-8.5803430210621805</v>
      </c>
      <c r="O1244">
        <v>35.33</v>
      </c>
      <c r="P1244">
        <v>882.00199999999995</v>
      </c>
      <c r="Q1244">
        <v>55</v>
      </c>
      <c r="R1244">
        <v>12.92</v>
      </c>
    </row>
    <row r="1245" spans="1:18" x14ac:dyDescent="0.25">
      <c r="A1245" s="1" t="s">
        <v>14</v>
      </c>
      <c r="B1245" s="2" t="s">
        <v>20</v>
      </c>
      <c r="C1245" s="19">
        <v>40</v>
      </c>
      <c r="D1245" s="3" t="s">
        <v>496</v>
      </c>
      <c r="E1245" s="3" t="s">
        <v>24</v>
      </c>
      <c r="F1245" s="23">
        <v>121453</v>
      </c>
      <c r="G1245" s="15">
        <v>2011</v>
      </c>
      <c r="H1245" s="15">
        <f>Table_7[[#This Row],[Listing Price (USD)]]/10000</f>
        <v>12.145300000000001</v>
      </c>
      <c r="I1245" s="28">
        <f>Table_7[[#This Row],[Length 
(ft)]]</f>
        <v>40</v>
      </c>
      <c r="J1245" s="28">
        <f>2020-Table_7[[#This Row],[Year]]</f>
        <v>9</v>
      </c>
      <c r="K1245">
        <v>1896755301518.1399</v>
      </c>
      <c r="L1245">
        <v>31911.0357890017</v>
      </c>
      <c r="M1245">
        <v>-0.13770757391656999</v>
      </c>
      <c r="N1245">
        <v>-9.0399534112288507</v>
      </c>
      <c r="O1245">
        <v>35.33</v>
      </c>
      <c r="P1245">
        <v>882.00199999999995</v>
      </c>
      <c r="Q1245">
        <v>55</v>
      </c>
      <c r="R1245">
        <v>12.92</v>
      </c>
    </row>
    <row r="1246" spans="1:18" x14ac:dyDescent="0.25">
      <c r="A1246" s="1" t="s">
        <v>14</v>
      </c>
      <c r="B1246" s="2" t="s">
        <v>20</v>
      </c>
      <c r="C1246" s="19">
        <v>40</v>
      </c>
      <c r="D1246" s="3" t="s">
        <v>496</v>
      </c>
      <c r="E1246" s="3" t="s">
        <v>22</v>
      </c>
      <c r="F1246" s="23">
        <v>123882</v>
      </c>
      <c r="G1246" s="15">
        <v>2011</v>
      </c>
      <c r="H1246" s="15">
        <f>Table_7[[#This Row],[Listing Price (USD)]]/10000</f>
        <v>12.388199999999999</v>
      </c>
      <c r="I1246" s="28">
        <f>Table_7[[#This Row],[Length 
(ft)]]</f>
        <v>40</v>
      </c>
      <c r="J1246" s="28">
        <f>2020-Table_7[[#This Row],[Year]]</f>
        <v>9</v>
      </c>
      <c r="K1246">
        <v>3889668895299.6201</v>
      </c>
      <c r="L1246">
        <v>46772.825350754501</v>
      </c>
      <c r="M1246">
        <v>0.50668988995327402</v>
      </c>
      <c r="N1246">
        <v>-3.6967887053804298</v>
      </c>
      <c r="O1246">
        <v>35.33</v>
      </c>
      <c r="P1246">
        <v>882.00199999999995</v>
      </c>
      <c r="Q1246">
        <v>55</v>
      </c>
      <c r="R1246">
        <v>12.92</v>
      </c>
    </row>
    <row r="1247" spans="1:18" x14ac:dyDescent="0.25">
      <c r="A1247" s="1" t="s">
        <v>14</v>
      </c>
      <c r="B1247" s="2" t="s">
        <v>20</v>
      </c>
      <c r="C1247" s="19">
        <v>40</v>
      </c>
      <c r="D1247" s="3" t="s">
        <v>496</v>
      </c>
      <c r="E1247" s="3" t="s">
        <v>22</v>
      </c>
      <c r="F1247" s="23">
        <v>128791</v>
      </c>
      <c r="G1247" s="15">
        <v>2012</v>
      </c>
      <c r="H1247" s="15">
        <f>Table_7[[#This Row],[Listing Price (USD)]]/10000</f>
        <v>12.879099999999999</v>
      </c>
      <c r="I1247" s="28">
        <f>Table_7[[#This Row],[Length 
(ft)]]</f>
        <v>40</v>
      </c>
      <c r="J1247" s="28">
        <f>2020-Table_7[[#This Row],[Year]]</f>
        <v>8</v>
      </c>
      <c r="K1247">
        <v>3889668895299.6201</v>
      </c>
      <c r="L1247">
        <v>46772.825350754501</v>
      </c>
      <c r="M1247">
        <v>0.50668988995327402</v>
      </c>
      <c r="N1247">
        <v>-3.6967887053804298</v>
      </c>
      <c r="O1247">
        <v>35.33</v>
      </c>
      <c r="P1247">
        <v>882.00199999999995</v>
      </c>
      <c r="Q1247">
        <v>55</v>
      </c>
      <c r="R1247">
        <v>12.92</v>
      </c>
    </row>
    <row r="1248" spans="1:18" x14ac:dyDescent="0.25">
      <c r="A1248" s="1" t="s">
        <v>14</v>
      </c>
      <c r="B1248" s="2" t="s">
        <v>20</v>
      </c>
      <c r="C1248" s="19">
        <v>40</v>
      </c>
      <c r="D1248" s="3" t="s">
        <v>496</v>
      </c>
      <c r="E1248" s="3" t="s">
        <v>22</v>
      </c>
      <c r="F1248" s="23">
        <v>132436</v>
      </c>
      <c r="G1248" s="15">
        <v>2013</v>
      </c>
      <c r="H1248" s="15">
        <f>Table_7[[#This Row],[Listing Price (USD)]]/10000</f>
        <v>13.243600000000001</v>
      </c>
      <c r="I1248" s="28">
        <f>Table_7[[#This Row],[Length 
(ft)]]</f>
        <v>40</v>
      </c>
      <c r="J1248" s="28">
        <f>2020-Table_7[[#This Row],[Year]]</f>
        <v>7</v>
      </c>
      <c r="K1248">
        <v>3889668895299.6201</v>
      </c>
      <c r="L1248">
        <v>46772.825350754501</v>
      </c>
      <c r="M1248">
        <v>0.50668988995327402</v>
      </c>
      <c r="N1248">
        <v>-3.6967887053804298</v>
      </c>
      <c r="O1248">
        <v>35.33</v>
      </c>
      <c r="P1248">
        <v>882.00199999999995</v>
      </c>
      <c r="Q1248">
        <v>55</v>
      </c>
      <c r="R1248">
        <v>12.92</v>
      </c>
    </row>
    <row r="1249" spans="1:18" x14ac:dyDescent="0.25">
      <c r="A1249" s="1" t="s">
        <v>14</v>
      </c>
      <c r="B1249" s="2" t="s">
        <v>20</v>
      </c>
      <c r="C1249" s="19">
        <v>40</v>
      </c>
      <c r="D1249" s="3" t="s">
        <v>496</v>
      </c>
      <c r="E1249" s="3" t="s">
        <v>18</v>
      </c>
      <c r="F1249" s="23">
        <v>133313</v>
      </c>
      <c r="G1249" s="15">
        <v>2012</v>
      </c>
      <c r="H1249" s="15">
        <f>Table_7[[#This Row],[Listing Price (USD)]]/10000</f>
        <v>13.331300000000001</v>
      </c>
      <c r="I1249" s="28">
        <f>Table_7[[#This Row],[Length 
(ft)]]</f>
        <v>40</v>
      </c>
      <c r="J1249" s="28">
        <f>2020-Table_7[[#This Row],[Year]]</f>
        <v>8</v>
      </c>
      <c r="K1249">
        <v>188925995936.80701</v>
      </c>
      <c r="L1249">
        <v>17658.947301119199</v>
      </c>
      <c r="M1249">
        <v>-1.2479835558140799</v>
      </c>
      <c r="N1249">
        <v>-9.0040436420214593</v>
      </c>
      <c r="O1249">
        <v>35.33</v>
      </c>
      <c r="P1249">
        <v>882.00199999999995</v>
      </c>
      <c r="Q1249">
        <v>55</v>
      </c>
      <c r="R1249">
        <v>12.92</v>
      </c>
    </row>
    <row r="1250" spans="1:18" x14ac:dyDescent="0.25">
      <c r="A1250" s="1" t="s">
        <v>14</v>
      </c>
      <c r="B1250" s="2" t="s">
        <v>20</v>
      </c>
      <c r="C1250" s="19">
        <v>40</v>
      </c>
      <c r="D1250" s="3" t="s">
        <v>496</v>
      </c>
      <c r="E1250" s="3" t="s">
        <v>18</v>
      </c>
      <c r="F1250" s="23">
        <v>133651</v>
      </c>
      <c r="G1250" s="15">
        <v>2013</v>
      </c>
      <c r="H1250" s="15">
        <f>Table_7[[#This Row],[Listing Price (USD)]]/10000</f>
        <v>13.3651</v>
      </c>
      <c r="I1250" s="28">
        <f>Table_7[[#This Row],[Length 
(ft)]]</f>
        <v>40</v>
      </c>
      <c r="J1250" s="28">
        <f>2020-Table_7[[#This Row],[Year]]</f>
        <v>7</v>
      </c>
      <c r="K1250">
        <v>188925995936.80701</v>
      </c>
      <c r="L1250">
        <v>17658.947301119199</v>
      </c>
      <c r="M1250">
        <v>-1.2479835558140799</v>
      </c>
      <c r="N1250">
        <v>-9.0040436420214593</v>
      </c>
      <c r="O1250">
        <v>35.33</v>
      </c>
      <c r="P1250">
        <v>882.00199999999995</v>
      </c>
      <c r="Q1250">
        <v>55</v>
      </c>
      <c r="R1250">
        <v>12.92</v>
      </c>
    </row>
    <row r="1251" spans="1:18" x14ac:dyDescent="0.25">
      <c r="A1251" s="1" t="s">
        <v>14</v>
      </c>
      <c r="B1251" s="2" t="s">
        <v>20</v>
      </c>
      <c r="C1251" s="19">
        <v>40</v>
      </c>
      <c r="D1251" s="3" t="s">
        <v>496</v>
      </c>
      <c r="E1251" s="3" t="s">
        <v>3</v>
      </c>
      <c r="F1251" s="23">
        <v>144549</v>
      </c>
      <c r="G1251" s="15">
        <v>2011</v>
      </c>
      <c r="H1251" s="15">
        <f>Table_7[[#This Row],[Listing Price (USD)]]/10000</f>
        <v>14.4549</v>
      </c>
      <c r="I1251" s="28">
        <f>Table_7[[#This Row],[Length 
(ft)]]</f>
        <v>40</v>
      </c>
      <c r="J1251" s="28">
        <f>2020-Table_7[[#This Row],[Year]]</f>
        <v>9</v>
      </c>
      <c r="K1251">
        <v>2639008701648.2598</v>
      </c>
      <c r="L1251">
        <v>39055.282928075401</v>
      </c>
      <c r="M1251">
        <v>0.47649885272508302</v>
      </c>
      <c r="N1251">
        <v>-7.7845864916787102</v>
      </c>
      <c r="O1251">
        <v>35.33</v>
      </c>
      <c r="P1251">
        <v>882.00199999999995</v>
      </c>
      <c r="Q1251">
        <v>55</v>
      </c>
      <c r="R1251">
        <v>12.92</v>
      </c>
    </row>
    <row r="1252" spans="1:18" x14ac:dyDescent="0.25">
      <c r="A1252" s="1" t="s">
        <v>14</v>
      </c>
      <c r="B1252" s="2" t="s">
        <v>20</v>
      </c>
      <c r="C1252" s="19">
        <v>40</v>
      </c>
      <c r="D1252" s="3" t="s">
        <v>496</v>
      </c>
      <c r="E1252" s="3" t="s">
        <v>516</v>
      </c>
      <c r="F1252" s="23">
        <v>144549</v>
      </c>
      <c r="G1252" s="15">
        <v>2011</v>
      </c>
      <c r="H1252" s="15">
        <f>Table_7[[#This Row],[Listing Price (USD)]]/10000</f>
        <v>14.4549</v>
      </c>
      <c r="I1252" s="28">
        <f>Table_7[[#This Row],[Length 
(ft)]]</f>
        <v>40</v>
      </c>
      <c r="J1252" s="28">
        <f>2020-Table_7[[#This Row],[Year]]</f>
        <v>9</v>
      </c>
      <c r="K1252">
        <v>909793466661.48096</v>
      </c>
      <c r="L1252">
        <v>52162.570115040602</v>
      </c>
      <c r="M1252">
        <v>1.2724603778917001</v>
      </c>
      <c r="N1252">
        <v>-3.88608391819609</v>
      </c>
      <c r="O1252">
        <v>35.33</v>
      </c>
      <c r="P1252">
        <v>882.00199999999995</v>
      </c>
      <c r="Q1252">
        <v>55</v>
      </c>
      <c r="R1252">
        <v>12.92</v>
      </c>
    </row>
    <row r="1253" spans="1:18" x14ac:dyDescent="0.25">
      <c r="A1253" s="1" t="s">
        <v>14</v>
      </c>
      <c r="B1253" s="2" t="s">
        <v>20</v>
      </c>
      <c r="C1253" s="19">
        <v>40</v>
      </c>
      <c r="D1253" s="3" t="s">
        <v>496</v>
      </c>
      <c r="E1253" s="3" t="s">
        <v>18</v>
      </c>
      <c r="F1253" s="23">
        <v>157889</v>
      </c>
      <c r="G1253" s="15">
        <v>2011</v>
      </c>
      <c r="H1253" s="15">
        <f>Table_7[[#This Row],[Listing Price (USD)]]/10000</f>
        <v>15.7889</v>
      </c>
      <c r="I1253" s="28">
        <f>Table_7[[#This Row],[Length 
(ft)]]</f>
        <v>40</v>
      </c>
      <c r="J1253" s="28">
        <f>2020-Table_7[[#This Row],[Year]]</f>
        <v>9</v>
      </c>
      <c r="K1253">
        <v>188925995936.80701</v>
      </c>
      <c r="L1253">
        <v>17658.947301119199</v>
      </c>
      <c r="M1253">
        <v>-1.2479835558140799</v>
      </c>
      <c r="N1253">
        <v>-9.0040436420214593</v>
      </c>
      <c r="O1253">
        <v>35.33</v>
      </c>
      <c r="P1253">
        <v>882.00199999999995</v>
      </c>
      <c r="Q1253">
        <v>55</v>
      </c>
      <c r="R1253">
        <v>12.92</v>
      </c>
    </row>
    <row r="1254" spans="1:18" x14ac:dyDescent="0.25">
      <c r="A1254" s="1" t="s">
        <v>14</v>
      </c>
      <c r="B1254" s="2" t="s">
        <v>20</v>
      </c>
      <c r="C1254" s="19">
        <v>40</v>
      </c>
      <c r="D1254" s="3" t="s">
        <v>496</v>
      </c>
      <c r="E1254" s="3" t="s">
        <v>536</v>
      </c>
      <c r="F1254" s="23">
        <v>160867</v>
      </c>
      <c r="G1254" s="15">
        <v>2011</v>
      </c>
      <c r="H1254" s="15">
        <f>Table_7[[#This Row],[Listing Price (USD)]]/10000</f>
        <v>16.0867</v>
      </c>
      <c r="I1254" s="28">
        <f>Table_7[[#This Row],[Length 
(ft)]]</f>
        <v>40</v>
      </c>
      <c r="J1254" s="28">
        <f>2020-Table_7[[#This Row],[Year]]</f>
        <v>9</v>
      </c>
      <c r="K1254">
        <v>355222449505.211</v>
      </c>
      <c r="L1254">
        <v>60915.424399546202</v>
      </c>
      <c r="M1254">
        <v>0.42071197411002598</v>
      </c>
      <c r="N1254">
        <v>-1.99460756850381</v>
      </c>
      <c r="O1254">
        <v>35.33</v>
      </c>
      <c r="P1254">
        <v>882.00199999999995</v>
      </c>
      <c r="Q1254">
        <v>55</v>
      </c>
      <c r="R1254">
        <v>12.92</v>
      </c>
    </row>
    <row r="1255" spans="1:18" x14ac:dyDescent="0.25">
      <c r="A1255" s="1" t="s">
        <v>14</v>
      </c>
      <c r="B1255" s="2" t="s">
        <v>21</v>
      </c>
      <c r="C1255" s="19">
        <v>40</v>
      </c>
      <c r="D1255" s="3" t="s">
        <v>496</v>
      </c>
      <c r="E1255" s="3" t="s">
        <v>31</v>
      </c>
      <c r="F1255" s="23">
        <v>84807</v>
      </c>
      <c r="G1255" s="15">
        <v>2012</v>
      </c>
      <c r="H1255" s="15">
        <f>Table_7[[#This Row],[Listing Price (USD)]]/10000</f>
        <v>8.4807000000000006</v>
      </c>
      <c r="I1255" s="28">
        <f>Table_7[[#This Row],[Length 
(ft)]]</f>
        <v>40</v>
      </c>
      <c r="J1255" s="28">
        <f>2020-Table_7[[#This Row],[Year]]</f>
        <v>8</v>
      </c>
      <c r="K1255">
        <v>57472012426.685303</v>
      </c>
      <c r="L1255">
        <v>14198.753959474399</v>
      </c>
      <c r="M1255">
        <v>0.15481137456202801</v>
      </c>
      <c r="N1255">
        <v>-8.5803430210621805</v>
      </c>
      <c r="O1255">
        <v>35.270000000000003</v>
      </c>
      <c r="P1255">
        <v>841.00199999999995</v>
      </c>
      <c r="Q1255">
        <v>55</v>
      </c>
      <c r="R1255">
        <v>12.96</v>
      </c>
    </row>
    <row r="1256" spans="1:18" x14ac:dyDescent="0.25">
      <c r="A1256" s="1" t="s">
        <v>14</v>
      </c>
      <c r="B1256" s="3" t="s">
        <v>21</v>
      </c>
      <c r="C1256" s="19">
        <v>40</v>
      </c>
      <c r="D1256" s="3" t="s">
        <v>497</v>
      </c>
      <c r="E1256" s="3" t="s">
        <v>369</v>
      </c>
      <c r="F1256" s="23">
        <v>99000</v>
      </c>
      <c r="G1256" s="15">
        <v>2011</v>
      </c>
      <c r="H1256" s="15">
        <f>Table_7[[#This Row],[Listing Price (USD)]]/10000</f>
        <v>9.9</v>
      </c>
      <c r="I1256" s="28">
        <f>Table_7[[#This Row],[Length 
(ft)]]</f>
        <v>40</v>
      </c>
      <c r="J1256" s="28">
        <f>2020-Table_7[[#This Row],[Year]]</f>
        <v>9</v>
      </c>
      <c r="K1256">
        <v>78844702329.078506</v>
      </c>
      <c r="L1256">
        <v>7167.9191590832697</v>
      </c>
      <c r="M1256">
        <v>3.7810317991551599</v>
      </c>
      <c r="N1256">
        <v>-6.7202393728340404</v>
      </c>
      <c r="O1256">
        <v>35.270000000000003</v>
      </c>
      <c r="P1256">
        <v>841.00199999999995</v>
      </c>
      <c r="Q1256">
        <v>55</v>
      </c>
      <c r="R1256">
        <v>12.96</v>
      </c>
    </row>
    <row r="1257" spans="1:18" x14ac:dyDescent="0.25">
      <c r="A1257" s="1" t="s">
        <v>14</v>
      </c>
      <c r="B1257" s="2" t="s">
        <v>21</v>
      </c>
      <c r="C1257" s="19">
        <v>40</v>
      </c>
      <c r="D1257" s="3" t="s">
        <v>496</v>
      </c>
      <c r="E1257" s="3" t="s">
        <v>31</v>
      </c>
      <c r="F1257" s="23">
        <v>103235</v>
      </c>
      <c r="G1257" s="15">
        <v>2013</v>
      </c>
      <c r="H1257" s="15">
        <f>Table_7[[#This Row],[Listing Price (USD)]]/10000</f>
        <v>10.323499999999999</v>
      </c>
      <c r="I1257" s="28">
        <f>Table_7[[#This Row],[Length 
(ft)]]</f>
        <v>40</v>
      </c>
      <c r="J1257" s="28">
        <f>2020-Table_7[[#This Row],[Year]]</f>
        <v>7</v>
      </c>
      <c r="K1257">
        <v>57472012426.685303</v>
      </c>
      <c r="L1257">
        <v>14198.753959474399</v>
      </c>
      <c r="M1257">
        <v>0.15481137456202801</v>
      </c>
      <c r="N1257">
        <v>-8.5803430210621805</v>
      </c>
      <c r="O1257">
        <v>35.270000000000003</v>
      </c>
      <c r="P1257">
        <v>841.00199999999995</v>
      </c>
      <c r="Q1257">
        <v>55</v>
      </c>
      <c r="R1257">
        <v>12.96</v>
      </c>
    </row>
    <row r="1258" spans="1:18" x14ac:dyDescent="0.25">
      <c r="A1258" s="1" t="s">
        <v>14</v>
      </c>
      <c r="B1258" s="2" t="s">
        <v>21</v>
      </c>
      <c r="C1258" s="19">
        <v>40</v>
      </c>
      <c r="D1258" s="3" t="s">
        <v>496</v>
      </c>
      <c r="E1258" s="3" t="s">
        <v>31</v>
      </c>
      <c r="F1258" s="23">
        <v>106879</v>
      </c>
      <c r="G1258" s="15">
        <v>2013</v>
      </c>
      <c r="H1258" s="15">
        <f>Table_7[[#This Row],[Listing Price (USD)]]/10000</f>
        <v>10.687900000000001</v>
      </c>
      <c r="I1258" s="28">
        <f>Table_7[[#This Row],[Length 
(ft)]]</f>
        <v>40</v>
      </c>
      <c r="J1258" s="28">
        <f>2020-Table_7[[#This Row],[Year]]</f>
        <v>7</v>
      </c>
      <c r="K1258">
        <v>57472012426.685303</v>
      </c>
      <c r="L1258">
        <v>14198.753959474399</v>
      </c>
      <c r="M1258">
        <v>0.15481137456202801</v>
      </c>
      <c r="N1258">
        <v>-8.5803430210621805</v>
      </c>
      <c r="O1258">
        <v>35.270000000000003</v>
      </c>
      <c r="P1258">
        <v>841.00199999999995</v>
      </c>
      <c r="Q1258">
        <v>55</v>
      </c>
      <c r="R1258">
        <v>12.96</v>
      </c>
    </row>
    <row r="1259" spans="1:18" x14ac:dyDescent="0.25">
      <c r="A1259" s="1" t="s">
        <v>14</v>
      </c>
      <c r="B1259" s="2" t="s">
        <v>21</v>
      </c>
      <c r="C1259" s="19">
        <v>40</v>
      </c>
      <c r="D1259" s="3" t="s">
        <v>496</v>
      </c>
      <c r="E1259" s="3" t="s">
        <v>31</v>
      </c>
      <c r="F1259" s="23">
        <v>109201</v>
      </c>
      <c r="G1259" s="15">
        <v>2013</v>
      </c>
      <c r="H1259" s="15">
        <f>Table_7[[#This Row],[Listing Price (USD)]]/10000</f>
        <v>10.9201</v>
      </c>
      <c r="I1259" s="28">
        <f>Table_7[[#This Row],[Length 
(ft)]]</f>
        <v>40</v>
      </c>
      <c r="J1259" s="28">
        <f>2020-Table_7[[#This Row],[Year]]</f>
        <v>7</v>
      </c>
      <c r="K1259">
        <v>57472012426.685303</v>
      </c>
      <c r="L1259">
        <v>14198.753959474399</v>
      </c>
      <c r="M1259">
        <v>0.15481137456202801</v>
      </c>
      <c r="N1259">
        <v>-8.5803430210621805</v>
      </c>
      <c r="O1259">
        <v>35.270000000000003</v>
      </c>
      <c r="P1259">
        <v>841.00199999999995</v>
      </c>
      <c r="Q1259">
        <v>55</v>
      </c>
      <c r="R1259">
        <v>12.96</v>
      </c>
    </row>
    <row r="1260" spans="1:18" x14ac:dyDescent="0.25">
      <c r="A1260" s="1" t="s">
        <v>14</v>
      </c>
      <c r="B1260" s="2" t="s">
        <v>21</v>
      </c>
      <c r="C1260" s="19">
        <v>40</v>
      </c>
      <c r="D1260" s="3" t="s">
        <v>496</v>
      </c>
      <c r="E1260" s="3" t="s">
        <v>31</v>
      </c>
      <c r="F1260" s="23">
        <v>109229</v>
      </c>
      <c r="G1260" s="15">
        <v>2013</v>
      </c>
      <c r="H1260" s="15">
        <f>Table_7[[#This Row],[Listing Price (USD)]]/10000</f>
        <v>10.9229</v>
      </c>
      <c r="I1260" s="28">
        <f>Table_7[[#This Row],[Length 
(ft)]]</f>
        <v>40</v>
      </c>
      <c r="J1260" s="28">
        <f>2020-Table_7[[#This Row],[Year]]</f>
        <v>7</v>
      </c>
      <c r="K1260">
        <v>57472012426.685303</v>
      </c>
      <c r="L1260">
        <v>14198.753959474399</v>
      </c>
      <c r="M1260">
        <v>0.15481137456202801</v>
      </c>
      <c r="N1260">
        <v>-8.5803430210621805</v>
      </c>
      <c r="O1260">
        <v>35.270000000000003</v>
      </c>
      <c r="P1260">
        <v>841.00199999999995</v>
      </c>
      <c r="Q1260">
        <v>55</v>
      </c>
      <c r="R1260">
        <v>12.96</v>
      </c>
    </row>
    <row r="1261" spans="1:18" x14ac:dyDescent="0.25">
      <c r="A1261" s="1" t="s">
        <v>14</v>
      </c>
      <c r="B1261" s="2" t="s">
        <v>21</v>
      </c>
      <c r="C1261" s="19">
        <v>40</v>
      </c>
      <c r="D1261" s="3" t="s">
        <v>496</v>
      </c>
      <c r="E1261" s="3" t="s">
        <v>18</v>
      </c>
      <c r="F1261" s="23">
        <v>109308</v>
      </c>
      <c r="G1261" s="15">
        <v>2012</v>
      </c>
      <c r="H1261" s="15">
        <f>Table_7[[#This Row],[Listing Price (USD)]]/10000</f>
        <v>10.9308</v>
      </c>
      <c r="I1261" s="28">
        <f>Table_7[[#This Row],[Length 
(ft)]]</f>
        <v>40</v>
      </c>
      <c r="J1261" s="28">
        <f>2020-Table_7[[#This Row],[Year]]</f>
        <v>8</v>
      </c>
      <c r="K1261">
        <v>188925995936.80701</v>
      </c>
      <c r="L1261">
        <v>17658.947301119199</v>
      </c>
      <c r="M1261">
        <v>-1.2479835558140799</v>
      </c>
      <c r="N1261">
        <v>-9.0040436420214593</v>
      </c>
      <c r="O1261">
        <v>35.270000000000003</v>
      </c>
      <c r="P1261">
        <v>841.00199999999995</v>
      </c>
      <c r="Q1261">
        <v>55</v>
      </c>
      <c r="R1261">
        <v>12.96</v>
      </c>
    </row>
    <row r="1262" spans="1:18" x14ac:dyDescent="0.25">
      <c r="A1262" s="1" t="s">
        <v>14</v>
      </c>
      <c r="B1262" s="2" t="s">
        <v>21</v>
      </c>
      <c r="C1262" s="19">
        <v>40</v>
      </c>
      <c r="D1262" s="3" t="s">
        <v>496</v>
      </c>
      <c r="E1262" s="3" t="s">
        <v>31</v>
      </c>
      <c r="F1262" s="23">
        <v>116975</v>
      </c>
      <c r="G1262" s="15">
        <v>2012</v>
      </c>
      <c r="H1262" s="15">
        <f>Table_7[[#This Row],[Listing Price (USD)]]/10000</f>
        <v>11.6975</v>
      </c>
      <c r="I1262" s="28">
        <f>Table_7[[#This Row],[Length 
(ft)]]</f>
        <v>40</v>
      </c>
      <c r="J1262" s="28">
        <f>2020-Table_7[[#This Row],[Year]]</f>
        <v>8</v>
      </c>
      <c r="K1262">
        <v>57472012426.685303</v>
      </c>
      <c r="L1262">
        <v>14198.753959474399</v>
      </c>
      <c r="M1262">
        <v>0.15481137456202801</v>
      </c>
      <c r="N1262">
        <v>-8.5803430210621805</v>
      </c>
      <c r="O1262">
        <v>35.270000000000003</v>
      </c>
      <c r="P1262">
        <v>841.00199999999995</v>
      </c>
      <c r="Q1262">
        <v>55</v>
      </c>
      <c r="R1262">
        <v>12.96</v>
      </c>
    </row>
    <row r="1263" spans="1:18" x14ac:dyDescent="0.25">
      <c r="A1263" s="1" t="s">
        <v>14</v>
      </c>
      <c r="B1263" s="2" t="s">
        <v>21</v>
      </c>
      <c r="C1263" s="19">
        <v>40</v>
      </c>
      <c r="D1263" s="3" t="s">
        <v>496</v>
      </c>
      <c r="E1263" s="3" t="s">
        <v>31</v>
      </c>
      <c r="F1263" s="23">
        <v>132013</v>
      </c>
      <c r="G1263" s="15">
        <v>2012</v>
      </c>
      <c r="H1263" s="15">
        <f>Table_7[[#This Row],[Listing Price (USD)]]/10000</f>
        <v>13.2013</v>
      </c>
      <c r="I1263" s="28">
        <f>Table_7[[#This Row],[Length 
(ft)]]</f>
        <v>40</v>
      </c>
      <c r="J1263" s="28">
        <f>2020-Table_7[[#This Row],[Year]]</f>
        <v>8</v>
      </c>
      <c r="K1263">
        <v>57472012426.685303</v>
      </c>
      <c r="L1263">
        <v>14198.753959474399</v>
      </c>
      <c r="M1263">
        <v>0.15481137456202801</v>
      </c>
      <c r="N1263">
        <v>-8.5803430210621805</v>
      </c>
      <c r="O1263">
        <v>35.270000000000003</v>
      </c>
      <c r="P1263">
        <v>841.00199999999995</v>
      </c>
      <c r="Q1263">
        <v>55</v>
      </c>
      <c r="R1263">
        <v>12.96</v>
      </c>
    </row>
    <row r="1264" spans="1:18" x14ac:dyDescent="0.25">
      <c r="A1264" s="1" t="s">
        <v>14</v>
      </c>
      <c r="B1264" s="2" t="s">
        <v>21</v>
      </c>
      <c r="C1264" s="19">
        <v>40</v>
      </c>
      <c r="D1264" s="3" t="s">
        <v>496</v>
      </c>
      <c r="E1264" s="3" t="s">
        <v>31</v>
      </c>
      <c r="F1264" s="23">
        <v>168893</v>
      </c>
      <c r="G1264" s="15">
        <v>2012</v>
      </c>
      <c r="H1264" s="15">
        <f>Table_7[[#This Row],[Listing Price (USD)]]/10000</f>
        <v>16.889299999999999</v>
      </c>
      <c r="I1264" s="28">
        <f>Table_7[[#This Row],[Length 
(ft)]]</f>
        <v>40</v>
      </c>
      <c r="J1264" s="28">
        <f>2020-Table_7[[#This Row],[Year]]</f>
        <v>8</v>
      </c>
      <c r="K1264">
        <v>57472012426.685303</v>
      </c>
      <c r="L1264">
        <v>14198.753959474399</v>
      </c>
      <c r="M1264">
        <v>0.15481137456202801</v>
      </c>
      <c r="N1264">
        <v>-8.5803430210621805</v>
      </c>
      <c r="O1264">
        <v>35.270000000000003</v>
      </c>
      <c r="P1264">
        <v>841.00199999999995</v>
      </c>
      <c r="Q1264">
        <v>55</v>
      </c>
      <c r="R1264">
        <v>12.96</v>
      </c>
    </row>
    <row r="1265" spans="1:18" x14ac:dyDescent="0.25">
      <c r="A1265" s="1" t="s">
        <v>117</v>
      </c>
      <c r="B1265" s="2" t="s">
        <v>119</v>
      </c>
      <c r="C1265" s="19">
        <v>41</v>
      </c>
      <c r="D1265" s="3" t="s">
        <v>496</v>
      </c>
      <c r="E1265" s="3" t="s">
        <v>18</v>
      </c>
      <c r="F1265" s="23">
        <v>176046</v>
      </c>
      <c r="G1265" s="15">
        <v>2008</v>
      </c>
      <c r="H1265" s="15">
        <f>Table_7[[#This Row],[Listing Price (USD)]]/10000</f>
        <v>17.604600000000001</v>
      </c>
      <c r="I1265" s="28">
        <f>Table_7[[#This Row],[Length 
(ft)]]</f>
        <v>41</v>
      </c>
      <c r="J1265" s="28">
        <f>2020-Table_7[[#This Row],[Year]]</f>
        <v>12</v>
      </c>
      <c r="K1265">
        <v>188925995936.80701</v>
      </c>
      <c r="L1265">
        <v>17658.947301119199</v>
      </c>
      <c r="M1265">
        <v>-1.2479835558140799</v>
      </c>
      <c r="N1265">
        <v>-9.0040436420214593</v>
      </c>
      <c r="O1265">
        <v>35.270000000000003</v>
      </c>
      <c r="P1265">
        <v>882.00199999999995</v>
      </c>
      <c r="Q1265">
        <v>55</v>
      </c>
      <c r="R1265">
        <v>12.99</v>
      </c>
    </row>
    <row r="1266" spans="1:18" x14ac:dyDescent="0.25">
      <c r="A1266" s="1" t="s">
        <v>117</v>
      </c>
      <c r="B1266" s="2" t="s">
        <v>119</v>
      </c>
      <c r="C1266" s="19">
        <v>41</v>
      </c>
      <c r="D1266" s="3" t="s">
        <v>496</v>
      </c>
      <c r="E1266" s="3" t="s">
        <v>24</v>
      </c>
      <c r="F1266" s="23">
        <v>176176</v>
      </c>
      <c r="G1266" s="15">
        <v>2005</v>
      </c>
      <c r="H1266" s="15">
        <f>Table_7[[#This Row],[Listing Price (USD)]]/10000</f>
        <v>17.617599999999999</v>
      </c>
      <c r="I1266" s="28">
        <f>Table_7[[#This Row],[Length 
(ft)]]</f>
        <v>41</v>
      </c>
      <c r="J1266" s="28">
        <f>2020-Table_7[[#This Row],[Year]]</f>
        <v>15</v>
      </c>
      <c r="K1266">
        <v>1896755301518.1399</v>
      </c>
      <c r="L1266">
        <v>31911.0357890017</v>
      </c>
      <c r="M1266">
        <v>-0.13770757391656999</v>
      </c>
      <c r="N1266">
        <v>-9.0399534112288507</v>
      </c>
      <c r="O1266">
        <v>35.270000000000003</v>
      </c>
      <c r="P1266">
        <v>882.00199999999995</v>
      </c>
      <c r="Q1266">
        <v>55</v>
      </c>
      <c r="R1266">
        <v>12.99</v>
      </c>
    </row>
    <row r="1267" spans="1:18" x14ac:dyDescent="0.25">
      <c r="A1267" s="1" t="s">
        <v>14</v>
      </c>
      <c r="B1267" s="3" t="s">
        <v>23</v>
      </c>
      <c r="C1267" s="19">
        <v>40</v>
      </c>
      <c r="D1267" s="3" t="s">
        <v>497</v>
      </c>
      <c r="E1267" s="3" t="s">
        <v>483</v>
      </c>
      <c r="F1267" s="23">
        <v>120299</v>
      </c>
      <c r="G1267" s="15">
        <v>2013</v>
      </c>
      <c r="H1267" s="15">
        <f>Table_7[[#This Row],[Listing Price (USD)]]/10000</f>
        <v>12.0299</v>
      </c>
      <c r="I1267" s="28">
        <f>Table_7[[#This Row],[Length 
(ft)]]</f>
        <v>40</v>
      </c>
      <c r="J1267" s="28">
        <f>2020-Table_7[[#This Row],[Year]]</f>
        <v>7</v>
      </c>
      <c r="K1267">
        <v>4200000000</v>
      </c>
      <c r="L1267">
        <v>39553.199999999997</v>
      </c>
      <c r="M1267">
        <v>2.5</v>
      </c>
      <c r="N1267">
        <v>-2.1</v>
      </c>
      <c r="O1267">
        <v>35.270000000000003</v>
      </c>
      <c r="P1267">
        <v>882.00199999999995</v>
      </c>
      <c r="Q1267">
        <v>55</v>
      </c>
      <c r="R1267">
        <v>12.99</v>
      </c>
    </row>
    <row r="1268" spans="1:18" x14ac:dyDescent="0.25">
      <c r="A1268" s="1" t="s">
        <v>14</v>
      </c>
      <c r="B1268" s="2" t="s">
        <v>23</v>
      </c>
      <c r="C1268" s="19">
        <v>40</v>
      </c>
      <c r="D1268" s="3" t="s">
        <v>496</v>
      </c>
      <c r="E1268" s="3" t="s">
        <v>18</v>
      </c>
      <c r="F1268" s="23">
        <v>128791</v>
      </c>
      <c r="G1268" s="15">
        <v>2015</v>
      </c>
      <c r="H1268" s="15">
        <f>Table_7[[#This Row],[Listing Price (USD)]]/10000</f>
        <v>12.879099999999999</v>
      </c>
      <c r="I1268" s="28">
        <f>Table_7[[#This Row],[Length 
(ft)]]</f>
        <v>40</v>
      </c>
      <c r="J1268" s="28">
        <f>2020-Table_7[[#This Row],[Year]]</f>
        <v>5</v>
      </c>
      <c r="K1268">
        <v>188925995936.80701</v>
      </c>
      <c r="L1268">
        <v>17658.947301119199</v>
      </c>
      <c r="M1268">
        <v>-1.2479835558140799</v>
      </c>
      <c r="N1268">
        <v>-9.0040436420214593</v>
      </c>
      <c r="O1268">
        <v>35.270000000000003</v>
      </c>
      <c r="P1268">
        <v>882.00199999999995</v>
      </c>
      <c r="Q1268">
        <v>55</v>
      </c>
      <c r="R1268">
        <v>12.99</v>
      </c>
    </row>
    <row r="1269" spans="1:18" x14ac:dyDescent="0.25">
      <c r="A1269" s="1" t="s">
        <v>14</v>
      </c>
      <c r="B1269" s="2" t="s">
        <v>23</v>
      </c>
      <c r="C1269" s="19">
        <v>40</v>
      </c>
      <c r="D1269" s="3" t="s">
        <v>496</v>
      </c>
      <c r="E1269" s="3" t="s">
        <v>3</v>
      </c>
      <c r="F1269" s="23">
        <v>130580</v>
      </c>
      <c r="G1269" s="15">
        <v>2014</v>
      </c>
      <c r="H1269" s="15">
        <f>Table_7[[#This Row],[Listing Price (USD)]]/10000</f>
        <v>13.058</v>
      </c>
      <c r="I1269" s="28">
        <f>Table_7[[#This Row],[Length 
(ft)]]</f>
        <v>40</v>
      </c>
      <c r="J1269" s="28">
        <f>2020-Table_7[[#This Row],[Year]]</f>
        <v>6</v>
      </c>
      <c r="K1269">
        <v>2639008701648.2598</v>
      </c>
      <c r="L1269">
        <v>39055.282928075401</v>
      </c>
      <c r="M1269">
        <v>0.47649885272508302</v>
      </c>
      <c r="N1269">
        <v>-7.7845864916787102</v>
      </c>
      <c r="O1269">
        <v>35.270000000000003</v>
      </c>
      <c r="P1269">
        <v>882.00199999999995</v>
      </c>
      <c r="Q1269">
        <v>55</v>
      </c>
      <c r="R1269">
        <v>12.99</v>
      </c>
    </row>
    <row r="1270" spans="1:18" x14ac:dyDescent="0.25">
      <c r="A1270" s="1" t="s">
        <v>14</v>
      </c>
      <c r="B1270" s="2" t="s">
        <v>23</v>
      </c>
      <c r="C1270" s="19">
        <v>40</v>
      </c>
      <c r="D1270" s="3" t="s">
        <v>496</v>
      </c>
      <c r="E1270" s="3" t="s">
        <v>31</v>
      </c>
      <c r="F1270" s="23">
        <v>144586</v>
      </c>
      <c r="G1270" s="15">
        <v>2014</v>
      </c>
      <c r="H1270" s="15">
        <f>Table_7[[#This Row],[Listing Price (USD)]]/10000</f>
        <v>14.458600000000001</v>
      </c>
      <c r="I1270" s="28">
        <f>Table_7[[#This Row],[Length 
(ft)]]</f>
        <v>40</v>
      </c>
      <c r="J1270" s="28">
        <f>2020-Table_7[[#This Row],[Year]]</f>
        <v>6</v>
      </c>
      <c r="K1270">
        <v>57472012426.685303</v>
      </c>
      <c r="L1270">
        <v>14198.753959474399</v>
      </c>
      <c r="M1270">
        <v>0.15481137456202801</v>
      </c>
      <c r="N1270">
        <v>-8.5803430210621805</v>
      </c>
      <c r="O1270">
        <v>35.270000000000003</v>
      </c>
      <c r="P1270">
        <v>882.00199999999995</v>
      </c>
      <c r="Q1270">
        <v>55</v>
      </c>
      <c r="R1270">
        <v>12.99</v>
      </c>
    </row>
    <row r="1271" spans="1:18" x14ac:dyDescent="0.25">
      <c r="A1271" s="1" t="s">
        <v>14</v>
      </c>
      <c r="B1271" s="2" t="s">
        <v>23</v>
      </c>
      <c r="C1271" s="19">
        <v>40</v>
      </c>
      <c r="D1271" s="3" t="s">
        <v>496</v>
      </c>
      <c r="E1271" s="3" t="s">
        <v>18</v>
      </c>
      <c r="F1271" s="23">
        <v>148193</v>
      </c>
      <c r="G1271" s="15">
        <v>2014</v>
      </c>
      <c r="H1271" s="15">
        <f>Table_7[[#This Row],[Listing Price (USD)]]/10000</f>
        <v>14.8193</v>
      </c>
      <c r="I1271" s="28">
        <f>Table_7[[#This Row],[Length 
(ft)]]</f>
        <v>40</v>
      </c>
      <c r="J1271" s="28">
        <f>2020-Table_7[[#This Row],[Year]]</f>
        <v>6</v>
      </c>
      <c r="K1271">
        <v>188925995936.80701</v>
      </c>
      <c r="L1271">
        <v>17658.947301119199</v>
      </c>
      <c r="M1271">
        <v>-1.2479835558140799</v>
      </c>
      <c r="N1271">
        <v>-9.0040436420214593</v>
      </c>
      <c r="O1271">
        <v>35.270000000000003</v>
      </c>
      <c r="P1271">
        <v>882.00199999999995</v>
      </c>
      <c r="Q1271">
        <v>55</v>
      </c>
      <c r="R1271">
        <v>12.99</v>
      </c>
    </row>
    <row r="1272" spans="1:18" x14ac:dyDescent="0.25">
      <c r="A1272" s="1" t="s">
        <v>14</v>
      </c>
      <c r="B1272" s="2" t="s">
        <v>23</v>
      </c>
      <c r="C1272" s="19">
        <v>40</v>
      </c>
      <c r="D1272" s="3" t="s">
        <v>496</v>
      </c>
      <c r="E1272" s="3" t="s">
        <v>22</v>
      </c>
      <c r="F1272" s="23">
        <v>156675</v>
      </c>
      <c r="G1272" s="15">
        <v>2014</v>
      </c>
      <c r="H1272" s="15">
        <f>Table_7[[#This Row],[Listing Price (USD)]]/10000</f>
        <v>15.6675</v>
      </c>
      <c r="I1272" s="28">
        <f>Table_7[[#This Row],[Length 
(ft)]]</f>
        <v>40</v>
      </c>
      <c r="J1272" s="28">
        <f>2020-Table_7[[#This Row],[Year]]</f>
        <v>6</v>
      </c>
      <c r="K1272">
        <v>3889668895299.6201</v>
      </c>
      <c r="L1272">
        <v>46772.825350754501</v>
      </c>
      <c r="M1272">
        <v>0.50668988995327402</v>
      </c>
      <c r="N1272">
        <v>-3.6967887053804298</v>
      </c>
      <c r="O1272">
        <v>35.270000000000003</v>
      </c>
      <c r="P1272">
        <v>882.00199999999995</v>
      </c>
      <c r="Q1272">
        <v>55</v>
      </c>
      <c r="R1272">
        <v>12.99</v>
      </c>
    </row>
    <row r="1273" spans="1:18" x14ac:dyDescent="0.25">
      <c r="A1273" s="1" t="s">
        <v>14</v>
      </c>
      <c r="B1273" s="2" t="s">
        <v>23</v>
      </c>
      <c r="C1273" s="19">
        <v>40</v>
      </c>
      <c r="D1273" s="3" t="s">
        <v>496</v>
      </c>
      <c r="E1273" s="3" t="s">
        <v>24</v>
      </c>
      <c r="F1273" s="23">
        <v>157889</v>
      </c>
      <c r="G1273" s="15">
        <v>2014</v>
      </c>
      <c r="H1273" s="15">
        <f>Table_7[[#This Row],[Listing Price (USD)]]/10000</f>
        <v>15.7889</v>
      </c>
      <c r="I1273" s="28">
        <f>Table_7[[#This Row],[Length 
(ft)]]</f>
        <v>40</v>
      </c>
      <c r="J1273" s="28">
        <f>2020-Table_7[[#This Row],[Year]]</f>
        <v>6</v>
      </c>
      <c r="K1273">
        <v>1896755301518.1399</v>
      </c>
      <c r="L1273">
        <v>31911.0357890017</v>
      </c>
      <c r="M1273">
        <v>-0.13770757391656999</v>
      </c>
      <c r="N1273">
        <v>-9.0399534112288507</v>
      </c>
      <c r="O1273">
        <v>35.270000000000003</v>
      </c>
      <c r="P1273">
        <v>882.00199999999995</v>
      </c>
      <c r="Q1273">
        <v>55</v>
      </c>
      <c r="R1273">
        <v>12.99</v>
      </c>
    </row>
    <row r="1274" spans="1:18" x14ac:dyDescent="0.25">
      <c r="A1274" s="1" t="s">
        <v>14</v>
      </c>
      <c r="B1274" s="2" t="s">
        <v>23</v>
      </c>
      <c r="C1274" s="19">
        <v>40</v>
      </c>
      <c r="D1274" s="3" t="s">
        <v>496</v>
      </c>
      <c r="E1274" s="3" t="s">
        <v>24</v>
      </c>
      <c r="F1274" s="23">
        <v>160340</v>
      </c>
      <c r="G1274" s="15">
        <v>2014</v>
      </c>
      <c r="H1274" s="15">
        <f>Table_7[[#This Row],[Listing Price (USD)]]/10000</f>
        <v>16.033999999999999</v>
      </c>
      <c r="I1274" s="28">
        <f>Table_7[[#This Row],[Length 
(ft)]]</f>
        <v>40</v>
      </c>
      <c r="J1274" s="28">
        <f>2020-Table_7[[#This Row],[Year]]</f>
        <v>6</v>
      </c>
      <c r="K1274">
        <v>1896755301518.1399</v>
      </c>
      <c r="L1274">
        <v>31911.0357890017</v>
      </c>
      <c r="M1274">
        <v>-0.13770757391656999</v>
      </c>
      <c r="N1274">
        <v>-9.0399534112288507</v>
      </c>
      <c r="O1274">
        <v>35.270000000000003</v>
      </c>
      <c r="P1274">
        <v>882.00199999999995</v>
      </c>
      <c r="Q1274">
        <v>55</v>
      </c>
      <c r="R1274">
        <v>12.99</v>
      </c>
    </row>
    <row r="1275" spans="1:18" x14ac:dyDescent="0.25">
      <c r="A1275" s="1" t="s">
        <v>14</v>
      </c>
      <c r="B1275" s="2" t="s">
        <v>23</v>
      </c>
      <c r="C1275" s="19">
        <v>40</v>
      </c>
      <c r="D1275" s="3" t="s">
        <v>496</v>
      </c>
      <c r="E1275" s="3" t="s">
        <v>31</v>
      </c>
      <c r="F1275" s="23">
        <v>163984</v>
      </c>
      <c r="G1275" s="15">
        <v>2017</v>
      </c>
      <c r="H1275" s="15">
        <f>Table_7[[#This Row],[Listing Price (USD)]]/10000</f>
        <v>16.398399999999999</v>
      </c>
      <c r="I1275" s="28">
        <f>Table_7[[#This Row],[Length 
(ft)]]</f>
        <v>40</v>
      </c>
      <c r="J1275" s="28">
        <f>2020-Table_7[[#This Row],[Year]]</f>
        <v>3</v>
      </c>
      <c r="K1275">
        <v>57472012426.685303</v>
      </c>
      <c r="L1275">
        <v>14198.753959474399</v>
      </c>
      <c r="M1275">
        <v>0.15481137456202801</v>
      </c>
      <c r="N1275">
        <v>-8.5803430210621805</v>
      </c>
      <c r="O1275">
        <v>35.270000000000003</v>
      </c>
      <c r="P1275">
        <v>882.00199999999995</v>
      </c>
      <c r="Q1275">
        <v>55</v>
      </c>
      <c r="R1275">
        <v>12.99</v>
      </c>
    </row>
    <row r="1276" spans="1:18" x14ac:dyDescent="0.25">
      <c r="A1276" s="1" t="s">
        <v>14</v>
      </c>
      <c r="B1276" s="2" t="s">
        <v>23</v>
      </c>
      <c r="C1276" s="19">
        <v>40</v>
      </c>
      <c r="D1276" s="3" t="s">
        <v>496</v>
      </c>
      <c r="E1276" s="3" t="s">
        <v>31</v>
      </c>
      <c r="F1276" s="23">
        <v>164026</v>
      </c>
      <c r="G1276" s="15">
        <v>2017</v>
      </c>
      <c r="H1276" s="15">
        <f>Table_7[[#This Row],[Listing Price (USD)]]/10000</f>
        <v>16.4026</v>
      </c>
      <c r="I1276" s="28">
        <f>Table_7[[#This Row],[Length 
(ft)]]</f>
        <v>40</v>
      </c>
      <c r="J1276" s="28">
        <f>2020-Table_7[[#This Row],[Year]]</f>
        <v>3</v>
      </c>
      <c r="K1276">
        <v>57472012426.685303</v>
      </c>
      <c r="L1276">
        <v>14198.753959474399</v>
      </c>
      <c r="M1276">
        <v>0.15481137456202801</v>
      </c>
      <c r="N1276">
        <v>-8.5803430210621805</v>
      </c>
      <c r="O1276">
        <v>35.270000000000003</v>
      </c>
      <c r="P1276">
        <v>882.00199999999995</v>
      </c>
      <c r="Q1276">
        <v>55</v>
      </c>
      <c r="R1276">
        <v>12.99</v>
      </c>
    </row>
    <row r="1277" spans="1:18" x14ac:dyDescent="0.25">
      <c r="A1277" s="1" t="s">
        <v>14</v>
      </c>
      <c r="B1277" s="2" t="s">
        <v>23</v>
      </c>
      <c r="C1277" s="19">
        <v>40</v>
      </c>
      <c r="D1277" s="3" t="s">
        <v>496</v>
      </c>
      <c r="E1277" s="3" t="s">
        <v>31</v>
      </c>
      <c r="F1277" s="23">
        <v>180382</v>
      </c>
      <c r="G1277" s="15">
        <v>2014</v>
      </c>
      <c r="H1277" s="15">
        <f>Table_7[[#This Row],[Listing Price (USD)]]/10000</f>
        <v>18.0382</v>
      </c>
      <c r="I1277" s="28">
        <f>Table_7[[#This Row],[Length 
(ft)]]</f>
        <v>40</v>
      </c>
      <c r="J1277" s="28">
        <f>2020-Table_7[[#This Row],[Year]]</f>
        <v>6</v>
      </c>
      <c r="K1277">
        <v>57472012426.685303</v>
      </c>
      <c r="L1277">
        <v>14198.753959474399</v>
      </c>
      <c r="M1277">
        <v>0.15481137456202801</v>
      </c>
      <c r="N1277">
        <v>-8.5803430210621805</v>
      </c>
      <c r="O1277">
        <v>35.270000000000003</v>
      </c>
      <c r="P1277">
        <v>882.00199999999995</v>
      </c>
      <c r="Q1277">
        <v>55</v>
      </c>
      <c r="R1277">
        <v>12.99</v>
      </c>
    </row>
    <row r="1278" spans="1:18" x14ac:dyDescent="0.25">
      <c r="A1278" s="1" t="s">
        <v>14</v>
      </c>
      <c r="B1278" s="2" t="s">
        <v>23</v>
      </c>
      <c r="C1278" s="19">
        <v>40</v>
      </c>
      <c r="D1278" s="3" t="s">
        <v>496</v>
      </c>
      <c r="E1278" s="3" t="s">
        <v>22</v>
      </c>
      <c r="F1278" s="23">
        <v>180990</v>
      </c>
      <c r="G1278" s="15">
        <v>2016</v>
      </c>
      <c r="H1278" s="15">
        <f>Table_7[[#This Row],[Listing Price (USD)]]/10000</f>
        <v>18.099</v>
      </c>
      <c r="I1278" s="28">
        <f>Table_7[[#This Row],[Length 
(ft)]]</f>
        <v>40</v>
      </c>
      <c r="J1278" s="28">
        <f>2020-Table_7[[#This Row],[Year]]</f>
        <v>4</v>
      </c>
      <c r="K1278">
        <v>3889668895299.6201</v>
      </c>
      <c r="L1278">
        <v>46772.825350754501</v>
      </c>
      <c r="M1278">
        <v>0.50668988995327402</v>
      </c>
      <c r="N1278">
        <v>-3.6967887053804298</v>
      </c>
      <c r="O1278">
        <v>35.270000000000003</v>
      </c>
      <c r="P1278">
        <v>882.00199999999995</v>
      </c>
      <c r="Q1278">
        <v>55</v>
      </c>
      <c r="R1278">
        <v>12.99</v>
      </c>
    </row>
    <row r="1279" spans="1:18" x14ac:dyDescent="0.25">
      <c r="A1279" s="1" t="s">
        <v>14</v>
      </c>
      <c r="B1279" s="2" t="s">
        <v>23</v>
      </c>
      <c r="C1279" s="19">
        <v>40</v>
      </c>
      <c r="D1279" s="3" t="s">
        <v>496</v>
      </c>
      <c r="E1279" s="3" t="s">
        <v>24</v>
      </c>
      <c r="F1279" s="23">
        <v>180990</v>
      </c>
      <c r="G1279" s="15">
        <v>2014</v>
      </c>
      <c r="H1279" s="15">
        <f>Table_7[[#This Row],[Listing Price (USD)]]/10000</f>
        <v>18.099</v>
      </c>
      <c r="I1279" s="28">
        <f>Table_7[[#This Row],[Length 
(ft)]]</f>
        <v>40</v>
      </c>
      <c r="J1279" s="28">
        <f>2020-Table_7[[#This Row],[Year]]</f>
        <v>6</v>
      </c>
      <c r="K1279">
        <v>1896755301518.1399</v>
      </c>
      <c r="L1279">
        <v>31911.0357890017</v>
      </c>
      <c r="M1279">
        <v>-0.13770757391656999</v>
      </c>
      <c r="N1279">
        <v>-9.0399534112288507</v>
      </c>
      <c r="O1279">
        <v>35.270000000000003</v>
      </c>
      <c r="P1279">
        <v>882.00199999999995</v>
      </c>
      <c r="Q1279">
        <v>55</v>
      </c>
      <c r="R1279">
        <v>12.99</v>
      </c>
    </row>
    <row r="1280" spans="1:18" x14ac:dyDescent="0.25">
      <c r="A1280" s="1" t="s">
        <v>14</v>
      </c>
      <c r="B1280" s="2" t="s">
        <v>23</v>
      </c>
      <c r="C1280" s="19">
        <v>40</v>
      </c>
      <c r="D1280" s="3" t="s">
        <v>496</v>
      </c>
      <c r="E1280" s="3" t="s">
        <v>22</v>
      </c>
      <c r="F1280" s="23">
        <v>185849</v>
      </c>
      <c r="G1280" s="15">
        <v>2017</v>
      </c>
      <c r="H1280" s="15">
        <f>Table_7[[#This Row],[Listing Price (USD)]]/10000</f>
        <v>18.584900000000001</v>
      </c>
      <c r="I1280" s="28">
        <f>Table_7[[#This Row],[Length 
(ft)]]</f>
        <v>40</v>
      </c>
      <c r="J1280" s="28">
        <f>2020-Table_7[[#This Row],[Year]]</f>
        <v>3</v>
      </c>
      <c r="K1280">
        <v>3889668895299.6201</v>
      </c>
      <c r="L1280">
        <v>46772.825350754501</v>
      </c>
      <c r="M1280">
        <v>0.50668988995327402</v>
      </c>
      <c r="N1280">
        <v>-3.6967887053804298</v>
      </c>
      <c r="O1280">
        <v>35.270000000000003</v>
      </c>
      <c r="P1280">
        <v>882.00199999999995</v>
      </c>
      <c r="Q1280">
        <v>55</v>
      </c>
      <c r="R1280">
        <v>12.99</v>
      </c>
    </row>
    <row r="1281" spans="1:18" x14ac:dyDescent="0.25">
      <c r="A1281" s="1" t="s">
        <v>14</v>
      </c>
      <c r="B1281" s="2" t="s">
        <v>23</v>
      </c>
      <c r="C1281" s="19">
        <v>40</v>
      </c>
      <c r="D1281" s="3" t="s">
        <v>496</v>
      </c>
      <c r="E1281" s="3" t="s">
        <v>22</v>
      </c>
      <c r="F1281" s="23">
        <v>200425</v>
      </c>
      <c r="G1281" s="15">
        <v>2018</v>
      </c>
      <c r="H1281" s="15">
        <f>Table_7[[#This Row],[Listing Price (USD)]]/10000</f>
        <v>20.0425</v>
      </c>
      <c r="I1281" s="28">
        <f>Table_7[[#This Row],[Length 
(ft)]]</f>
        <v>40</v>
      </c>
      <c r="J1281" s="28">
        <f>2020-Table_7[[#This Row],[Year]]</f>
        <v>2</v>
      </c>
      <c r="K1281">
        <v>3889668895299.6201</v>
      </c>
      <c r="L1281">
        <v>46772.825350754501</v>
      </c>
      <c r="M1281">
        <v>0.50668988995327402</v>
      </c>
      <c r="N1281">
        <v>-3.6967887053804298</v>
      </c>
      <c r="O1281">
        <v>35.270000000000003</v>
      </c>
      <c r="P1281">
        <v>882.00199999999995</v>
      </c>
      <c r="Q1281">
        <v>55</v>
      </c>
      <c r="R1281">
        <v>12.99</v>
      </c>
    </row>
    <row r="1282" spans="1:18" x14ac:dyDescent="0.25">
      <c r="A1282" s="1" t="s">
        <v>14</v>
      </c>
      <c r="B1282" s="2" t="s">
        <v>23</v>
      </c>
      <c r="C1282" s="19">
        <v>40</v>
      </c>
      <c r="D1282" s="3" t="s">
        <v>496</v>
      </c>
      <c r="E1282" s="3" t="s">
        <v>22</v>
      </c>
      <c r="F1282" s="23">
        <v>205256</v>
      </c>
      <c r="G1282" s="15">
        <v>2018</v>
      </c>
      <c r="H1282" s="15">
        <f>Table_7[[#This Row],[Listing Price (USD)]]/10000</f>
        <v>20.525600000000001</v>
      </c>
      <c r="I1282" s="28">
        <f>Table_7[[#This Row],[Length 
(ft)]]</f>
        <v>40</v>
      </c>
      <c r="J1282" s="28">
        <f>2020-Table_7[[#This Row],[Year]]</f>
        <v>2</v>
      </c>
      <c r="K1282">
        <v>3889668895299.6201</v>
      </c>
      <c r="L1282">
        <v>46772.825350754501</v>
      </c>
      <c r="M1282">
        <v>0.50668988995327402</v>
      </c>
      <c r="N1282">
        <v>-3.6967887053804298</v>
      </c>
      <c r="O1282">
        <v>35.270000000000003</v>
      </c>
      <c r="P1282">
        <v>882.00199999999995</v>
      </c>
      <c r="Q1282">
        <v>55</v>
      </c>
      <c r="R1282">
        <v>12.99</v>
      </c>
    </row>
    <row r="1283" spans="1:18" x14ac:dyDescent="0.25">
      <c r="A1283" s="1" t="s">
        <v>14</v>
      </c>
      <c r="B1283" s="2" t="s">
        <v>23</v>
      </c>
      <c r="C1283" s="19">
        <v>40</v>
      </c>
      <c r="D1283" s="3" t="s">
        <v>496</v>
      </c>
      <c r="E1283" s="3" t="s">
        <v>9</v>
      </c>
      <c r="F1283" s="23">
        <v>205256</v>
      </c>
      <c r="G1283" s="15">
        <v>2016</v>
      </c>
      <c r="H1283" s="15">
        <f>Table_7[[#This Row],[Listing Price (USD)]]/10000</f>
        <v>20.525600000000001</v>
      </c>
      <c r="I1283" s="28">
        <f>Table_7[[#This Row],[Length 
(ft)]]</f>
        <v>40</v>
      </c>
      <c r="J1283" s="28">
        <f>2020-Table_7[[#This Row],[Year]]</f>
        <v>4</v>
      </c>
      <c r="K1283">
        <v>1276962685648.25</v>
      </c>
      <c r="L1283">
        <v>26959.675436732599</v>
      </c>
      <c r="M1283">
        <v>-0.32275301729970501</v>
      </c>
      <c r="N1283">
        <v>-11.3254383222864</v>
      </c>
      <c r="O1283">
        <v>35.270000000000003</v>
      </c>
      <c r="P1283">
        <v>882.00199999999995</v>
      </c>
      <c r="Q1283">
        <v>55</v>
      </c>
      <c r="R1283">
        <v>12.99</v>
      </c>
    </row>
    <row r="1284" spans="1:18" x14ac:dyDescent="0.25">
      <c r="A1284" s="1" t="s">
        <v>14</v>
      </c>
      <c r="B1284" s="2" t="s">
        <v>23</v>
      </c>
      <c r="C1284" s="19">
        <v>40</v>
      </c>
      <c r="D1284" s="3" t="s">
        <v>496</v>
      </c>
      <c r="E1284" s="3" t="s">
        <v>22</v>
      </c>
      <c r="F1284" s="23">
        <v>205284</v>
      </c>
      <c r="G1284" s="15">
        <v>2019</v>
      </c>
      <c r="H1284" s="15">
        <f>Table_7[[#This Row],[Listing Price (USD)]]/10000</f>
        <v>20.528400000000001</v>
      </c>
      <c r="I1284" s="28">
        <f>Table_7[[#This Row],[Length 
(ft)]]</f>
        <v>40</v>
      </c>
      <c r="J1284" s="28">
        <f>2020-Table_7[[#This Row],[Year]]</f>
        <v>1</v>
      </c>
      <c r="K1284">
        <v>3889668895299.6201</v>
      </c>
      <c r="L1284">
        <v>46772.825350754501</v>
      </c>
      <c r="M1284">
        <v>0.50668988995327402</v>
      </c>
      <c r="N1284">
        <v>-3.6967887053804298</v>
      </c>
      <c r="O1284">
        <v>35.270000000000003</v>
      </c>
      <c r="P1284">
        <v>882.00199999999995</v>
      </c>
      <c r="Q1284">
        <v>55</v>
      </c>
      <c r="R1284">
        <v>12.99</v>
      </c>
    </row>
    <row r="1285" spans="1:18" x14ac:dyDescent="0.25">
      <c r="A1285" s="1" t="s">
        <v>14</v>
      </c>
      <c r="B1285" s="2" t="s">
        <v>23</v>
      </c>
      <c r="C1285" s="19">
        <v>40</v>
      </c>
      <c r="D1285" s="3" t="s">
        <v>496</v>
      </c>
      <c r="E1285" s="3" t="s">
        <v>31</v>
      </c>
      <c r="F1285" s="23">
        <v>217127</v>
      </c>
      <c r="G1285" s="15">
        <v>2017</v>
      </c>
      <c r="H1285" s="15">
        <f>Table_7[[#This Row],[Listing Price (USD)]]/10000</f>
        <v>21.712700000000002</v>
      </c>
      <c r="I1285" s="28">
        <f>Table_7[[#This Row],[Length 
(ft)]]</f>
        <v>40</v>
      </c>
      <c r="J1285" s="28">
        <f>2020-Table_7[[#This Row],[Year]]</f>
        <v>3</v>
      </c>
      <c r="K1285">
        <v>57472012426.685303</v>
      </c>
      <c r="L1285">
        <v>14198.753959474399</v>
      </c>
      <c r="M1285">
        <v>0.15481137456202801</v>
      </c>
      <c r="N1285">
        <v>-8.5803430210621805</v>
      </c>
      <c r="O1285">
        <v>35.270000000000003</v>
      </c>
      <c r="P1285">
        <v>882.00199999999995</v>
      </c>
      <c r="Q1285">
        <v>55</v>
      </c>
      <c r="R1285">
        <v>12.99</v>
      </c>
    </row>
    <row r="1286" spans="1:18" x14ac:dyDescent="0.25">
      <c r="A1286" s="1" t="s">
        <v>14</v>
      </c>
      <c r="B1286" s="2" t="s">
        <v>23</v>
      </c>
      <c r="C1286" s="19">
        <v>40</v>
      </c>
      <c r="D1286" s="3" t="s">
        <v>496</v>
      </c>
      <c r="E1286" s="3" t="s">
        <v>31</v>
      </c>
      <c r="F1286" s="23">
        <v>225722</v>
      </c>
      <c r="G1286" s="15">
        <v>2017</v>
      </c>
      <c r="H1286" s="15">
        <f>Table_7[[#This Row],[Listing Price (USD)]]/10000</f>
        <v>22.572199999999999</v>
      </c>
      <c r="I1286" s="28">
        <f>Table_7[[#This Row],[Length 
(ft)]]</f>
        <v>40</v>
      </c>
      <c r="J1286" s="28">
        <f>2020-Table_7[[#This Row],[Year]]</f>
        <v>3</v>
      </c>
      <c r="K1286">
        <v>57472012426.685303</v>
      </c>
      <c r="L1286">
        <v>14198.753959474399</v>
      </c>
      <c r="M1286">
        <v>0.15481137456202801</v>
      </c>
      <c r="N1286">
        <v>-8.5803430210621805</v>
      </c>
      <c r="O1286">
        <v>35.270000000000003</v>
      </c>
      <c r="P1286">
        <v>882.00199999999995</v>
      </c>
      <c r="Q1286">
        <v>55</v>
      </c>
      <c r="R1286">
        <v>12.99</v>
      </c>
    </row>
    <row r="1287" spans="1:18" x14ac:dyDescent="0.25">
      <c r="A1287" s="1" t="s">
        <v>14</v>
      </c>
      <c r="B1287" s="3" t="s">
        <v>23</v>
      </c>
      <c r="C1287" s="19">
        <v>40</v>
      </c>
      <c r="D1287" s="3" t="s">
        <v>497</v>
      </c>
      <c r="E1287" s="3" t="s">
        <v>370</v>
      </c>
      <c r="F1287" s="23">
        <v>229000</v>
      </c>
      <c r="G1287" s="15">
        <v>2018</v>
      </c>
      <c r="H1287" s="15">
        <f>Table_7[[#This Row],[Listing Price (USD)]]/10000</f>
        <v>22.9</v>
      </c>
      <c r="I1287" s="28">
        <f>Table_7[[#This Row],[Length 
(ft)]]</f>
        <v>40</v>
      </c>
      <c r="J1287" s="28">
        <f>2020-Table_7[[#This Row],[Year]]</f>
        <v>2</v>
      </c>
      <c r="K1287">
        <v>500000000</v>
      </c>
      <c r="L1287">
        <v>34200</v>
      </c>
      <c r="M1287">
        <v>1.1000000000000001</v>
      </c>
      <c r="N1287">
        <v>2</v>
      </c>
      <c r="O1287">
        <v>35.270000000000003</v>
      </c>
      <c r="P1287">
        <v>882.00199999999995</v>
      </c>
      <c r="Q1287">
        <v>55</v>
      </c>
      <c r="R1287">
        <v>12.99</v>
      </c>
    </row>
    <row r="1288" spans="1:18" x14ac:dyDescent="0.25">
      <c r="A1288" s="1" t="s">
        <v>14</v>
      </c>
      <c r="B1288" s="2" t="s">
        <v>23</v>
      </c>
      <c r="C1288" s="19">
        <v>40</v>
      </c>
      <c r="D1288" s="3" t="s">
        <v>496</v>
      </c>
      <c r="E1288" s="3" t="s">
        <v>31</v>
      </c>
      <c r="F1288" s="23">
        <v>233797</v>
      </c>
      <c r="G1288" s="15">
        <v>2014</v>
      </c>
      <c r="H1288" s="15">
        <f>Table_7[[#This Row],[Listing Price (USD)]]/10000</f>
        <v>23.3797</v>
      </c>
      <c r="I1288" s="28">
        <f>Table_7[[#This Row],[Length 
(ft)]]</f>
        <v>40</v>
      </c>
      <c r="J1288" s="28">
        <f>2020-Table_7[[#This Row],[Year]]</f>
        <v>6</v>
      </c>
      <c r="K1288">
        <v>57472012426.685303</v>
      </c>
      <c r="L1288">
        <v>14198.753959474399</v>
      </c>
      <c r="M1288">
        <v>0.15481137456202801</v>
      </c>
      <c r="N1288">
        <v>-8.5803430210621805</v>
      </c>
      <c r="O1288">
        <v>35.270000000000003</v>
      </c>
      <c r="P1288">
        <v>882.00199999999995</v>
      </c>
      <c r="Q1288">
        <v>55</v>
      </c>
      <c r="R1288">
        <v>12.99</v>
      </c>
    </row>
    <row r="1289" spans="1:18" x14ac:dyDescent="0.25">
      <c r="A1289" s="1" t="s">
        <v>14</v>
      </c>
      <c r="B1289" s="3" t="s">
        <v>23</v>
      </c>
      <c r="C1289" s="19">
        <v>40</v>
      </c>
      <c r="D1289" s="3" t="s">
        <v>497</v>
      </c>
      <c r="E1289" s="3" t="s">
        <v>370</v>
      </c>
      <c r="F1289" s="23">
        <v>255000</v>
      </c>
      <c r="G1289" s="15">
        <v>2018</v>
      </c>
      <c r="H1289" s="15">
        <f>Table_7[[#This Row],[Listing Price (USD)]]/10000</f>
        <v>25.5</v>
      </c>
      <c r="I1289" s="28">
        <f>Table_7[[#This Row],[Length 
(ft)]]</f>
        <v>40</v>
      </c>
      <c r="J1289" s="28">
        <f>2020-Table_7[[#This Row],[Year]]</f>
        <v>2</v>
      </c>
      <c r="K1289">
        <v>500000000</v>
      </c>
      <c r="L1289">
        <v>34200</v>
      </c>
      <c r="M1289">
        <v>1.1000000000000001</v>
      </c>
      <c r="N1289">
        <v>2</v>
      </c>
      <c r="O1289">
        <v>35.270000000000003</v>
      </c>
      <c r="P1289">
        <v>882.00199999999995</v>
      </c>
      <c r="Q1289">
        <v>55</v>
      </c>
      <c r="R1289">
        <v>12.99</v>
      </c>
    </row>
    <row r="1290" spans="1:18" x14ac:dyDescent="0.25">
      <c r="A1290" s="1" t="s">
        <v>14</v>
      </c>
      <c r="B1290" s="2" t="s">
        <v>26</v>
      </c>
      <c r="C1290" s="19">
        <v>42</v>
      </c>
      <c r="D1290" s="3" t="s">
        <v>496</v>
      </c>
      <c r="E1290" s="3" t="s">
        <v>31</v>
      </c>
      <c r="F1290" s="23">
        <v>78955</v>
      </c>
      <c r="G1290" s="15">
        <v>2008</v>
      </c>
      <c r="H1290" s="15">
        <f>Table_7[[#This Row],[Listing Price (USD)]]/10000</f>
        <v>7.8955000000000002</v>
      </c>
      <c r="I1290" s="28">
        <f>Table_7[[#This Row],[Length 
(ft)]]</f>
        <v>42</v>
      </c>
      <c r="J1290" s="28">
        <f>2020-Table_7[[#This Row],[Year]]</f>
        <v>12</v>
      </c>
      <c r="K1290">
        <v>57472012426.685303</v>
      </c>
      <c r="L1290">
        <v>14198.753959474399</v>
      </c>
      <c r="M1290">
        <v>0.15481137456202801</v>
      </c>
      <c r="N1290">
        <v>-8.5803430210621805</v>
      </c>
      <c r="O1290">
        <v>37.4</v>
      </c>
      <c r="P1290">
        <v>920.00199999999995</v>
      </c>
      <c r="Q1290">
        <v>55</v>
      </c>
      <c r="R1290">
        <v>13.09</v>
      </c>
    </row>
    <row r="1291" spans="1:18" x14ac:dyDescent="0.25">
      <c r="A1291" s="1" t="s">
        <v>14</v>
      </c>
      <c r="B1291" s="2" t="s">
        <v>26</v>
      </c>
      <c r="C1291" s="19">
        <v>42</v>
      </c>
      <c r="D1291" s="3" t="s">
        <v>496</v>
      </c>
      <c r="E1291" s="3" t="s">
        <v>24</v>
      </c>
      <c r="F1291" s="23">
        <v>91102</v>
      </c>
      <c r="G1291" s="15">
        <v>2005</v>
      </c>
      <c r="H1291" s="15">
        <f>Table_7[[#This Row],[Listing Price (USD)]]/10000</f>
        <v>9.1102000000000007</v>
      </c>
      <c r="I1291" s="28">
        <f>Table_7[[#This Row],[Length 
(ft)]]</f>
        <v>42</v>
      </c>
      <c r="J1291" s="28">
        <f>2020-Table_7[[#This Row],[Year]]</f>
        <v>15</v>
      </c>
      <c r="K1291">
        <v>1896755301518.1399</v>
      </c>
      <c r="L1291">
        <v>31911.0357890017</v>
      </c>
      <c r="M1291">
        <v>-0.13770757391656999</v>
      </c>
      <c r="N1291">
        <v>-9.0399534112288507</v>
      </c>
      <c r="O1291">
        <v>37.4</v>
      </c>
      <c r="P1291">
        <v>920.00199999999995</v>
      </c>
      <c r="Q1291">
        <v>55</v>
      </c>
      <c r="R1291">
        <v>13.09</v>
      </c>
    </row>
    <row r="1292" spans="1:18" x14ac:dyDescent="0.25">
      <c r="A1292" s="1" t="s">
        <v>14</v>
      </c>
      <c r="B1292" s="2" t="s">
        <v>26</v>
      </c>
      <c r="C1292" s="19">
        <v>42</v>
      </c>
      <c r="D1292" s="3" t="s">
        <v>496</v>
      </c>
      <c r="E1292" s="3" t="s">
        <v>24</v>
      </c>
      <c r="F1292" s="23">
        <v>94746</v>
      </c>
      <c r="G1292" s="15">
        <v>2005</v>
      </c>
      <c r="H1292" s="15">
        <f>Table_7[[#This Row],[Listing Price (USD)]]/10000</f>
        <v>9.4746000000000006</v>
      </c>
      <c r="I1292" s="28">
        <f>Table_7[[#This Row],[Length 
(ft)]]</f>
        <v>42</v>
      </c>
      <c r="J1292" s="28">
        <f>2020-Table_7[[#This Row],[Year]]</f>
        <v>15</v>
      </c>
      <c r="K1292">
        <v>1896755301518.1399</v>
      </c>
      <c r="L1292">
        <v>31911.0357890017</v>
      </c>
      <c r="M1292">
        <v>-0.13770757391656999</v>
      </c>
      <c r="N1292">
        <v>-9.0399534112288507</v>
      </c>
      <c r="O1292">
        <v>37.4</v>
      </c>
      <c r="P1292">
        <v>920.00199999999995</v>
      </c>
      <c r="Q1292">
        <v>55</v>
      </c>
      <c r="R1292">
        <v>13.09</v>
      </c>
    </row>
    <row r="1293" spans="1:18" x14ac:dyDescent="0.25">
      <c r="A1293" s="1" t="s">
        <v>14</v>
      </c>
      <c r="B1293" s="2" t="s">
        <v>26</v>
      </c>
      <c r="C1293" s="19">
        <v>42</v>
      </c>
      <c r="D1293" s="3" t="s">
        <v>496</v>
      </c>
      <c r="E1293" s="3" t="s">
        <v>24</v>
      </c>
      <c r="F1293" s="23">
        <v>95961</v>
      </c>
      <c r="G1293" s="15">
        <v>2005</v>
      </c>
      <c r="H1293" s="15">
        <f>Table_7[[#This Row],[Listing Price (USD)]]/10000</f>
        <v>9.5960999999999999</v>
      </c>
      <c r="I1293" s="28">
        <f>Table_7[[#This Row],[Length 
(ft)]]</f>
        <v>42</v>
      </c>
      <c r="J1293" s="28">
        <f>2020-Table_7[[#This Row],[Year]]</f>
        <v>15</v>
      </c>
      <c r="K1293">
        <v>1896755301518.1399</v>
      </c>
      <c r="L1293">
        <v>31911.0357890017</v>
      </c>
      <c r="M1293">
        <v>-0.13770757391656999</v>
      </c>
      <c r="N1293">
        <v>-9.0399534112288507</v>
      </c>
      <c r="O1293">
        <v>37.4</v>
      </c>
      <c r="P1293">
        <v>920.00199999999995</v>
      </c>
      <c r="Q1293">
        <v>55</v>
      </c>
      <c r="R1293">
        <v>13.09</v>
      </c>
    </row>
    <row r="1294" spans="1:18" x14ac:dyDescent="0.25">
      <c r="A1294" s="1" t="s">
        <v>14</v>
      </c>
      <c r="B1294" s="2" t="s">
        <v>26</v>
      </c>
      <c r="C1294" s="19">
        <v>42</v>
      </c>
      <c r="D1294" s="3" t="s">
        <v>496</v>
      </c>
      <c r="E1294" s="3" t="s">
        <v>24</v>
      </c>
      <c r="F1294" s="23">
        <v>102034</v>
      </c>
      <c r="G1294" s="15">
        <v>2006</v>
      </c>
      <c r="H1294" s="15">
        <f>Table_7[[#This Row],[Listing Price (USD)]]/10000</f>
        <v>10.2034</v>
      </c>
      <c r="I1294" s="28">
        <f>Table_7[[#This Row],[Length 
(ft)]]</f>
        <v>42</v>
      </c>
      <c r="J1294" s="28">
        <f>2020-Table_7[[#This Row],[Year]]</f>
        <v>14</v>
      </c>
      <c r="K1294">
        <v>1896755301518.1399</v>
      </c>
      <c r="L1294">
        <v>31911.0357890017</v>
      </c>
      <c r="M1294">
        <v>-0.13770757391656999</v>
      </c>
      <c r="N1294">
        <v>-9.0399534112288507</v>
      </c>
      <c r="O1294">
        <v>37.4</v>
      </c>
      <c r="P1294">
        <v>920.00199999999995</v>
      </c>
      <c r="Q1294">
        <v>55</v>
      </c>
      <c r="R1294">
        <v>13.09</v>
      </c>
    </row>
    <row r="1295" spans="1:18" x14ac:dyDescent="0.25">
      <c r="A1295" s="1" t="s">
        <v>14</v>
      </c>
      <c r="B1295" s="3" t="s">
        <v>26</v>
      </c>
      <c r="C1295" s="19">
        <v>42</v>
      </c>
      <c r="D1295" s="3" t="s">
        <v>495</v>
      </c>
      <c r="E1295" s="3" t="s">
        <v>500</v>
      </c>
      <c r="F1295" s="23">
        <v>109000</v>
      </c>
      <c r="G1295" s="15">
        <v>2006</v>
      </c>
      <c r="H1295" s="15">
        <f>Table_7[[#This Row],[Listing Price (USD)]]/10000</f>
        <v>10.9</v>
      </c>
      <c r="I1295" s="28">
        <f>Table_7[[#This Row],[Length 
(ft)]]</f>
        <v>42</v>
      </c>
      <c r="J1295" s="28">
        <f>2020-Table_7[[#This Row],[Year]]</f>
        <v>14</v>
      </c>
      <c r="K1295">
        <v>3007188000000</v>
      </c>
      <c r="L1295">
        <v>76131.839999999997</v>
      </c>
      <c r="M1295">
        <v>1.23</v>
      </c>
      <c r="N1295">
        <v>2.7</v>
      </c>
      <c r="O1295">
        <v>37.4</v>
      </c>
      <c r="P1295">
        <v>920.00199999999995</v>
      </c>
      <c r="Q1295">
        <v>55</v>
      </c>
      <c r="R1295">
        <v>13.09</v>
      </c>
    </row>
    <row r="1296" spans="1:18" x14ac:dyDescent="0.25">
      <c r="A1296" s="1" t="s">
        <v>14</v>
      </c>
      <c r="B1296" s="2" t="s">
        <v>26</v>
      </c>
      <c r="C1296" s="19">
        <v>42</v>
      </c>
      <c r="D1296" s="3" t="s">
        <v>496</v>
      </c>
      <c r="E1296" s="3" t="s">
        <v>31</v>
      </c>
      <c r="F1296" s="23">
        <v>112906</v>
      </c>
      <c r="G1296" s="15">
        <v>2005</v>
      </c>
      <c r="H1296" s="15">
        <f>Table_7[[#This Row],[Listing Price (USD)]]/10000</f>
        <v>11.2906</v>
      </c>
      <c r="I1296" s="28">
        <f>Table_7[[#This Row],[Length 
(ft)]]</f>
        <v>42</v>
      </c>
      <c r="J1296" s="28">
        <f>2020-Table_7[[#This Row],[Year]]</f>
        <v>15</v>
      </c>
      <c r="K1296">
        <v>57472012426.685303</v>
      </c>
      <c r="L1296">
        <v>14198.753959474399</v>
      </c>
      <c r="M1296">
        <v>0.15481137456202801</v>
      </c>
      <c r="N1296">
        <v>-8.5803430210621805</v>
      </c>
      <c r="O1296">
        <v>37.4</v>
      </c>
      <c r="P1296">
        <v>920.00199999999995</v>
      </c>
      <c r="Q1296">
        <v>55</v>
      </c>
      <c r="R1296">
        <v>13.09</v>
      </c>
    </row>
    <row r="1297" spans="1:18" x14ac:dyDescent="0.25">
      <c r="A1297" s="1" t="s">
        <v>14</v>
      </c>
      <c r="B1297" s="2" t="s">
        <v>26</v>
      </c>
      <c r="C1297" s="19">
        <v>42</v>
      </c>
      <c r="D1297" s="3" t="s">
        <v>496</v>
      </c>
      <c r="E1297" s="3" t="s">
        <v>63</v>
      </c>
      <c r="F1297" s="23">
        <v>120255</v>
      </c>
      <c r="G1297" s="15">
        <v>2008</v>
      </c>
      <c r="H1297" s="15">
        <f>Table_7[[#This Row],[Listing Price (USD)]]/10000</f>
        <v>12.025499999999999</v>
      </c>
      <c r="I1297" s="28">
        <f>Table_7[[#This Row],[Length 
(ft)]]</f>
        <v>42</v>
      </c>
      <c r="J1297" s="28">
        <f>2020-Table_7[[#This Row],[Year]]</f>
        <v>12</v>
      </c>
      <c r="K1297">
        <v>720290000002</v>
      </c>
      <c r="L1297">
        <v>13341.6</v>
      </c>
      <c r="M1297">
        <v>13</v>
      </c>
      <c r="N1297">
        <v>-3</v>
      </c>
      <c r="O1297">
        <v>37.4</v>
      </c>
      <c r="P1297">
        <v>920.00199999999995</v>
      </c>
      <c r="Q1297">
        <v>55</v>
      </c>
      <c r="R1297">
        <v>13.09</v>
      </c>
    </row>
    <row r="1298" spans="1:18" x14ac:dyDescent="0.25">
      <c r="A1298" s="1" t="s">
        <v>14</v>
      </c>
      <c r="B1298" s="2" t="s">
        <v>26</v>
      </c>
      <c r="C1298" s="19">
        <v>42</v>
      </c>
      <c r="D1298" s="3" t="s">
        <v>496</v>
      </c>
      <c r="E1298" s="3" t="s">
        <v>516</v>
      </c>
      <c r="F1298" s="23">
        <v>120862</v>
      </c>
      <c r="G1298" s="15">
        <v>2006</v>
      </c>
      <c r="H1298" s="15">
        <f>Table_7[[#This Row],[Listing Price (USD)]]/10000</f>
        <v>12.0862</v>
      </c>
      <c r="I1298" s="28">
        <f>Table_7[[#This Row],[Length 
(ft)]]</f>
        <v>42</v>
      </c>
      <c r="J1298" s="28">
        <f>2020-Table_7[[#This Row],[Year]]</f>
        <v>14</v>
      </c>
      <c r="K1298">
        <v>909793466661.48096</v>
      </c>
      <c r="L1298">
        <v>52162.570115040602</v>
      </c>
      <c r="M1298">
        <v>1.2724603778917001</v>
      </c>
      <c r="N1298">
        <v>-3.88608391819609</v>
      </c>
      <c r="O1298">
        <v>37.4</v>
      </c>
      <c r="P1298">
        <v>920.00199999999995</v>
      </c>
      <c r="Q1298">
        <v>55</v>
      </c>
      <c r="R1298">
        <v>13.09</v>
      </c>
    </row>
    <row r="1299" spans="1:18" x14ac:dyDescent="0.25">
      <c r="A1299" s="1" t="s">
        <v>14</v>
      </c>
      <c r="B1299" s="2" t="s">
        <v>26</v>
      </c>
      <c r="C1299" s="19">
        <v>42</v>
      </c>
      <c r="D1299" s="3" t="s">
        <v>496</v>
      </c>
      <c r="E1299" s="3" t="s">
        <v>237</v>
      </c>
      <c r="F1299" s="23">
        <v>145764</v>
      </c>
      <c r="G1299" s="15">
        <v>2006</v>
      </c>
      <c r="H1299" s="15">
        <f>Table_7[[#This Row],[Listing Price (USD)]]/10000</f>
        <v>14.5764</v>
      </c>
      <c r="I1299" s="28">
        <f>Table_7[[#This Row],[Length 
(ft)]]</f>
        <v>42</v>
      </c>
      <c r="J1299" s="28">
        <f>2020-Table_7[[#This Row],[Year]]</f>
        <v>14</v>
      </c>
      <c r="K1299">
        <v>229031860520.77701</v>
      </c>
      <c r="L1299">
        <v>22242.406417972001</v>
      </c>
      <c r="M1299">
        <v>-1.2438329957616699E-2</v>
      </c>
      <c r="N1299">
        <v>-8.3005160422115107</v>
      </c>
      <c r="O1299">
        <v>37.4</v>
      </c>
      <c r="P1299">
        <v>920.00199999999995</v>
      </c>
      <c r="Q1299">
        <v>55</v>
      </c>
      <c r="R1299">
        <v>13.09</v>
      </c>
    </row>
    <row r="1300" spans="1:18" x14ac:dyDescent="0.25">
      <c r="A1300" s="1" t="s">
        <v>14</v>
      </c>
      <c r="B1300" s="2" t="s">
        <v>28</v>
      </c>
      <c r="C1300" s="19">
        <v>42</v>
      </c>
      <c r="D1300" s="3" t="s">
        <v>496</v>
      </c>
      <c r="E1300" s="3" t="s">
        <v>18</v>
      </c>
      <c r="F1300" s="23">
        <v>218585</v>
      </c>
      <c r="G1300" s="15">
        <v>2014</v>
      </c>
      <c r="H1300" s="15">
        <f>Table_7[[#This Row],[Listing Price (USD)]]/10000</f>
        <v>21.858499999999999</v>
      </c>
      <c r="I1300" s="28">
        <f>Table_7[[#This Row],[Length 
(ft)]]</f>
        <v>42</v>
      </c>
      <c r="J1300" s="28">
        <f>2020-Table_7[[#This Row],[Year]]</f>
        <v>6</v>
      </c>
      <c r="K1300">
        <v>188925995936.80701</v>
      </c>
      <c r="L1300">
        <v>17658.947301119199</v>
      </c>
      <c r="M1300">
        <v>-1.2479835558140799</v>
      </c>
      <c r="N1300">
        <v>-9.0040436420214593</v>
      </c>
      <c r="O1300">
        <v>37.4</v>
      </c>
      <c r="P1300">
        <v>946.00199999999995</v>
      </c>
      <c r="Q1300">
        <v>55</v>
      </c>
      <c r="R1300">
        <v>13.29</v>
      </c>
    </row>
    <row r="1301" spans="1:18" x14ac:dyDescent="0.25">
      <c r="A1301" s="1" t="s">
        <v>14</v>
      </c>
      <c r="B1301" s="2" t="s">
        <v>29</v>
      </c>
      <c r="C1301" s="19">
        <v>45</v>
      </c>
      <c r="D1301" s="3" t="s">
        <v>496</v>
      </c>
      <c r="E1301" s="3" t="s">
        <v>419</v>
      </c>
      <c r="F1301" s="23">
        <v>139690</v>
      </c>
      <c r="G1301" s="15">
        <v>2007</v>
      </c>
      <c r="H1301" s="15">
        <f>Table_7[[#This Row],[Listing Price (USD)]]/10000</f>
        <v>13.968999999999999</v>
      </c>
      <c r="I1301" s="28">
        <f>Table_7[[#This Row],[Length 
(ft)]]</f>
        <v>45</v>
      </c>
      <c r="J1301" s="28">
        <f>2020-Table_7[[#This Row],[Year]]</f>
        <v>13</v>
      </c>
      <c r="K1301">
        <v>70240275010.196396</v>
      </c>
      <c r="L1301">
        <v>10129.8129597638</v>
      </c>
      <c r="M1301">
        <v>1.67244096855762</v>
      </c>
      <c r="N1301">
        <v>-3.95861459810695</v>
      </c>
      <c r="O1301">
        <v>37.89</v>
      </c>
      <c r="P1301">
        <v>1196.952</v>
      </c>
      <c r="Q1301">
        <v>55</v>
      </c>
      <c r="R1301">
        <v>14.4</v>
      </c>
    </row>
    <row r="1302" spans="1:18" x14ac:dyDescent="0.25">
      <c r="A1302" s="1" t="s">
        <v>14</v>
      </c>
      <c r="B1302" s="2" t="s">
        <v>29</v>
      </c>
      <c r="C1302" s="19">
        <v>45</v>
      </c>
      <c r="D1302" s="3" t="s">
        <v>496</v>
      </c>
      <c r="E1302" s="3" t="s">
        <v>24</v>
      </c>
      <c r="F1302" s="23">
        <v>156696</v>
      </c>
      <c r="G1302" s="15">
        <v>2007</v>
      </c>
      <c r="H1302" s="15">
        <f>Table_7[[#This Row],[Listing Price (USD)]]/10000</f>
        <v>15.669600000000001</v>
      </c>
      <c r="I1302" s="28">
        <f>Table_7[[#This Row],[Length 
(ft)]]</f>
        <v>45</v>
      </c>
      <c r="J1302" s="28">
        <f>2020-Table_7[[#This Row],[Year]]</f>
        <v>13</v>
      </c>
      <c r="K1302">
        <v>1896755301518.1399</v>
      </c>
      <c r="L1302">
        <v>31911.0357890017</v>
      </c>
      <c r="M1302">
        <v>-0.13770757391656999</v>
      </c>
      <c r="N1302">
        <v>-9.0399534112288507</v>
      </c>
      <c r="O1302">
        <v>37.89</v>
      </c>
      <c r="P1302">
        <v>1196.952</v>
      </c>
      <c r="Q1302">
        <v>55</v>
      </c>
      <c r="R1302">
        <v>14.4</v>
      </c>
    </row>
    <row r="1303" spans="1:18" x14ac:dyDescent="0.25">
      <c r="A1303" s="1" t="s">
        <v>14</v>
      </c>
      <c r="B1303" s="2" t="s">
        <v>29</v>
      </c>
      <c r="C1303" s="19">
        <v>45</v>
      </c>
      <c r="D1303" s="3" t="s">
        <v>496</v>
      </c>
      <c r="E1303" s="3" t="s">
        <v>516</v>
      </c>
      <c r="F1303" s="23">
        <v>176131</v>
      </c>
      <c r="G1303" s="15">
        <v>2007</v>
      </c>
      <c r="H1303" s="15">
        <f>Table_7[[#This Row],[Listing Price (USD)]]/10000</f>
        <v>17.613099999999999</v>
      </c>
      <c r="I1303" s="28">
        <f>Table_7[[#This Row],[Length 
(ft)]]</f>
        <v>45</v>
      </c>
      <c r="J1303" s="28">
        <f>2020-Table_7[[#This Row],[Year]]</f>
        <v>13</v>
      </c>
      <c r="K1303">
        <v>909793466661.48096</v>
      </c>
      <c r="L1303">
        <v>52162.570115040602</v>
      </c>
      <c r="M1303">
        <v>1.2724603778917001</v>
      </c>
      <c r="N1303">
        <v>-3.88608391819609</v>
      </c>
      <c r="O1303">
        <v>37.89</v>
      </c>
      <c r="P1303">
        <v>1196.952</v>
      </c>
      <c r="Q1303">
        <v>55</v>
      </c>
      <c r="R1303">
        <v>14.4</v>
      </c>
    </row>
    <row r="1304" spans="1:18" x14ac:dyDescent="0.25">
      <c r="A1304" s="1" t="s">
        <v>14</v>
      </c>
      <c r="B1304" s="2" t="s">
        <v>30</v>
      </c>
      <c r="C1304" s="19">
        <v>44</v>
      </c>
      <c r="D1304" s="3" t="s">
        <v>496</v>
      </c>
      <c r="E1304" s="3" t="s">
        <v>31</v>
      </c>
      <c r="F1304" s="23">
        <v>127576</v>
      </c>
      <c r="G1304" s="15">
        <v>2013</v>
      </c>
      <c r="H1304" s="15">
        <f>Table_7[[#This Row],[Listing Price (USD)]]/10000</f>
        <v>12.7576</v>
      </c>
      <c r="I1304" s="28">
        <f>Table_7[[#This Row],[Length 
(ft)]]</f>
        <v>44</v>
      </c>
      <c r="J1304" s="28">
        <f>2020-Table_7[[#This Row],[Year]]</f>
        <v>7</v>
      </c>
      <c r="K1304">
        <v>57472012426.685303</v>
      </c>
      <c r="L1304">
        <v>14198.753959474399</v>
      </c>
      <c r="M1304">
        <v>0.15481137456202801</v>
      </c>
      <c r="N1304">
        <v>-8.5803430210621805</v>
      </c>
      <c r="O1304">
        <v>41.8</v>
      </c>
      <c r="P1304">
        <v>1046.002</v>
      </c>
      <c r="Q1304">
        <v>55</v>
      </c>
      <c r="R1304">
        <v>14.27</v>
      </c>
    </row>
    <row r="1305" spans="1:18" x14ac:dyDescent="0.25">
      <c r="A1305" s="1" t="s">
        <v>14</v>
      </c>
      <c r="B1305" s="2" t="s">
        <v>30</v>
      </c>
      <c r="C1305" s="19">
        <v>44</v>
      </c>
      <c r="D1305" s="3" t="s">
        <v>496</v>
      </c>
      <c r="E1305" s="3" t="s">
        <v>18</v>
      </c>
      <c r="F1305" s="23">
        <v>132402</v>
      </c>
      <c r="G1305" s="15">
        <v>2012</v>
      </c>
      <c r="H1305" s="15">
        <f>Table_7[[#This Row],[Listing Price (USD)]]/10000</f>
        <v>13.2402</v>
      </c>
      <c r="I1305" s="28">
        <f>Table_7[[#This Row],[Length 
(ft)]]</f>
        <v>44</v>
      </c>
      <c r="J1305" s="28">
        <f>2020-Table_7[[#This Row],[Year]]</f>
        <v>8</v>
      </c>
      <c r="K1305">
        <v>188925995936.80701</v>
      </c>
      <c r="L1305">
        <v>17658.947301119199</v>
      </c>
      <c r="M1305">
        <v>-1.2479835558140799</v>
      </c>
      <c r="N1305">
        <v>-9.0040436420214593</v>
      </c>
      <c r="O1305">
        <v>41.8</v>
      </c>
      <c r="P1305">
        <v>1046.002</v>
      </c>
      <c r="Q1305">
        <v>55</v>
      </c>
      <c r="R1305">
        <v>14.27</v>
      </c>
    </row>
    <row r="1306" spans="1:18" x14ac:dyDescent="0.25">
      <c r="A1306" s="1" t="s">
        <v>14</v>
      </c>
      <c r="B1306" s="2" t="s">
        <v>30</v>
      </c>
      <c r="C1306" s="19">
        <v>44</v>
      </c>
      <c r="D1306" s="3" t="s">
        <v>496</v>
      </c>
      <c r="E1306" s="3" t="s">
        <v>31</v>
      </c>
      <c r="F1306" s="23">
        <v>133651</v>
      </c>
      <c r="G1306" s="15">
        <v>2012</v>
      </c>
      <c r="H1306" s="15">
        <f>Table_7[[#This Row],[Listing Price (USD)]]/10000</f>
        <v>13.3651</v>
      </c>
      <c r="I1306" s="28">
        <f>Table_7[[#This Row],[Length 
(ft)]]</f>
        <v>44</v>
      </c>
      <c r="J1306" s="28">
        <f>2020-Table_7[[#This Row],[Year]]</f>
        <v>8</v>
      </c>
      <c r="K1306">
        <v>57472012426.685303</v>
      </c>
      <c r="L1306">
        <v>14198.753959474399</v>
      </c>
      <c r="M1306">
        <v>0.15481137456202801</v>
      </c>
      <c r="N1306">
        <v>-8.5803430210621805</v>
      </c>
      <c r="O1306">
        <v>41.8</v>
      </c>
      <c r="P1306">
        <v>1046.002</v>
      </c>
      <c r="Q1306">
        <v>55</v>
      </c>
      <c r="R1306">
        <v>14.27</v>
      </c>
    </row>
    <row r="1307" spans="1:18" x14ac:dyDescent="0.25">
      <c r="A1307" s="1" t="s">
        <v>14</v>
      </c>
      <c r="B1307" s="2" t="s">
        <v>30</v>
      </c>
      <c r="C1307" s="19">
        <v>44</v>
      </c>
      <c r="D1307" s="3" t="s">
        <v>496</v>
      </c>
      <c r="E1307" s="3" t="s">
        <v>18</v>
      </c>
      <c r="F1307" s="23">
        <v>136046</v>
      </c>
      <c r="G1307" s="15">
        <v>2010</v>
      </c>
      <c r="H1307" s="15">
        <f>Table_7[[#This Row],[Listing Price (USD)]]/10000</f>
        <v>13.6046</v>
      </c>
      <c r="I1307" s="28">
        <f>Table_7[[#This Row],[Length 
(ft)]]</f>
        <v>44</v>
      </c>
      <c r="J1307" s="28">
        <f>2020-Table_7[[#This Row],[Year]]</f>
        <v>10</v>
      </c>
      <c r="K1307">
        <v>188925995936.80701</v>
      </c>
      <c r="L1307">
        <v>17658.947301119199</v>
      </c>
      <c r="M1307">
        <v>-1.2479835558140799</v>
      </c>
      <c r="N1307">
        <v>-9.0040436420214593</v>
      </c>
      <c r="O1307">
        <v>41.8</v>
      </c>
      <c r="P1307">
        <v>1046.002</v>
      </c>
      <c r="Q1307">
        <v>55</v>
      </c>
      <c r="R1307">
        <v>14.27</v>
      </c>
    </row>
    <row r="1308" spans="1:18" x14ac:dyDescent="0.25">
      <c r="A1308" s="1" t="s">
        <v>14</v>
      </c>
      <c r="B1308" s="2" t="s">
        <v>30</v>
      </c>
      <c r="C1308" s="19">
        <v>44</v>
      </c>
      <c r="D1308" s="3" t="s">
        <v>496</v>
      </c>
      <c r="E1308" s="3" t="s">
        <v>31</v>
      </c>
      <c r="F1308" s="23">
        <v>136081</v>
      </c>
      <c r="G1308" s="15">
        <v>2012</v>
      </c>
      <c r="H1308" s="15">
        <f>Table_7[[#This Row],[Listing Price (USD)]]/10000</f>
        <v>13.6081</v>
      </c>
      <c r="I1308" s="28">
        <f>Table_7[[#This Row],[Length 
(ft)]]</f>
        <v>44</v>
      </c>
      <c r="J1308" s="28">
        <f>2020-Table_7[[#This Row],[Year]]</f>
        <v>8</v>
      </c>
      <c r="K1308">
        <v>57472012426.685303</v>
      </c>
      <c r="L1308">
        <v>14198.753959474399</v>
      </c>
      <c r="M1308">
        <v>0.15481137456202801</v>
      </c>
      <c r="N1308">
        <v>-8.5803430210621805</v>
      </c>
      <c r="O1308">
        <v>41.8</v>
      </c>
      <c r="P1308">
        <v>1046.002</v>
      </c>
      <c r="Q1308">
        <v>55</v>
      </c>
      <c r="R1308">
        <v>14.27</v>
      </c>
    </row>
    <row r="1309" spans="1:18" x14ac:dyDescent="0.25">
      <c r="A1309" s="1" t="s">
        <v>14</v>
      </c>
      <c r="B1309" s="2" t="s">
        <v>30</v>
      </c>
      <c r="C1309" s="19">
        <v>44</v>
      </c>
      <c r="D1309" s="3" t="s">
        <v>496</v>
      </c>
      <c r="E1309" s="3" t="s">
        <v>31</v>
      </c>
      <c r="F1309" s="23">
        <v>139731</v>
      </c>
      <c r="G1309" s="15">
        <v>2013</v>
      </c>
      <c r="H1309" s="15">
        <f>Table_7[[#This Row],[Listing Price (USD)]]/10000</f>
        <v>13.973100000000001</v>
      </c>
      <c r="I1309" s="28">
        <f>Table_7[[#This Row],[Length 
(ft)]]</f>
        <v>44</v>
      </c>
      <c r="J1309" s="28">
        <f>2020-Table_7[[#This Row],[Year]]</f>
        <v>7</v>
      </c>
      <c r="K1309">
        <v>57472012426.685303</v>
      </c>
      <c r="L1309">
        <v>14198.753959474399</v>
      </c>
      <c r="M1309">
        <v>0.15481137456202801</v>
      </c>
      <c r="N1309">
        <v>-8.5803430210621805</v>
      </c>
      <c r="O1309">
        <v>41.8</v>
      </c>
      <c r="P1309">
        <v>1046.002</v>
      </c>
      <c r="Q1309">
        <v>55</v>
      </c>
      <c r="R1309">
        <v>14.27</v>
      </c>
    </row>
    <row r="1310" spans="1:18" x14ac:dyDescent="0.25">
      <c r="A1310" s="1" t="s">
        <v>14</v>
      </c>
      <c r="B1310" s="2" t="s">
        <v>30</v>
      </c>
      <c r="C1310" s="19">
        <v>44</v>
      </c>
      <c r="D1310" s="3" t="s">
        <v>496</v>
      </c>
      <c r="E1310" s="3" t="s">
        <v>18</v>
      </c>
      <c r="F1310" s="23">
        <v>142119</v>
      </c>
      <c r="G1310" s="15">
        <v>2010</v>
      </c>
      <c r="H1310" s="15">
        <f>Table_7[[#This Row],[Listing Price (USD)]]/10000</f>
        <v>14.2119</v>
      </c>
      <c r="I1310" s="28">
        <f>Table_7[[#This Row],[Length 
(ft)]]</f>
        <v>44</v>
      </c>
      <c r="J1310" s="28">
        <f>2020-Table_7[[#This Row],[Year]]</f>
        <v>10</v>
      </c>
      <c r="K1310">
        <v>188925995936.80701</v>
      </c>
      <c r="L1310">
        <v>17658.947301119199</v>
      </c>
      <c r="M1310">
        <v>-1.2479835558140799</v>
      </c>
      <c r="N1310">
        <v>-9.0040436420214593</v>
      </c>
      <c r="O1310">
        <v>41.8</v>
      </c>
      <c r="P1310">
        <v>1046.002</v>
      </c>
      <c r="Q1310">
        <v>55</v>
      </c>
      <c r="R1310">
        <v>14.27</v>
      </c>
    </row>
    <row r="1311" spans="1:18" x14ac:dyDescent="0.25">
      <c r="A1311" s="1" t="s">
        <v>14</v>
      </c>
      <c r="B1311" s="2" t="s">
        <v>30</v>
      </c>
      <c r="C1311" s="19">
        <v>44</v>
      </c>
      <c r="D1311" s="3" t="s">
        <v>496</v>
      </c>
      <c r="E1311" s="3" t="s">
        <v>9</v>
      </c>
      <c r="F1311" s="23">
        <v>144549</v>
      </c>
      <c r="G1311" s="15">
        <v>2014</v>
      </c>
      <c r="H1311" s="15">
        <f>Table_7[[#This Row],[Listing Price (USD)]]/10000</f>
        <v>14.4549</v>
      </c>
      <c r="I1311" s="28">
        <f>Table_7[[#This Row],[Length 
(ft)]]</f>
        <v>44</v>
      </c>
      <c r="J1311" s="28">
        <f>2020-Table_7[[#This Row],[Year]]</f>
        <v>6</v>
      </c>
      <c r="K1311">
        <v>1276962685648.25</v>
      </c>
      <c r="L1311">
        <v>26959.675436732599</v>
      </c>
      <c r="M1311">
        <v>-0.32275301729970501</v>
      </c>
      <c r="N1311">
        <v>-11.3254383222864</v>
      </c>
      <c r="O1311">
        <v>41.8</v>
      </c>
      <c r="P1311">
        <v>1046.002</v>
      </c>
      <c r="Q1311">
        <v>55</v>
      </c>
      <c r="R1311">
        <v>14.27</v>
      </c>
    </row>
    <row r="1312" spans="1:18" x14ac:dyDescent="0.25">
      <c r="A1312" s="1" t="s">
        <v>14</v>
      </c>
      <c r="B1312" s="2" t="s">
        <v>30</v>
      </c>
      <c r="C1312" s="19">
        <v>44</v>
      </c>
      <c r="D1312" s="3" t="s">
        <v>496</v>
      </c>
      <c r="E1312" s="3" t="s">
        <v>31</v>
      </c>
      <c r="F1312" s="23">
        <v>145564</v>
      </c>
      <c r="G1312" s="15">
        <v>2011</v>
      </c>
      <c r="H1312" s="15">
        <f>Table_7[[#This Row],[Listing Price (USD)]]/10000</f>
        <v>14.5564</v>
      </c>
      <c r="I1312" s="28">
        <f>Table_7[[#This Row],[Length 
(ft)]]</f>
        <v>44</v>
      </c>
      <c r="J1312" s="28">
        <f>2020-Table_7[[#This Row],[Year]]</f>
        <v>9</v>
      </c>
      <c r="K1312">
        <v>57472012426.685303</v>
      </c>
      <c r="L1312">
        <v>14198.753959474399</v>
      </c>
      <c r="M1312">
        <v>0.15481137456202801</v>
      </c>
      <c r="N1312">
        <v>-8.5803430210621805</v>
      </c>
      <c r="O1312">
        <v>41.8</v>
      </c>
      <c r="P1312">
        <v>1046.002</v>
      </c>
      <c r="Q1312">
        <v>55</v>
      </c>
      <c r="R1312">
        <v>14.27</v>
      </c>
    </row>
    <row r="1313" spans="1:18" x14ac:dyDescent="0.25">
      <c r="A1313" s="1" t="s">
        <v>14</v>
      </c>
      <c r="B1313" s="2" t="s">
        <v>30</v>
      </c>
      <c r="C1313" s="19">
        <v>44</v>
      </c>
      <c r="D1313" s="3" t="s">
        <v>496</v>
      </c>
      <c r="E1313" s="3" t="s">
        <v>31</v>
      </c>
      <c r="F1313" s="23">
        <v>145764</v>
      </c>
      <c r="G1313" s="15">
        <v>2013</v>
      </c>
      <c r="H1313" s="15">
        <f>Table_7[[#This Row],[Listing Price (USD)]]/10000</f>
        <v>14.5764</v>
      </c>
      <c r="I1313" s="28">
        <f>Table_7[[#This Row],[Length 
(ft)]]</f>
        <v>44</v>
      </c>
      <c r="J1313" s="28">
        <f>2020-Table_7[[#This Row],[Year]]</f>
        <v>7</v>
      </c>
      <c r="K1313">
        <v>57472012426.685303</v>
      </c>
      <c r="L1313">
        <v>14198.753959474399</v>
      </c>
      <c r="M1313">
        <v>0.15481137456202801</v>
      </c>
      <c r="N1313">
        <v>-8.5803430210621805</v>
      </c>
      <c r="O1313">
        <v>41.8</v>
      </c>
      <c r="P1313">
        <v>1046.002</v>
      </c>
      <c r="Q1313">
        <v>55</v>
      </c>
      <c r="R1313">
        <v>14.27</v>
      </c>
    </row>
    <row r="1314" spans="1:18" x14ac:dyDescent="0.25">
      <c r="A1314" s="1" t="s">
        <v>14</v>
      </c>
      <c r="B1314" s="2" t="s">
        <v>30</v>
      </c>
      <c r="C1314" s="19">
        <v>44</v>
      </c>
      <c r="D1314" s="3" t="s">
        <v>496</v>
      </c>
      <c r="E1314" s="3" t="s">
        <v>18</v>
      </c>
      <c r="F1314" s="23">
        <v>145764</v>
      </c>
      <c r="G1314" s="15">
        <v>2011</v>
      </c>
      <c r="H1314" s="15">
        <f>Table_7[[#This Row],[Listing Price (USD)]]/10000</f>
        <v>14.5764</v>
      </c>
      <c r="I1314" s="28">
        <f>Table_7[[#This Row],[Length 
(ft)]]</f>
        <v>44</v>
      </c>
      <c r="J1314" s="28">
        <f>2020-Table_7[[#This Row],[Year]]</f>
        <v>9</v>
      </c>
      <c r="K1314">
        <v>188925995936.80701</v>
      </c>
      <c r="L1314">
        <v>17658.947301119199</v>
      </c>
      <c r="M1314">
        <v>-1.2479835558140799</v>
      </c>
      <c r="N1314">
        <v>-9.0040436420214593</v>
      </c>
      <c r="O1314">
        <v>41.8</v>
      </c>
      <c r="P1314">
        <v>1046.002</v>
      </c>
      <c r="Q1314">
        <v>55</v>
      </c>
      <c r="R1314">
        <v>14.27</v>
      </c>
    </row>
    <row r="1315" spans="1:18" x14ac:dyDescent="0.25">
      <c r="A1315" s="1" t="s">
        <v>372</v>
      </c>
      <c r="B1315" s="3" t="s">
        <v>30</v>
      </c>
      <c r="C1315" s="19">
        <v>45</v>
      </c>
      <c r="D1315" s="3" t="s">
        <v>497</v>
      </c>
      <c r="E1315" s="3" t="s">
        <v>506</v>
      </c>
      <c r="F1315" s="23">
        <v>149950</v>
      </c>
      <c r="G1315" s="15">
        <v>2013</v>
      </c>
      <c r="H1315" s="15">
        <f>Table_7[[#This Row],[Listing Price (USD)]]/10000</f>
        <v>14.994999999999999</v>
      </c>
      <c r="I1315" s="28">
        <f>Table_7[[#This Row],[Length 
(ft)]]</f>
        <v>45</v>
      </c>
      <c r="J1315" s="28">
        <f>2020-Table_7[[#This Row],[Year]]</f>
        <v>7</v>
      </c>
      <c r="K1315">
        <v>1370281481.4814799</v>
      </c>
      <c r="L1315">
        <v>14787.6357752901</v>
      </c>
      <c r="M1315">
        <v>0.62598970704669799</v>
      </c>
      <c r="N1315">
        <v>-20.1923705722071</v>
      </c>
      <c r="O1315">
        <v>41.8</v>
      </c>
      <c r="P1315">
        <v>1046.002</v>
      </c>
      <c r="Q1315">
        <v>55</v>
      </c>
      <c r="R1315">
        <v>14.27</v>
      </c>
    </row>
    <row r="1316" spans="1:18" x14ac:dyDescent="0.25">
      <c r="A1316" s="1" t="s">
        <v>14</v>
      </c>
      <c r="B1316" s="2" t="s">
        <v>30</v>
      </c>
      <c r="C1316" s="19">
        <v>44</v>
      </c>
      <c r="D1316" s="3" t="s">
        <v>496</v>
      </c>
      <c r="E1316" s="3" t="s">
        <v>31</v>
      </c>
      <c r="F1316" s="23">
        <v>155521</v>
      </c>
      <c r="G1316" s="15">
        <v>2013</v>
      </c>
      <c r="H1316" s="15">
        <f>Table_7[[#This Row],[Listing Price (USD)]]/10000</f>
        <v>15.552099999999999</v>
      </c>
      <c r="I1316" s="28">
        <f>Table_7[[#This Row],[Length 
(ft)]]</f>
        <v>44</v>
      </c>
      <c r="J1316" s="28">
        <f>2020-Table_7[[#This Row],[Year]]</f>
        <v>7</v>
      </c>
      <c r="K1316">
        <v>57472012426.685303</v>
      </c>
      <c r="L1316">
        <v>14198.753959474399</v>
      </c>
      <c r="M1316">
        <v>0.15481137456202801</v>
      </c>
      <c r="N1316">
        <v>-8.5803430210621805</v>
      </c>
      <c r="O1316">
        <v>41.8</v>
      </c>
      <c r="P1316">
        <v>1046.002</v>
      </c>
      <c r="Q1316">
        <v>55</v>
      </c>
      <c r="R1316">
        <v>14.27</v>
      </c>
    </row>
    <row r="1317" spans="1:18" x14ac:dyDescent="0.25">
      <c r="A1317" s="1" t="s">
        <v>14</v>
      </c>
      <c r="B1317" s="2" t="s">
        <v>30</v>
      </c>
      <c r="C1317" s="19">
        <v>44</v>
      </c>
      <c r="D1317" s="3" t="s">
        <v>496</v>
      </c>
      <c r="E1317" s="3" t="s">
        <v>31</v>
      </c>
      <c r="F1317" s="23">
        <v>160381</v>
      </c>
      <c r="G1317" s="15">
        <v>2013</v>
      </c>
      <c r="H1317" s="15">
        <f>Table_7[[#This Row],[Listing Price (USD)]]/10000</f>
        <v>16.0381</v>
      </c>
      <c r="I1317" s="28">
        <f>Table_7[[#This Row],[Length 
(ft)]]</f>
        <v>44</v>
      </c>
      <c r="J1317" s="28">
        <f>2020-Table_7[[#This Row],[Year]]</f>
        <v>7</v>
      </c>
      <c r="K1317">
        <v>57472012426.685303</v>
      </c>
      <c r="L1317">
        <v>14198.753959474399</v>
      </c>
      <c r="M1317">
        <v>0.15481137456202801</v>
      </c>
      <c r="N1317">
        <v>-8.5803430210621805</v>
      </c>
      <c r="O1317">
        <v>41.8</v>
      </c>
      <c r="P1317">
        <v>1046.002</v>
      </c>
      <c r="Q1317">
        <v>55</v>
      </c>
      <c r="R1317">
        <v>14.27</v>
      </c>
    </row>
    <row r="1318" spans="1:18" x14ac:dyDescent="0.25">
      <c r="A1318" s="1" t="s">
        <v>14</v>
      </c>
      <c r="B1318" s="2" t="s">
        <v>30</v>
      </c>
      <c r="C1318" s="19">
        <v>44</v>
      </c>
      <c r="D1318" s="3" t="s">
        <v>496</v>
      </c>
      <c r="E1318" s="3" t="s">
        <v>31</v>
      </c>
      <c r="F1318" s="23">
        <v>175416</v>
      </c>
      <c r="G1318" s="15">
        <v>2013</v>
      </c>
      <c r="H1318" s="15">
        <f>Table_7[[#This Row],[Listing Price (USD)]]/10000</f>
        <v>17.541599999999999</v>
      </c>
      <c r="I1318" s="28">
        <f>Table_7[[#This Row],[Length 
(ft)]]</f>
        <v>44</v>
      </c>
      <c r="J1318" s="28">
        <f>2020-Table_7[[#This Row],[Year]]</f>
        <v>7</v>
      </c>
      <c r="K1318">
        <v>57472012426.685303</v>
      </c>
      <c r="L1318">
        <v>14198.753959474399</v>
      </c>
      <c r="M1318">
        <v>0.15481137456202801</v>
      </c>
      <c r="N1318">
        <v>-8.5803430210621805</v>
      </c>
      <c r="O1318">
        <v>41.8</v>
      </c>
      <c r="P1318">
        <v>1046.002</v>
      </c>
      <c r="Q1318">
        <v>55</v>
      </c>
      <c r="R1318">
        <v>14.27</v>
      </c>
    </row>
    <row r="1319" spans="1:18" x14ac:dyDescent="0.25">
      <c r="A1319" s="1" t="s">
        <v>14</v>
      </c>
      <c r="B1319" s="2" t="s">
        <v>30</v>
      </c>
      <c r="C1319" s="19">
        <v>44</v>
      </c>
      <c r="D1319" s="3" t="s">
        <v>496</v>
      </c>
      <c r="E1319" s="3" t="s">
        <v>22</v>
      </c>
      <c r="F1319" s="23">
        <v>179821</v>
      </c>
      <c r="G1319" s="15">
        <v>2013</v>
      </c>
      <c r="H1319" s="15">
        <f>Table_7[[#This Row],[Listing Price (USD)]]/10000</f>
        <v>17.982099999999999</v>
      </c>
      <c r="I1319" s="28">
        <f>Table_7[[#This Row],[Length 
(ft)]]</f>
        <v>44</v>
      </c>
      <c r="J1319" s="28">
        <f>2020-Table_7[[#This Row],[Year]]</f>
        <v>7</v>
      </c>
      <c r="K1319">
        <v>3889668895299.6201</v>
      </c>
      <c r="L1319">
        <v>46772.825350754501</v>
      </c>
      <c r="M1319">
        <v>0.50668988995327402</v>
      </c>
      <c r="N1319">
        <v>-3.6967887053804298</v>
      </c>
      <c r="O1319">
        <v>41.8</v>
      </c>
      <c r="P1319">
        <v>1046.002</v>
      </c>
      <c r="Q1319">
        <v>55</v>
      </c>
      <c r="R1319">
        <v>14.27</v>
      </c>
    </row>
    <row r="1320" spans="1:18" x14ac:dyDescent="0.25">
      <c r="A1320" s="1" t="s">
        <v>14</v>
      </c>
      <c r="B1320" s="2" t="s">
        <v>30</v>
      </c>
      <c r="C1320" s="19">
        <v>44</v>
      </c>
      <c r="D1320" s="3" t="s">
        <v>496</v>
      </c>
      <c r="E1320" s="3" t="s">
        <v>31</v>
      </c>
      <c r="F1320" s="23">
        <v>193744</v>
      </c>
      <c r="G1320" s="15">
        <v>2013</v>
      </c>
      <c r="H1320" s="15">
        <f>Table_7[[#This Row],[Listing Price (USD)]]/10000</f>
        <v>19.374400000000001</v>
      </c>
      <c r="I1320" s="28">
        <f>Table_7[[#This Row],[Length 
(ft)]]</f>
        <v>44</v>
      </c>
      <c r="J1320" s="28">
        <f>2020-Table_7[[#This Row],[Year]]</f>
        <v>7</v>
      </c>
      <c r="K1320">
        <v>57472012426.685303</v>
      </c>
      <c r="L1320">
        <v>14198.753959474399</v>
      </c>
      <c r="M1320">
        <v>0.15481137456202801</v>
      </c>
      <c r="N1320">
        <v>-8.5803430210621805</v>
      </c>
      <c r="O1320">
        <v>41.8</v>
      </c>
      <c r="P1320">
        <v>1046.002</v>
      </c>
      <c r="Q1320">
        <v>55</v>
      </c>
      <c r="R1320">
        <v>14.27</v>
      </c>
    </row>
    <row r="1321" spans="1:18" x14ac:dyDescent="0.25">
      <c r="A1321" s="1" t="s">
        <v>14</v>
      </c>
      <c r="B1321" s="2" t="s">
        <v>30</v>
      </c>
      <c r="C1321" s="19">
        <v>44</v>
      </c>
      <c r="D1321" s="3" t="s">
        <v>496</v>
      </c>
      <c r="E1321" s="3" t="s">
        <v>31</v>
      </c>
      <c r="F1321" s="23">
        <v>193793</v>
      </c>
      <c r="G1321" s="15">
        <v>2013</v>
      </c>
      <c r="H1321" s="15">
        <f>Table_7[[#This Row],[Listing Price (USD)]]/10000</f>
        <v>19.379300000000001</v>
      </c>
      <c r="I1321" s="28">
        <f>Table_7[[#This Row],[Length 
(ft)]]</f>
        <v>44</v>
      </c>
      <c r="J1321" s="28">
        <f>2020-Table_7[[#This Row],[Year]]</f>
        <v>7</v>
      </c>
      <c r="K1321">
        <v>57472012426.685303</v>
      </c>
      <c r="L1321">
        <v>14198.753959474399</v>
      </c>
      <c r="M1321">
        <v>0.15481137456202801</v>
      </c>
      <c r="N1321">
        <v>-8.5803430210621805</v>
      </c>
      <c r="O1321">
        <v>41.8</v>
      </c>
      <c r="P1321">
        <v>1046.002</v>
      </c>
      <c r="Q1321">
        <v>55</v>
      </c>
      <c r="R1321">
        <v>14.27</v>
      </c>
    </row>
    <row r="1322" spans="1:18" x14ac:dyDescent="0.25">
      <c r="A1322" s="1" t="s">
        <v>14</v>
      </c>
      <c r="B1322" s="2" t="s">
        <v>30</v>
      </c>
      <c r="C1322" s="19">
        <v>44</v>
      </c>
      <c r="D1322" s="3" t="s">
        <v>496</v>
      </c>
      <c r="E1322" s="3" t="s">
        <v>18</v>
      </c>
      <c r="F1322" s="23">
        <v>267301</v>
      </c>
      <c r="G1322" s="15">
        <v>2018</v>
      </c>
      <c r="H1322" s="15">
        <f>Table_7[[#This Row],[Listing Price (USD)]]/10000</f>
        <v>26.7301</v>
      </c>
      <c r="I1322" s="28">
        <f>Table_7[[#This Row],[Length 
(ft)]]</f>
        <v>44</v>
      </c>
      <c r="J1322" s="28">
        <f>2020-Table_7[[#This Row],[Year]]</f>
        <v>2</v>
      </c>
      <c r="K1322">
        <v>188925995936.80701</v>
      </c>
      <c r="L1322">
        <v>17658.947301119199</v>
      </c>
      <c r="M1322">
        <v>-1.2479835558140799</v>
      </c>
      <c r="N1322">
        <v>-9.0040436420214593</v>
      </c>
      <c r="O1322">
        <v>41.8</v>
      </c>
      <c r="P1322">
        <v>1046.002</v>
      </c>
      <c r="Q1322">
        <v>55</v>
      </c>
      <c r="R1322">
        <v>14.27</v>
      </c>
    </row>
    <row r="1323" spans="1:18" x14ac:dyDescent="0.25">
      <c r="A1323" s="1" t="s">
        <v>14</v>
      </c>
      <c r="B1323" s="2" t="s">
        <v>30</v>
      </c>
      <c r="C1323" s="19">
        <v>44</v>
      </c>
      <c r="D1323" s="3" t="s">
        <v>496</v>
      </c>
      <c r="E1323" s="3" t="s">
        <v>9</v>
      </c>
      <c r="F1323" s="23">
        <v>394776</v>
      </c>
      <c r="G1323" s="15">
        <v>2019</v>
      </c>
      <c r="H1323" s="15">
        <f>Table_7[[#This Row],[Listing Price (USD)]]/10000</f>
        <v>39.477600000000002</v>
      </c>
      <c r="I1323" s="28">
        <f>Table_7[[#This Row],[Length 
(ft)]]</f>
        <v>44</v>
      </c>
      <c r="J1323" s="28">
        <f>2020-Table_7[[#This Row],[Year]]</f>
        <v>1</v>
      </c>
      <c r="K1323">
        <v>1276962685648.25</v>
      </c>
      <c r="L1323">
        <v>26959.675436732599</v>
      </c>
      <c r="M1323">
        <v>-0.32275301729970501</v>
      </c>
      <c r="N1323">
        <v>-11.3254383222864</v>
      </c>
      <c r="O1323">
        <v>41.8</v>
      </c>
      <c r="P1323">
        <v>1046.002</v>
      </c>
      <c r="Q1323">
        <v>55</v>
      </c>
      <c r="R1323">
        <v>14.27</v>
      </c>
    </row>
    <row r="1324" spans="1:18" x14ac:dyDescent="0.25">
      <c r="A1324" s="1" t="s">
        <v>362</v>
      </c>
      <c r="B1324" s="3" t="s">
        <v>363</v>
      </c>
      <c r="C1324" s="19">
        <v>46</v>
      </c>
      <c r="D1324" s="3" t="s">
        <v>495</v>
      </c>
      <c r="E1324" s="3" t="s">
        <v>500</v>
      </c>
      <c r="F1324" s="23">
        <v>509000</v>
      </c>
      <c r="G1324" s="15">
        <v>2011</v>
      </c>
      <c r="H1324" s="15">
        <f>Table_7[[#This Row],[Listing Price (USD)]]/10000</f>
        <v>50.9</v>
      </c>
      <c r="I1324" s="28">
        <f>Table_7[[#This Row],[Length 
(ft)]]</f>
        <v>46</v>
      </c>
      <c r="J1324" s="28">
        <f>2020-Table_7[[#This Row],[Year]]</f>
        <v>9</v>
      </c>
      <c r="K1324">
        <v>3007188000000</v>
      </c>
      <c r="L1324">
        <v>76131.839999999997</v>
      </c>
      <c r="M1324">
        <v>1.23</v>
      </c>
      <c r="N1324">
        <v>2.7</v>
      </c>
      <c r="O1324">
        <v>39.33</v>
      </c>
      <c r="P1324">
        <v>914.00199999999995</v>
      </c>
      <c r="Q1324">
        <v>55</v>
      </c>
      <c r="R1324">
        <v>14.08</v>
      </c>
    </row>
    <row r="1325" spans="1:18" x14ac:dyDescent="0.25">
      <c r="A1325" s="1" t="s">
        <v>14</v>
      </c>
      <c r="B1325" s="3" t="s">
        <v>322</v>
      </c>
      <c r="C1325" s="19">
        <v>46</v>
      </c>
      <c r="D1325" s="3" t="s">
        <v>495</v>
      </c>
      <c r="E1325" s="3" t="s">
        <v>333</v>
      </c>
      <c r="F1325" s="23">
        <v>129900</v>
      </c>
      <c r="G1325" s="15">
        <v>2007</v>
      </c>
      <c r="H1325" s="15">
        <f>Table_7[[#This Row],[Listing Price (USD)]]/10000</f>
        <v>12.99</v>
      </c>
      <c r="I1325" s="28">
        <f>Table_7[[#This Row],[Length 
(ft)]]</f>
        <v>46</v>
      </c>
      <c r="J1325" s="28">
        <f>2020-Table_7[[#This Row],[Year]]</f>
        <v>13</v>
      </c>
      <c r="K1325">
        <v>1106036000000</v>
      </c>
      <c r="L1325">
        <v>51276.72</v>
      </c>
      <c r="M1325">
        <v>1.23</v>
      </c>
      <c r="N1325">
        <v>2.9</v>
      </c>
      <c r="O1325">
        <v>41.8</v>
      </c>
      <c r="P1325">
        <v>1162.002</v>
      </c>
      <c r="Q1325">
        <v>55</v>
      </c>
      <c r="R1325">
        <v>14.27</v>
      </c>
    </row>
    <row r="1326" spans="1:18" x14ac:dyDescent="0.25">
      <c r="A1326" s="1" t="s">
        <v>14</v>
      </c>
      <c r="B1326" s="2" t="s">
        <v>33</v>
      </c>
      <c r="C1326" s="19">
        <v>46</v>
      </c>
      <c r="D1326" s="3" t="s">
        <v>496</v>
      </c>
      <c r="E1326" s="3" t="s">
        <v>31</v>
      </c>
      <c r="F1326" s="23">
        <v>84786</v>
      </c>
      <c r="G1326" s="15">
        <v>2005</v>
      </c>
      <c r="H1326" s="15">
        <f>Table_7[[#This Row],[Listing Price (USD)]]/10000</f>
        <v>8.4786000000000001</v>
      </c>
      <c r="I1326" s="28">
        <f>Table_7[[#This Row],[Length 
(ft)]]</f>
        <v>46</v>
      </c>
      <c r="J1326" s="28">
        <f>2020-Table_7[[#This Row],[Year]]</f>
        <v>15</v>
      </c>
      <c r="K1326">
        <v>57472012426.685303</v>
      </c>
      <c r="L1326">
        <v>14198.753959474399</v>
      </c>
      <c r="M1326">
        <v>0.15481137456202801</v>
      </c>
      <c r="N1326">
        <v>-8.5803430210621805</v>
      </c>
      <c r="O1326">
        <v>41.8</v>
      </c>
      <c r="P1326">
        <v>1162</v>
      </c>
      <c r="Q1326">
        <v>55</v>
      </c>
      <c r="R1326">
        <v>14.27</v>
      </c>
    </row>
    <row r="1327" spans="1:18" x14ac:dyDescent="0.25">
      <c r="A1327" s="1" t="s">
        <v>14</v>
      </c>
      <c r="B1327" s="2" t="s">
        <v>33</v>
      </c>
      <c r="C1327" s="19">
        <v>46</v>
      </c>
      <c r="D1327" s="3" t="s">
        <v>496</v>
      </c>
      <c r="E1327" s="3" t="s">
        <v>31</v>
      </c>
      <c r="F1327" s="23">
        <v>84907</v>
      </c>
      <c r="G1327" s="15">
        <v>2005</v>
      </c>
      <c r="H1327" s="15">
        <f>Table_7[[#This Row],[Listing Price (USD)]]/10000</f>
        <v>8.4907000000000004</v>
      </c>
      <c r="I1327" s="28">
        <f>Table_7[[#This Row],[Length 
(ft)]]</f>
        <v>46</v>
      </c>
      <c r="J1327" s="28">
        <f>2020-Table_7[[#This Row],[Year]]</f>
        <v>15</v>
      </c>
      <c r="K1327">
        <v>57472012426.685303</v>
      </c>
      <c r="L1327">
        <v>14198.753959474399</v>
      </c>
      <c r="M1327">
        <v>0.15481137456202801</v>
      </c>
      <c r="N1327">
        <v>-8.5803430210621805</v>
      </c>
      <c r="O1327">
        <v>41.8</v>
      </c>
      <c r="P1327">
        <v>1162</v>
      </c>
      <c r="Q1327">
        <v>55</v>
      </c>
      <c r="R1327">
        <v>14.27</v>
      </c>
    </row>
    <row r="1328" spans="1:18" x14ac:dyDescent="0.25">
      <c r="A1328" s="1" t="s">
        <v>14</v>
      </c>
      <c r="B1328" s="2" t="s">
        <v>33</v>
      </c>
      <c r="C1328" s="19">
        <v>46</v>
      </c>
      <c r="D1328" s="3" t="s">
        <v>496</v>
      </c>
      <c r="E1328" s="3" t="s">
        <v>31</v>
      </c>
      <c r="F1328" s="23">
        <v>89910</v>
      </c>
      <c r="G1328" s="15">
        <v>2006</v>
      </c>
      <c r="H1328" s="15">
        <f>Table_7[[#This Row],[Listing Price (USD)]]/10000</f>
        <v>8.9909999999999997</v>
      </c>
      <c r="I1328" s="28">
        <f>Table_7[[#This Row],[Length 
(ft)]]</f>
        <v>46</v>
      </c>
      <c r="J1328" s="28">
        <f>2020-Table_7[[#This Row],[Year]]</f>
        <v>14</v>
      </c>
      <c r="K1328">
        <v>57472012426.685303</v>
      </c>
      <c r="L1328">
        <v>14198.753959474399</v>
      </c>
      <c r="M1328">
        <v>0.15481137456202801</v>
      </c>
      <c r="N1328">
        <v>-8.5803430210621805</v>
      </c>
      <c r="O1328">
        <v>41.8</v>
      </c>
      <c r="P1328">
        <v>1162</v>
      </c>
      <c r="Q1328">
        <v>55</v>
      </c>
      <c r="R1328">
        <v>14.27</v>
      </c>
    </row>
    <row r="1329" spans="1:18" x14ac:dyDescent="0.25">
      <c r="A1329" s="1" t="s">
        <v>14</v>
      </c>
      <c r="B1329" s="2" t="s">
        <v>33</v>
      </c>
      <c r="C1329" s="19">
        <v>46</v>
      </c>
      <c r="D1329" s="3" t="s">
        <v>496</v>
      </c>
      <c r="E1329" s="3" t="s">
        <v>31</v>
      </c>
      <c r="F1329" s="23">
        <v>91106</v>
      </c>
      <c r="G1329" s="15">
        <v>2005</v>
      </c>
      <c r="H1329" s="15">
        <f>Table_7[[#This Row],[Listing Price (USD)]]/10000</f>
        <v>9.1105999999999998</v>
      </c>
      <c r="I1329" s="28">
        <f>Table_7[[#This Row],[Length 
(ft)]]</f>
        <v>46</v>
      </c>
      <c r="J1329" s="28">
        <f>2020-Table_7[[#This Row],[Year]]</f>
        <v>15</v>
      </c>
      <c r="K1329">
        <v>57472012426.685303</v>
      </c>
      <c r="L1329">
        <v>14198.753959474399</v>
      </c>
      <c r="M1329">
        <v>0.15481137456202801</v>
      </c>
      <c r="N1329">
        <v>-8.5803430210621805</v>
      </c>
      <c r="O1329">
        <v>41.8</v>
      </c>
      <c r="P1329">
        <v>1162</v>
      </c>
      <c r="Q1329">
        <v>55</v>
      </c>
      <c r="R1329">
        <v>14.27</v>
      </c>
    </row>
    <row r="1330" spans="1:18" x14ac:dyDescent="0.25">
      <c r="A1330" s="1" t="s">
        <v>14</v>
      </c>
      <c r="B1330" s="2" t="s">
        <v>33</v>
      </c>
      <c r="C1330" s="19">
        <v>46</v>
      </c>
      <c r="D1330" s="3" t="s">
        <v>496</v>
      </c>
      <c r="E1330" s="3" t="s">
        <v>31</v>
      </c>
      <c r="F1330" s="23">
        <v>91831</v>
      </c>
      <c r="G1330" s="15">
        <v>2008</v>
      </c>
      <c r="H1330" s="15">
        <f>Table_7[[#This Row],[Listing Price (USD)]]/10000</f>
        <v>9.1830999999999996</v>
      </c>
      <c r="I1330" s="28">
        <f>Table_7[[#This Row],[Length 
(ft)]]</f>
        <v>46</v>
      </c>
      <c r="J1330" s="28">
        <f>2020-Table_7[[#This Row],[Year]]</f>
        <v>12</v>
      </c>
      <c r="K1330">
        <v>57472012426.685303</v>
      </c>
      <c r="L1330">
        <v>14198.753959474399</v>
      </c>
      <c r="M1330">
        <v>0.15481137456202801</v>
      </c>
      <c r="N1330">
        <v>-8.5803430210621805</v>
      </c>
      <c r="O1330">
        <v>41.8</v>
      </c>
      <c r="P1330">
        <v>1162</v>
      </c>
      <c r="Q1330">
        <v>55</v>
      </c>
      <c r="R1330">
        <v>14.27</v>
      </c>
    </row>
    <row r="1331" spans="1:18" x14ac:dyDescent="0.25">
      <c r="A1331" s="1" t="s">
        <v>14</v>
      </c>
      <c r="B1331" s="2" t="s">
        <v>33</v>
      </c>
      <c r="C1331" s="19">
        <v>46</v>
      </c>
      <c r="D1331" s="3" t="s">
        <v>496</v>
      </c>
      <c r="E1331" s="3" t="s">
        <v>31</v>
      </c>
      <c r="F1331" s="23">
        <v>91831</v>
      </c>
      <c r="G1331" s="15">
        <v>2007</v>
      </c>
      <c r="H1331" s="15">
        <f>Table_7[[#This Row],[Listing Price (USD)]]/10000</f>
        <v>9.1830999999999996</v>
      </c>
      <c r="I1331" s="28">
        <f>Table_7[[#This Row],[Length 
(ft)]]</f>
        <v>46</v>
      </c>
      <c r="J1331" s="28">
        <f>2020-Table_7[[#This Row],[Year]]</f>
        <v>13</v>
      </c>
      <c r="K1331">
        <v>57472012426.685303</v>
      </c>
      <c r="L1331">
        <v>14198.753959474399</v>
      </c>
      <c r="M1331">
        <v>0.15481137456202801</v>
      </c>
      <c r="N1331">
        <v>-8.5803430210621805</v>
      </c>
      <c r="O1331">
        <v>41.8</v>
      </c>
      <c r="P1331">
        <v>1162</v>
      </c>
      <c r="Q1331">
        <v>55</v>
      </c>
      <c r="R1331">
        <v>14.27</v>
      </c>
    </row>
    <row r="1332" spans="1:18" x14ac:dyDescent="0.25">
      <c r="A1332" s="1" t="s">
        <v>14</v>
      </c>
      <c r="B1332" s="2" t="s">
        <v>33</v>
      </c>
      <c r="C1332" s="19">
        <v>46</v>
      </c>
      <c r="D1332" s="3" t="s">
        <v>496</v>
      </c>
      <c r="E1332" s="3" t="s">
        <v>31</v>
      </c>
      <c r="F1332" s="23">
        <v>94770</v>
      </c>
      <c r="G1332" s="15">
        <v>2006</v>
      </c>
      <c r="H1332" s="15">
        <f>Table_7[[#This Row],[Listing Price (USD)]]/10000</f>
        <v>9.4770000000000003</v>
      </c>
      <c r="I1332" s="28">
        <f>Table_7[[#This Row],[Length 
(ft)]]</f>
        <v>46</v>
      </c>
      <c r="J1332" s="28">
        <f>2020-Table_7[[#This Row],[Year]]</f>
        <v>14</v>
      </c>
      <c r="K1332">
        <v>57472012426.685303</v>
      </c>
      <c r="L1332">
        <v>14198.753959474399</v>
      </c>
      <c r="M1332">
        <v>0.15481137456202801</v>
      </c>
      <c r="N1332">
        <v>-8.5803430210621805</v>
      </c>
      <c r="O1332">
        <v>41.8</v>
      </c>
      <c r="P1332">
        <v>1162</v>
      </c>
      <c r="Q1332">
        <v>55</v>
      </c>
      <c r="R1332">
        <v>14.27</v>
      </c>
    </row>
    <row r="1333" spans="1:18" x14ac:dyDescent="0.25">
      <c r="A1333" s="1" t="s">
        <v>14</v>
      </c>
      <c r="B1333" s="2" t="s">
        <v>33</v>
      </c>
      <c r="C1333" s="19">
        <v>46</v>
      </c>
      <c r="D1333" s="3" t="s">
        <v>496</v>
      </c>
      <c r="E1333" s="3" t="s">
        <v>18</v>
      </c>
      <c r="F1333" s="23">
        <v>96933</v>
      </c>
      <c r="G1333" s="15">
        <v>2005</v>
      </c>
      <c r="H1333" s="15">
        <f>Table_7[[#This Row],[Listing Price (USD)]]/10000</f>
        <v>9.6933000000000007</v>
      </c>
      <c r="I1333" s="28">
        <f>Table_7[[#This Row],[Length 
(ft)]]</f>
        <v>46</v>
      </c>
      <c r="J1333" s="28">
        <f>2020-Table_7[[#This Row],[Year]]</f>
        <v>15</v>
      </c>
      <c r="K1333">
        <v>188925995936.80701</v>
      </c>
      <c r="L1333">
        <v>17658.947301119199</v>
      </c>
      <c r="M1333">
        <v>-1.2479835558140799</v>
      </c>
      <c r="N1333">
        <v>-9.0040436420214593</v>
      </c>
      <c r="O1333">
        <v>41.8</v>
      </c>
      <c r="P1333">
        <v>1162</v>
      </c>
      <c r="Q1333">
        <v>55</v>
      </c>
      <c r="R1333">
        <v>14.27</v>
      </c>
    </row>
    <row r="1334" spans="1:18" x14ac:dyDescent="0.25">
      <c r="A1334" s="1" t="s">
        <v>14</v>
      </c>
      <c r="B1334" s="2" t="s">
        <v>33</v>
      </c>
      <c r="C1334" s="19">
        <v>46</v>
      </c>
      <c r="D1334" s="3" t="s">
        <v>496</v>
      </c>
      <c r="E1334" s="3" t="s">
        <v>18</v>
      </c>
      <c r="F1334" s="23">
        <v>99881</v>
      </c>
      <c r="G1334" s="15">
        <v>2006</v>
      </c>
      <c r="H1334" s="15">
        <f>Table_7[[#This Row],[Listing Price (USD)]]/10000</f>
        <v>9.9880999999999993</v>
      </c>
      <c r="I1334" s="28">
        <f>Table_7[[#This Row],[Length 
(ft)]]</f>
        <v>46</v>
      </c>
      <c r="J1334" s="28">
        <f>2020-Table_7[[#This Row],[Year]]</f>
        <v>14</v>
      </c>
      <c r="K1334">
        <v>188925995936.80701</v>
      </c>
      <c r="L1334">
        <v>17658.947301119199</v>
      </c>
      <c r="M1334">
        <v>-1.2479835558140799</v>
      </c>
      <c r="N1334">
        <v>-9.0040436420214593</v>
      </c>
      <c r="O1334">
        <v>41.8</v>
      </c>
      <c r="P1334">
        <v>1162</v>
      </c>
      <c r="Q1334">
        <v>55</v>
      </c>
      <c r="R1334">
        <v>14.27</v>
      </c>
    </row>
    <row r="1335" spans="1:18" x14ac:dyDescent="0.25">
      <c r="A1335" s="1" t="s">
        <v>14</v>
      </c>
      <c r="B1335" s="2" t="s">
        <v>33</v>
      </c>
      <c r="C1335" s="19">
        <v>46</v>
      </c>
      <c r="D1335" s="3" t="s">
        <v>496</v>
      </c>
      <c r="E1335" s="3" t="s">
        <v>18</v>
      </c>
      <c r="F1335" s="23">
        <v>100820</v>
      </c>
      <c r="G1335" s="15">
        <v>2006</v>
      </c>
      <c r="H1335" s="15">
        <f>Table_7[[#This Row],[Listing Price (USD)]]/10000</f>
        <v>10.082000000000001</v>
      </c>
      <c r="I1335" s="28">
        <f>Table_7[[#This Row],[Length 
(ft)]]</f>
        <v>46</v>
      </c>
      <c r="J1335" s="28">
        <f>2020-Table_7[[#This Row],[Year]]</f>
        <v>14</v>
      </c>
      <c r="K1335">
        <v>188925995936.80701</v>
      </c>
      <c r="L1335">
        <v>17658.947301119199</v>
      </c>
      <c r="M1335">
        <v>-1.2479835558140799</v>
      </c>
      <c r="N1335">
        <v>-9.0040436420214593</v>
      </c>
      <c r="O1335">
        <v>41.8</v>
      </c>
      <c r="P1335">
        <v>1162</v>
      </c>
      <c r="Q1335">
        <v>55</v>
      </c>
      <c r="R1335">
        <v>14.27</v>
      </c>
    </row>
    <row r="1336" spans="1:18" x14ac:dyDescent="0.25">
      <c r="A1336" s="1" t="s">
        <v>14</v>
      </c>
      <c r="B1336" s="2" t="s">
        <v>33</v>
      </c>
      <c r="C1336" s="19">
        <v>46</v>
      </c>
      <c r="D1336" s="3" t="s">
        <v>496</v>
      </c>
      <c r="E1336" s="3" t="s">
        <v>31</v>
      </c>
      <c r="F1336" s="23">
        <v>101063</v>
      </c>
      <c r="G1336" s="15">
        <v>2005</v>
      </c>
      <c r="H1336" s="15">
        <f>Table_7[[#This Row],[Listing Price (USD)]]/10000</f>
        <v>10.106299999999999</v>
      </c>
      <c r="I1336" s="28">
        <f>Table_7[[#This Row],[Length 
(ft)]]</f>
        <v>46</v>
      </c>
      <c r="J1336" s="28">
        <f>2020-Table_7[[#This Row],[Year]]</f>
        <v>15</v>
      </c>
      <c r="K1336">
        <v>57472012426.685303</v>
      </c>
      <c r="L1336">
        <v>14198.753959474399</v>
      </c>
      <c r="M1336">
        <v>0.15481137456202801</v>
      </c>
      <c r="N1336">
        <v>-8.5803430210621805</v>
      </c>
      <c r="O1336">
        <v>41.8</v>
      </c>
      <c r="P1336">
        <v>1162</v>
      </c>
      <c r="Q1336">
        <v>55</v>
      </c>
      <c r="R1336">
        <v>14.27</v>
      </c>
    </row>
    <row r="1337" spans="1:18" x14ac:dyDescent="0.25">
      <c r="A1337" s="1" t="s">
        <v>14</v>
      </c>
      <c r="B1337" s="2" t="s">
        <v>33</v>
      </c>
      <c r="C1337" s="19">
        <v>46</v>
      </c>
      <c r="D1337" s="3" t="s">
        <v>496</v>
      </c>
      <c r="E1337" s="3" t="s">
        <v>18</v>
      </c>
      <c r="F1337" s="23">
        <v>102034</v>
      </c>
      <c r="G1337" s="15">
        <v>2006</v>
      </c>
      <c r="H1337" s="15">
        <f>Table_7[[#This Row],[Listing Price (USD)]]/10000</f>
        <v>10.2034</v>
      </c>
      <c r="I1337" s="28">
        <f>Table_7[[#This Row],[Length 
(ft)]]</f>
        <v>46</v>
      </c>
      <c r="J1337" s="28">
        <f>2020-Table_7[[#This Row],[Year]]</f>
        <v>14</v>
      </c>
      <c r="K1337">
        <v>188925995936.80701</v>
      </c>
      <c r="L1337">
        <v>17658.947301119199</v>
      </c>
      <c r="M1337">
        <v>-1.2479835558140799</v>
      </c>
      <c r="N1337">
        <v>-9.0040436420214593</v>
      </c>
      <c r="O1337">
        <v>41.8</v>
      </c>
      <c r="P1337">
        <v>1162</v>
      </c>
      <c r="Q1337">
        <v>55</v>
      </c>
      <c r="R1337">
        <v>14.27</v>
      </c>
    </row>
    <row r="1338" spans="1:18" x14ac:dyDescent="0.25">
      <c r="A1338" s="1" t="s">
        <v>14</v>
      </c>
      <c r="B1338" s="2" t="s">
        <v>33</v>
      </c>
      <c r="C1338" s="19">
        <v>46</v>
      </c>
      <c r="D1338" s="3" t="s">
        <v>496</v>
      </c>
      <c r="E1338" s="3" t="s">
        <v>18</v>
      </c>
      <c r="F1338" s="23">
        <v>103188</v>
      </c>
      <c r="G1338" s="15">
        <v>2006</v>
      </c>
      <c r="H1338" s="15">
        <f>Table_7[[#This Row],[Listing Price (USD)]]/10000</f>
        <v>10.3188</v>
      </c>
      <c r="I1338" s="28">
        <f>Table_7[[#This Row],[Length 
(ft)]]</f>
        <v>46</v>
      </c>
      <c r="J1338" s="28">
        <f>2020-Table_7[[#This Row],[Year]]</f>
        <v>14</v>
      </c>
      <c r="K1338">
        <v>188925995936.80701</v>
      </c>
      <c r="L1338">
        <v>17658.947301119199</v>
      </c>
      <c r="M1338">
        <v>-1.2479835558140799</v>
      </c>
      <c r="N1338">
        <v>-9.0040436420214593</v>
      </c>
      <c r="O1338">
        <v>41.8</v>
      </c>
      <c r="P1338">
        <v>1162</v>
      </c>
      <c r="Q1338">
        <v>55</v>
      </c>
      <c r="R1338">
        <v>14.27</v>
      </c>
    </row>
    <row r="1339" spans="1:18" x14ac:dyDescent="0.25">
      <c r="A1339" s="1" t="s">
        <v>14</v>
      </c>
      <c r="B1339" s="2" t="s">
        <v>33</v>
      </c>
      <c r="C1339" s="19">
        <v>46</v>
      </c>
      <c r="D1339" s="3" t="s">
        <v>496</v>
      </c>
      <c r="E1339" s="3" t="s">
        <v>18</v>
      </c>
      <c r="F1339" s="23">
        <v>103249</v>
      </c>
      <c r="G1339" s="15">
        <v>2008</v>
      </c>
      <c r="H1339" s="15">
        <f>Table_7[[#This Row],[Listing Price (USD)]]/10000</f>
        <v>10.3249</v>
      </c>
      <c r="I1339" s="28">
        <f>Table_7[[#This Row],[Length 
(ft)]]</f>
        <v>46</v>
      </c>
      <c r="J1339" s="28">
        <f>2020-Table_7[[#This Row],[Year]]</f>
        <v>12</v>
      </c>
      <c r="K1339">
        <v>188925995936.80701</v>
      </c>
      <c r="L1339">
        <v>17658.947301119199</v>
      </c>
      <c r="M1339">
        <v>-1.2479835558140799</v>
      </c>
      <c r="N1339">
        <v>-9.0040436420214593</v>
      </c>
      <c r="O1339">
        <v>41.8</v>
      </c>
      <c r="P1339">
        <v>1162</v>
      </c>
      <c r="Q1339">
        <v>55</v>
      </c>
      <c r="R1339">
        <v>14.27</v>
      </c>
    </row>
    <row r="1340" spans="1:18" x14ac:dyDescent="0.25">
      <c r="A1340" s="1" t="s">
        <v>14</v>
      </c>
      <c r="B1340" s="2" t="s">
        <v>33</v>
      </c>
      <c r="C1340" s="19">
        <v>46</v>
      </c>
      <c r="D1340" s="3" t="s">
        <v>496</v>
      </c>
      <c r="E1340" s="3" t="s">
        <v>24</v>
      </c>
      <c r="F1340" s="23">
        <v>103249</v>
      </c>
      <c r="G1340" s="15">
        <v>2005</v>
      </c>
      <c r="H1340" s="15">
        <f>Table_7[[#This Row],[Listing Price (USD)]]/10000</f>
        <v>10.3249</v>
      </c>
      <c r="I1340" s="28">
        <f>Table_7[[#This Row],[Length 
(ft)]]</f>
        <v>46</v>
      </c>
      <c r="J1340" s="28">
        <f>2020-Table_7[[#This Row],[Year]]</f>
        <v>15</v>
      </c>
      <c r="K1340">
        <v>1896755301518.1399</v>
      </c>
      <c r="L1340">
        <v>31911.0357890017</v>
      </c>
      <c r="M1340">
        <v>-0.13770757391656999</v>
      </c>
      <c r="N1340">
        <v>-9.0399534112288507</v>
      </c>
      <c r="O1340">
        <v>41.8</v>
      </c>
      <c r="P1340">
        <v>1162</v>
      </c>
      <c r="Q1340">
        <v>55</v>
      </c>
      <c r="R1340">
        <v>14.27</v>
      </c>
    </row>
    <row r="1341" spans="1:18" x14ac:dyDescent="0.25">
      <c r="A1341" s="1" t="s">
        <v>14</v>
      </c>
      <c r="B1341" s="2" t="s">
        <v>33</v>
      </c>
      <c r="C1341" s="19">
        <v>46</v>
      </c>
      <c r="D1341" s="3" t="s">
        <v>496</v>
      </c>
      <c r="E1341" s="3" t="s">
        <v>18</v>
      </c>
      <c r="F1341" s="23">
        <v>103253</v>
      </c>
      <c r="G1341" s="15">
        <v>2005</v>
      </c>
      <c r="H1341" s="15">
        <f>Table_7[[#This Row],[Listing Price (USD)]]/10000</f>
        <v>10.3253</v>
      </c>
      <c r="I1341" s="28">
        <f>Table_7[[#This Row],[Length 
(ft)]]</f>
        <v>46</v>
      </c>
      <c r="J1341" s="28">
        <f>2020-Table_7[[#This Row],[Year]]</f>
        <v>15</v>
      </c>
      <c r="K1341">
        <v>188925995936.80701</v>
      </c>
      <c r="L1341">
        <v>17658.947301119199</v>
      </c>
      <c r="M1341">
        <v>-1.2479835558140799</v>
      </c>
      <c r="N1341">
        <v>-9.0040436420214593</v>
      </c>
      <c r="O1341">
        <v>41.8</v>
      </c>
      <c r="P1341">
        <v>1162</v>
      </c>
      <c r="Q1341">
        <v>55</v>
      </c>
      <c r="R1341">
        <v>14.27</v>
      </c>
    </row>
    <row r="1342" spans="1:18" x14ac:dyDescent="0.25">
      <c r="A1342" s="1" t="s">
        <v>14</v>
      </c>
      <c r="B1342" s="2" t="s">
        <v>33</v>
      </c>
      <c r="C1342" s="19">
        <v>46</v>
      </c>
      <c r="D1342" s="3" t="s">
        <v>496</v>
      </c>
      <c r="E1342" s="3" t="s">
        <v>18</v>
      </c>
      <c r="F1342" s="23">
        <v>105705</v>
      </c>
      <c r="G1342" s="15">
        <v>2007</v>
      </c>
      <c r="H1342" s="15">
        <f>Table_7[[#This Row],[Listing Price (USD)]]/10000</f>
        <v>10.570499999999999</v>
      </c>
      <c r="I1342" s="28">
        <f>Table_7[[#This Row],[Length 
(ft)]]</f>
        <v>46</v>
      </c>
      <c r="J1342" s="28">
        <f>2020-Table_7[[#This Row],[Year]]</f>
        <v>13</v>
      </c>
      <c r="K1342">
        <v>188925995936.80701</v>
      </c>
      <c r="L1342">
        <v>17658.947301119199</v>
      </c>
      <c r="M1342">
        <v>-1.2479835558140799</v>
      </c>
      <c r="N1342">
        <v>-9.0040436420214593</v>
      </c>
      <c r="O1342">
        <v>41.8</v>
      </c>
      <c r="P1342">
        <v>1162</v>
      </c>
      <c r="Q1342">
        <v>55</v>
      </c>
      <c r="R1342">
        <v>14.27</v>
      </c>
    </row>
    <row r="1343" spans="1:18" x14ac:dyDescent="0.25">
      <c r="A1343" s="1" t="s">
        <v>14</v>
      </c>
      <c r="B1343" s="2" t="s">
        <v>33</v>
      </c>
      <c r="C1343" s="19">
        <v>46</v>
      </c>
      <c r="D1343" s="3" t="s">
        <v>496</v>
      </c>
      <c r="E1343" s="3" t="s">
        <v>18</v>
      </c>
      <c r="F1343" s="23">
        <v>105705</v>
      </c>
      <c r="G1343" s="15">
        <v>2005</v>
      </c>
      <c r="H1343" s="15">
        <f>Table_7[[#This Row],[Listing Price (USD)]]/10000</f>
        <v>10.570499999999999</v>
      </c>
      <c r="I1343" s="28">
        <f>Table_7[[#This Row],[Length 
(ft)]]</f>
        <v>46</v>
      </c>
      <c r="J1343" s="28">
        <f>2020-Table_7[[#This Row],[Year]]</f>
        <v>15</v>
      </c>
      <c r="K1343">
        <v>188925995936.80701</v>
      </c>
      <c r="L1343">
        <v>17658.947301119199</v>
      </c>
      <c r="M1343">
        <v>-1.2479835558140799</v>
      </c>
      <c r="N1343">
        <v>-9.0040436420214593</v>
      </c>
      <c r="O1343">
        <v>41.8</v>
      </c>
      <c r="P1343">
        <v>1162</v>
      </c>
      <c r="Q1343">
        <v>55</v>
      </c>
      <c r="R1343">
        <v>14.27</v>
      </c>
    </row>
    <row r="1344" spans="1:18" x14ac:dyDescent="0.25">
      <c r="A1344" s="1" t="s">
        <v>14</v>
      </c>
      <c r="B1344" s="2" t="s">
        <v>33</v>
      </c>
      <c r="C1344" s="19">
        <v>46</v>
      </c>
      <c r="D1344" s="3" t="s">
        <v>496</v>
      </c>
      <c r="E1344" s="3" t="s">
        <v>18</v>
      </c>
      <c r="F1344" s="23">
        <v>108112</v>
      </c>
      <c r="G1344" s="15">
        <v>2006</v>
      </c>
      <c r="H1344" s="15">
        <f>Table_7[[#This Row],[Listing Price (USD)]]/10000</f>
        <v>10.811199999999999</v>
      </c>
      <c r="I1344" s="28">
        <f>Table_7[[#This Row],[Length 
(ft)]]</f>
        <v>46</v>
      </c>
      <c r="J1344" s="28">
        <f>2020-Table_7[[#This Row],[Year]]</f>
        <v>14</v>
      </c>
      <c r="K1344">
        <v>188925995936.80701</v>
      </c>
      <c r="L1344">
        <v>17658.947301119199</v>
      </c>
      <c r="M1344">
        <v>-1.2479835558140799</v>
      </c>
      <c r="N1344">
        <v>-9.0040436420214593</v>
      </c>
      <c r="O1344">
        <v>41.8</v>
      </c>
      <c r="P1344">
        <v>1162</v>
      </c>
      <c r="Q1344">
        <v>55</v>
      </c>
      <c r="R1344">
        <v>14.27</v>
      </c>
    </row>
    <row r="1345" spans="1:18" x14ac:dyDescent="0.25">
      <c r="A1345" s="1" t="s">
        <v>14</v>
      </c>
      <c r="B1345" s="2" t="s">
        <v>33</v>
      </c>
      <c r="C1345" s="19">
        <v>46</v>
      </c>
      <c r="D1345" s="3" t="s">
        <v>496</v>
      </c>
      <c r="E1345" s="3" t="s">
        <v>24</v>
      </c>
      <c r="F1345" s="23">
        <v>109323</v>
      </c>
      <c r="G1345" s="15">
        <v>2008</v>
      </c>
      <c r="H1345" s="15">
        <f>Table_7[[#This Row],[Listing Price (USD)]]/10000</f>
        <v>10.9323</v>
      </c>
      <c r="I1345" s="28">
        <f>Table_7[[#This Row],[Length 
(ft)]]</f>
        <v>46</v>
      </c>
      <c r="J1345" s="28">
        <f>2020-Table_7[[#This Row],[Year]]</f>
        <v>12</v>
      </c>
      <c r="K1345">
        <v>1896755301518.1399</v>
      </c>
      <c r="L1345">
        <v>31911.0357890017</v>
      </c>
      <c r="M1345">
        <v>-0.13770757391656999</v>
      </c>
      <c r="N1345">
        <v>-9.0399534112288507</v>
      </c>
      <c r="O1345">
        <v>41.8</v>
      </c>
      <c r="P1345">
        <v>1162</v>
      </c>
      <c r="Q1345">
        <v>55</v>
      </c>
      <c r="R1345">
        <v>14.27</v>
      </c>
    </row>
    <row r="1346" spans="1:18" x14ac:dyDescent="0.25">
      <c r="A1346" s="1" t="s">
        <v>14</v>
      </c>
      <c r="B1346" s="2" t="s">
        <v>33</v>
      </c>
      <c r="C1346" s="19">
        <v>46</v>
      </c>
      <c r="D1346" s="3" t="s">
        <v>496</v>
      </c>
      <c r="E1346" s="3" t="s">
        <v>18</v>
      </c>
      <c r="F1346" s="23">
        <v>109327</v>
      </c>
      <c r="G1346" s="15">
        <v>2008</v>
      </c>
      <c r="H1346" s="15">
        <f>Table_7[[#This Row],[Listing Price (USD)]]/10000</f>
        <v>10.932700000000001</v>
      </c>
      <c r="I1346" s="28">
        <f>Table_7[[#This Row],[Length 
(ft)]]</f>
        <v>46</v>
      </c>
      <c r="J1346" s="28">
        <f>2020-Table_7[[#This Row],[Year]]</f>
        <v>12</v>
      </c>
      <c r="K1346">
        <v>188925995936.80701</v>
      </c>
      <c r="L1346">
        <v>17658.947301119199</v>
      </c>
      <c r="M1346">
        <v>-1.2479835558140799</v>
      </c>
      <c r="N1346">
        <v>-9.0040436420214593</v>
      </c>
      <c r="O1346">
        <v>41.8</v>
      </c>
      <c r="P1346">
        <v>1162</v>
      </c>
      <c r="Q1346">
        <v>55</v>
      </c>
      <c r="R1346">
        <v>14.27</v>
      </c>
    </row>
    <row r="1347" spans="1:18" x14ac:dyDescent="0.25">
      <c r="A1347" s="1" t="s">
        <v>14</v>
      </c>
      <c r="B1347" s="2" t="s">
        <v>33</v>
      </c>
      <c r="C1347" s="19">
        <v>46</v>
      </c>
      <c r="D1347" s="3" t="s">
        <v>496</v>
      </c>
      <c r="E1347" s="3" t="s">
        <v>24</v>
      </c>
      <c r="F1347" s="23">
        <v>109327</v>
      </c>
      <c r="G1347" s="15">
        <v>2008</v>
      </c>
      <c r="H1347" s="15">
        <f>Table_7[[#This Row],[Listing Price (USD)]]/10000</f>
        <v>10.932700000000001</v>
      </c>
      <c r="I1347" s="28">
        <f>Table_7[[#This Row],[Length 
(ft)]]</f>
        <v>46</v>
      </c>
      <c r="J1347" s="28">
        <f>2020-Table_7[[#This Row],[Year]]</f>
        <v>12</v>
      </c>
      <c r="K1347">
        <v>1896755301518.1399</v>
      </c>
      <c r="L1347">
        <v>31911.0357890017</v>
      </c>
      <c r="M1347">
        <v>-0.13770757391656999</v>
      </c>
      <c r="N1347">
        <v>-9.0399534112288507</v>
      </c>
      <c r="O1347">
        <v>41.8</v>
      </c>
      <c r="P1347">
        <v>1162</v>
      </c>
      <c r="Q1347">
        <v>55</v>
      </c>
      <c r="R1347">
        <v>14.27</v>
      </c>
    </row>
    <row r="1348" spans="1:18" x14ac:dyDescent="0.25">
      <c r="A1348" s="1" t="s">
        <v>14</v>
      </c>
      <c r="B1348" s="2" t="s">
        <v>33</v>
      </c>
      <c r="C1348" s="19">
        <v>46</v>
      </c>
      <c r="D1348" s="3" t="s">
        <v>496</v>
      </c>
      <c r="E1348" s="3" t="s">
        <v>18</v>
      </c>
      <c r="F1348" s="23">
        <v>109338</v>
      </c>
      <c r="G1348" s="15">
        <v>2005</v>
      </c>
      <c r="H1348" s="15">
        <f>Table_7[[#This Row],[Listing Price (USD)]]/10000</f>
        <v>10.9338</v>
      </c>
      <c r="I1348" s="28">
        <f>Table_7[[#This Row],[Length 
(ft)]]</f>
        <v>46</v>
      </c>
      <c r="J1348" s="28">
        <f>2020-Table_7[[#This Row],[Year]]</f>
        <v>15</v>
      </c>
      <c r="K1348">
        <v>188925995936.80701</v>
      </c>
      <c r="L1348">
        <v>17658.947301119199</v>
      </c>
      <c r="M1348">
        <v>-1.2479835558140799</v>
      </c>
      <c r="N1348">
        <v>-9.0040436420214593</v>
      </c>
      <c r="O1348">
        <v>41.8</v>
      </c>
      <c r="P1348">
        <v>1162</v>
      </c>
      <c r="Q1348">
        <v>55</v>
      </c>
      <c r="R1348">
        <v>14.27</v>
      </c>
    </row>
    <row r="1349" spans="1:18" x14ac:dyDescent="0.25">
      <c r="A1349" s="1" t="s">
        <v>14</v>
      </c>
      <c r="B1349" s="2" t="s">
        <v>33</v>
      </c>
      <c r="C1349" s="19">
        <v>46</v>
      </c>
      <c r="D1349" s="3" t="s">
        <v>496</v>
      </c>
      <c r="E1349" s="3" t="s">
        <v>18</v>
      </c>
      <c r="F1349" s="23">
        <v>109350</v>
      </c>
      <c r="G1349" s="15">
        <v>2006</v>
      </c>
      <c r="H1349" s="15">
        <f>Table_7[[#This Row],[Listing Price (USD)]]/10000</f>
        <v>10.935</v>
      </c>
      <c r="I1349" s="28">
        <f>Table_7[[#This Row],[Length 
(ft)]]</f>
        <v>46</v>
      </c>
      <c r="J1349" s="28">
        <f>2020-Table_7[[#This Row],[Year]]</f>
        <v>14</v>
      </c>
      <c r="K1349">
        <v>188925995936.80701</v>
      </c>
      <c r="L1349">
        <v>17658.947301119199</v>
      </c>
      <c r="M1349">
        <v>-1.2479835558140799</v>
      </c>
      <c r="N1349">
        <v>-9.0040436420214593</v>
      </c>
      <c r="O1349">
        <v>41.8</v>
      </c>
      <c r="P1349">
        <v>1162</v>
      </c>
      <c r="Q1349">
        <v>55</v>
      </c>
      <c r="R1349">
        <v>14.27</v>
      </c>
    </row>
    <row r="1350" spans="1:18" x14ac:dyDescent="0.25">
      <c r="A1350" s="1" t="s">
        <v>14</v>
      </c>
      <c r="B1350" s="2" t="s">
        <v>33</v>
      </c>
      <c r="C1350" s="19">
        <v>46</v>
      </c>
      <c r="D1350" s="3" t="s">
        <v>496</v>
      </c>
      <c r="E1350" s="3" t="s">
        <v>24</v>
      </c>
      <c r="F1350" s="23">
        <v>115396</v>
      </c>
      <c r="G1350" s="15">
        <v>2007</v>
      </c>
      <c r="H1350" s="15">
        <f>Table_7[[#This Row],[Listing Price (USD)]]/10000</f>
        <v>11.5396</v>
      </c>
      <c r="I1350" s="28">
        <f>Table_7[[#This Row],[Length 
(ft)]]</f>
        <v>46</v>
      </c>
      <c r="J1350" s="28">
        <f>2020-Table_7[[#This Row],[Year]]</f>
        <v>13</v>
      </c>
      <c r="K1350">
        <v>1896755301518.1399</v>
      </c>
      <c r="L1350">
        <v>31911.0357890017</v>
      </c>
      <c r="M1350">
        <v>-0.13770757391656999</v>
      </c>
      <c r="N1350">
        <v>-9.0399534112288507</v>
      </c>
      <c r="O1350">
        <v>41.8</v>
      </c>
      <c r="P1350">
        <v>1162</v>
      </c>
      <c r="Q1350">
        <v>55</v>
      </c>
      <c r="R1350">
        <v>14.27</v>
      </c>
    </row>
    <row r="1351" spans="1:18" x14ac:dyDescent="0.25">
      <c r="A1351" s="1" t="s">
        <v>14</v>
      </c>
      <c r="B1351" s="2" t="s">
        <v>33</v>
      </c>
      <c r="C1351" s="19">
        <v>46</v>
      </c>
      <c r="D1351" s="3" t="s">
        <v>496</v>
      </c>
      <c r="E1351" s="3" t="s">
        <v>24</v>
      </c>
      <c r="F1351" s="23">
        <v>115396</v>
      </c>
      <c r="G1351" s="15">
        <v>2005</v>
      </c>
      <c r="H1351" s="15">
        <f>Table_7[[#This Row],[Listing Price (USD)]]/10000</f>
        <v>11.5396</v>
      </c>
      <c r="I1351" s="28">
        <f>Table_7[[#This Row],[Length 
(ft)]]</f>
        <v>46</v>
      </c>
      <c r="J1351" s="28">
        <f>2020-Table_7[[#This Row],[Year]]</f>
        <v>15</v>
      </c>
      <c r="K1351">
        <v>1896755301518.1399</v>
      </c>
      <c r="L1351">
        <v>31911.0357890017</v>
      </c>
      <c r="M1351">
        <v>-0.13770757391656999</v>
      </c>
      <c r="N1351">
        <v>-9.0399534112288507</v>
      </c>
      <c r="O1351">
        <v>41.8</v>
      </c>
      <c r="P1351">
        <v>1162</v>
      </c>
      <c r="Q1351">
        <v>55</v>
      </c>
      <c r="R1351">
        <v>14.27</v>
      </c>
    </row>
    <row r="1352" spans="1:18" x14ac:dyDescent="0.25">
      <c r="A1352" s="1" t="s">
        <v>14</v>
      </c>
      <c r="B1352" s="2" t="s">
        <v>33</v>
      </c>
      <c r="C1352" s="19">
        <v>46</v>
      </c>
      <c r="D1352" s="3" t="s">
        <v>496</v>
      </c>
      <c r="E1352" s="3" t="s">
        <v>31</v>
      </c>
      <c r="F1352" s="23">
        <v>117826</v>
      </c>
      <c r="G1352" s="15">
        <v>2008</v>
      </c>
      <c r="H1352" s="15">
        <f>Table_7[[#This Row],[Listing Price (USD)]]/10000</f>
        <v>11.7826</v>
      </c>
      <c r="I1352" s="28">
        <f>Table_7[[#This Row],[Length 
(ft)]]</f>
        <v>46</v>
      </c>
      <c r="J1352" s="28">
        <f>2020-Table_7[[#This Row],[Year]]</f>
        <v>12</v>
      </c>
      <c r="K1352">
        <v>57472012426.685303</v>
      </c>
      <c r="L1352">
        <v>14198.753959474399</v>
      </c>
      <c r="M1352">
        <v>0.15481137456202801</v>
      </c>
      <c r="N1352">
        <v>-8.5803430210621805</v>
      </c>
      <c r="O1352">
        <v>41.8</v>
      </c>
      <c r="P1352">
        <v>1162</v>
      </c>
      <c r="Q1352">
        <v>55</v>
      </c>
      <c r="R1352">
        <v>14.27</v>
      </c>
    </row>
    <row r="1353" spans="1:18" x14ac:dyDescent="0.25">
      <c r="A1353" s="1" t="s">
        <v>14</v>
      </c>
      <c r="B1353" s="2" t="s">
        <v>33</v>
      </c>
      <c r="C1353" s="19">
        <v>46</v>
      </c>
      <c r="D1353" s="3" t="s">
        <v>496</v>
      </c>
      <c r="E1353" s="3" t="s">
        <v>31</v>
      </c>
      <c r="F1353" s="23">
        <v>120862</v>
      </c>
      <c r="G1353" s="15">
        <v>2008</v>
      </c>
      <c r="H1353" s="15">
        <f>Table_7[[#This Row],[Listing Price (USD)]]/10000</f>
        <v>12.0862</v>
      </c>
      <c r="I1353" s="28">
        <f>Table_7[[#This Row],[Length 
(ft)]]</f>
        <v>46</v>
      </c>
      <c r="J1353" s="28">
        <f>2020-Table_7[[#This Row],[Year]]</f>
        <v>12</v>
      </c>
      <c r="K1353">
        <v>57472012426.685303</v>
      </c>
      <c r="L1353">
        <v>14198.753959474399</v>
      </c>
      <c r="M1353">
        <v>0.15481137456202801</v>
      </c>
      <c r="N1353">
        <v>-8.5803430210621805</v>
      </c>
      <c r="O1353">
        <v>41.8</v>
      </c>
      <c r="P1353">
        <v>1162</v>
      </c>
      <c r="Q1353">
        <v>55</v>
      </c>
      <c r="R1353">
        <v>14.27</v>
      </c>
    </row>
    <row r="1354" spans="1:18" x14ac:dyDescent="0.25">
      <c r="A1354" s="1" t="s">
        <v>14</v>
      </c>
      <c r="B1354" s="2" t="s">
        <v>33</v>
      </c>
      <c r="C1354" s="19">
        <v>46</v>
      </c>
      <c r="D1354" s="3" t="s">
        <v>496</v>
      </c>
      <c r="E1354" s="3" t="s">
        <v>18</v>
      </c>
      <c r="F1354" s="23">
        <v>127548</v>
      </c>
      <c r="G1354" s="15">
        <v>2006</v>
      </c>
      <c r="H1354" s="15">
        <f>Table_7[[#This Row],[Listing Price (USD)]]/10000</f>
        <v>12.754799999999999</v>
      </c>
      <c r="I1354" s="28">
        <f>Table_7[[#This Row],[Length 
(ft)]]</f>
        <v>46</v>
      </c>
      <c r="J1354" s="28">
        <f>2020-Table_7[[#This Row],[Year]]</f>
        <v>14</v>
      </c>
      <c r="K1354">
        <v>188925995936.80701</v>
      </c>
      <c r="L1354">
        <v>17658.947301119199</v>
      </c>
      <c r="M1354">
        <v>-1.2479835558140799</v>
      </c>
      <c r="N1354">
        <v>-9.0040436420214593</v>
      </c>
      <c r="O1354">
        <v>41.8</v>
      </c>
      <c r="P1354">
        <v>1162</v>
      </c>
      <c r="Q1354">
        <v>55</v>
      </c>
      <c r="R1354">
        <v>14.27</v>
      </c>
    </row>
    <row r="1355" spans="1:18" x14ac:dyDescent="0.25">
      <c r="A1355" s="1" t="s">
        <v>14</v>
      </c>
      <c r="B1355" s="2" t="s">
        <v>33</v>
      </c>
      <c r="C1355" s="19">
        <v>46</v>
      </c>
      <c r="D1355" s="3" t="s">
        <v>496</v>
      </c>
      <c r="E1355" s="3" t="s">
        <v>18</v>
      </c>
      <c r="F1355" s="23">
        <v>129000</v>
      </c>
      <c r="G1355" s="15">
        <v>2006</v>
      </c>
      <c r="H1355" s="15">
        <f>Table_7[[#This Row],[Listing Price (USD)]]/10000</f>
        <v>12.9</v>
      </c>
      <c r="I1355" s="28">
        <f>Table_7[[#This Row],[Length 
(ft)]]</f>
        <v>46</v>
      </c>
      <c r="J1355" s="28">
        <f>2020-Table_7[[#This Row],[Year]]</f>
        <v>14</v>
      </c>
      <c r="K1355">
        <v>188925995936.80701</v>
      </c>
      <c r="L1355">
        <v>17658.947301119199</v>
      </c>
      <c r="M1355">
        <v>-1.2479835558140799</v>
      </c>
      <c r="N1355">
        <v>-9.0040436420214593</v>
      </c>
      <c r="O1355">
        <v>41.8</v>
      </c>
      <c r="P1355">
        <v>1162</v>
      </c>
      <c r="Q1355">
        <v>55</v>
      </c>
      <c r="R1355">
        <v>14.27</v>
      </c>
    </row>
    <row r="1356" spans="1:18" x14ac:dyDescent="0.25">
      <c r="A1356" s="1" t="s">
        <v>14</v>
      </c>
      <c r="B1356" s="2" t="s">
        <v>33</v>
      </c>
      <c r="C1356" s="19">
        <v>46</v>
      </c>
      <c r="D1356" s="3" t="s">
        <v>496</v>
      </c>
      <c r="E1356" s="3" t="s">
        <v>31</v>
      </c>
      <c r="F1356" s="23">
        <v>131795</v>
      </c>
      <c r="G1356" s="15">
        <v>2007</v>
      </c>
      <c r="H1356" s="15">
        <f>Table_7[[#This Row],[Listing Price (USD)]]/10000</f>
        <v>13.179500000000001</v>
      </c>
      <c r="I1356" s="28">
        <f>Table_7[[#This Row],[Length 
(ft)]]</f>
        <v>46</v>
      </c>
      <c r="J1356" s="28">
        <f>2020-Table_7[[#This Row],[Year]]</f>
        <v>13</v>
      </c>
      <c r="K1356">
        <v>57472012426.685303</v>
      </c>
      <c r="L1356">
        <v>14198.753959474399</v>
      </c>
      <c r="M1356">
        <v>0.15481137456202801</v>
      </c>
      <c r="N1356">
        <v>-8.5803430210621805</v>
      </c>
      <c r="O1356">
        <v>41.8</v>
      </c>
      <c r="P1356">
        <v>1162</v>
      </c>
      <c r="Q1356">
        <v>55</v>
      </c>
      <c r="R1356">
        <v>14.27</v>
      </c>
    </row>
    <row r="1357" spans="1:18" x14ac:dyDescent="0.25">
      <c r="A1357" s="1" t="s">
        <v>14</v>
      </c>
      <c r="B1357" s="2" t="s">
        <v>33</v>
      </c>
      <c r="C1357" s="19">
        <v>46</v>
      </c>
      <c r="D1357" s="3" t="s">
        <v>496</v>
      </c>
      <c r="E1357" s="3" t="s">
        <v>31</v>
      </c>
      <c r="F1357" s="23">
        <v>133009</v>
      </c>
      <c r="G1357" s="15">
        <v>2007</v>
      </c>
      <c r="H1357" s="15">
        <f>Table_7[[#This Row],[Listing Price (USD)]]/10000</f>
        <v>13.3009</v>
      </c>
      <c r="I1357" s="28">
        <f>Table_7[[#This Row],[Length 
(ft)]]</f>
        <v>46</v>
      </c>
      <c r="J1357" s="28">
        <f>2020-Table_7[[#This Row],[Year]]</f>
        <v>13</v>
      </c>
      <c r="K1357">
        <v>57472012426.685303</v>
      </c>
      <c r="L1357">
        <v>14198.753959474399</v>
      </c>
      <c r="M1357">
        <v>0.15481137456202801</v>
      </c>
      <c r="N1357">
        <v>-8.5803430210621805</v>
      </c>
      <c r="O1357">
        <v>41.8</v>
      </c>
      <c r="P1357">
        <v>1162</v>
      </c>
      <c r="Q1357">
        <v>55</v>
      </c>
      <c r="R1357">
        <v>14.27</v>
      </c>
    </row>
    <row r="1358" spans="1:18" x14ac:dyDescent="0.25">
      <c r="A1358" s="1" t="s">
        <v>14</v>
      </c>
      <c r="B1358" s="2" t="s">
        <v>33</v>
      </c>
      <c r="C1358" s="19">
        <v>46</v>
      </c>
      <c r="D1358" s="3" t="s">
        <v>496</v>
      </c>
      <c r="E1358" s="3" t="s">
        <v>516</v>
      </c>
      <c r="F1358" s="23">
        <v>133015</v>
      </c>
      <c r="G1358" s="15">
        <v>2005</v>
      </c>
      <c r="H1358" s="15">
        <f>Table_7[[#This Row],[Listing Price (USD)]]/10000</f>
        <v>13.301500000000001</v>
      </c>
      <c r="I1358" s="28">
        <f>Table_7[[#This Row],[Length 
(ft)]]</f>
        <v>46</v>
      </c>
      <c r="J1358" s="28">
        <f>2020-Table_7[[#This Row],[Year]]</f>
        <v>15</v>
      </c>
      <c r="K1358">
        <v>909793466661.48096</v>
      </c>
      <c r="L1358">
        <v>52162.570115040602</v>
      </c>
      <c r="M1358">
        <v>1.2724603778917001</v>
      </c>
      <c r="N1358">
        <v>-3.88608391819609</v>
      </c>
      <c r="O1358">
        <v>41.8</v>
      </c>
      <c r="P1358">
        <v>1162</v>
      </c>
      <c r="Q1358">
        <v>55</v>
      </c>
      <c r="R1358">
        <v>14.27</v>
      </c>
    </row>
    <row r="1359" spans="1:18" x14ac:dyDescent="0.25">
      <c r="A1359" s="1" t="s">
        <v>14</v>
      </c>
      <c r="B1359" s="2" t="s">
        <v>33</v>
      </c>
      <c r="C1359" s="19">
        <v>46</v>
      </c>
      <c r="D1359" s="3" t="s">
        <v>496</v>
      </c>
      <c r="E1359" s="3" t="s">
        <v>63</v>
      </c>
      <c r="F1359" s="23">
        <v>133622</v>
      </c>
      <c r="G1359" s="15">
        <v>2008</v>
      </c>
      <c r="H1359" s="15">
        <f>Table_7[[#This Row],[Listing Price (USD)]]/10000</f>
        <v>13.3622</v>
      </c>
      <c r="I1359" s="28">
        <f>Table_7[[#This Row],[Length 
(ft)]]</f>
        <v>46</v>
      </c>
      <c r="J1359" s="28">
        <f>2020-Table_7[[#This Row],[Year]]</f>
        <v>12</v>
      </c>
      <c r="K1359">
        <v>720290000000</v>
      </c>
      <c r="L1359">
        <v>13341.6</v>
      </c>
      <c r="M1359">
        <v>13</v>
      </c>
      <c r="N1359">
        <v>-3</v>
      </c>
      <c r="O1359">
        <v>41.8</v>
      </c>
      <c r="P1359">
        <v>1162.002</v>
      </c>
      <c r="Q1359">
        <v>55</v>
      </c>
      <c r="R1359">
        <v>14.27</v>
      </c>
    </row>
    <row r="1360" spans="1:18" x14ac:dyDescent="0.25">
      <c r="A1360" s="1" t="s">
        <v>14</v>
      </c>
      <c r="B1360" s="2" t="s">
        <v>33</v>
      </c>
      <c r="C1360" s="19">
        <v>46</v>
      </c>
      <c r="D1360" s="3" t="s">
        <v>496</v>
      </c>
      <c r="E1360" s="3" t="s">
        <v>18</v>
      </c>
      <c r="F1360" s="23">
        <v>133651</v>
      </c>
      <c r="G1360" s="15">
        <v>2005</v>
      </c>
      <c r="H1360" s="15">
        <f>Table_7[[#This Row],[Listing Price (USD)]]/10000</f>
        <v>13.3651</v>
      </c>
      <c r="I1360" s="28">
        <f>Table_7[[#This Row],[Length 
(ft)]]</f>
        <v>46</v>
      </c>
      <c r="J1360" s="28">
        <f>2020-Table_7[[#This Row],[Year]]</f>
        <v>15</v>
      </c>
      <c r="K1360">
        <v>188925995936.80701</v>
      </c>
      <c r="L1360">
        <v>17658.947301119199</v>
      </c>
      <c r="M1360">
        <v>-1.2479835558140799</v>
      </c>
      <c r="N1360">
        <v>-9.0040436420214593</v>
      </c>
      <c r="O1360">
        <v>41.8</v>
      </c>
      <c r="P1360">
        <v>1162</v>
      </c>
      <c r="Q1360">
        <v>55</v>
      </c>
      <c r="R1360">
        <v>14.27</v>
      </c>
    </row>
    <row r="1361" spans="1:18" x14ac:dyDescent="0.25">
      <c r="A1361" s="1" t="s">
        <v>14</v>
      </c>
      <c r="B1361" s="2" t="s">
        <v>33</v>
      </c>
      <c r="C1361" s="19">
        <v>46</v>
      </c>
      <c r="D1361" s="3" t="s">
        <v>496</v>
      </c>
      <c r="E1361" s="3" t="s">
        <v>24</v>
      </c>
      <c r="F1361" s="23">
        <v>144555</v>
      </c>
      <c r="G1361" s="15">
        <v>2008</v>
      </c>
      <c r="H1361" s="15">
        <f>Table_7[[#This Row],[Listing Price (USD)]]/10000</f>
        <v>14.455500000000001</v>
      </c>
      <c r="I1361" s="28">
        <f>Table_7[[#This Row],[Length 
(ft)]]</f>
        <v>46</v>
      </c>
      <c r="J1361" s="28">
        <f>2020-Table_7[[#This Row],[Year]]</f>
        <v>12</v>
      </c>
      <c r="K1361">
        <v>1896755301518.1399</v>
      </c>
      <c r="L1361">
        <v>31911.0357890017</v>
      </c>
      <c r="M1361">
        <v>-0.13770757391656999</v>
      </c>
      <c r="N1361">
        <v>-9.0399534112288507</v>
      </c>
      <c r="O1361">
        <v>41.8</v>
      </c>
      <c r="P1361">
        <v>1162</v>
      </c>
      <c r="Q1361">
        <v>55</v>
      </c>
      <c r="R1361">
        <v>14.27</v>
      </c>
    </row>
    <row r="1362" spans="1:18" x14ac:dyDescent="0.25">
      <c r="A1362" s="1" t="s">
        <v>14</v>
      </c>
      <c r="B1362" s="2" t="s">
        <v>33</v>
      </c>
      <c r="C1362" s="19">
        <v>46</v>
      </c>
      <c r="D1362" s="3" t="s">
        <v>496</v>
      </c>
      <c r="E1362" s="3" t="s">
        <v>9</v>
      </c>
      <c r="F1362" s="23">
        <v>145769</v>
      </c>
      <c r="G1362" s="15">
        <v>2005</v>
      </c>
      <c r="H1362" s="15">
        <f>Table_7[[#This Row],[Listing Price (USD)]]/10000</f>
        <v>14.5769</v>
      </c>
      <c r="I1362" s="28">
        <f>Table_7[[#This Row],[Length 
(ft)]]</f>
        <v>46</v>
      </c>
      <c r="J1362" s="28">
        <f>2020-Table_7[[#This Row],[Year]]</f>
        <v>15</v>
      </c>
      <c r="K1362">
        <v>1276962685648.25</v>
      </c>
      <c r="L1362">
        <v>26959.675436732599</v>
      </c>
      <c r="M1362">
        <v>-0.32275301729970501</v>
      </c>
      <c r="N1362">
        <v>-11.3254383222864</v>
      </c>
      <c r="O1362">
        <v>41.8</v>
      </c>
      <c r="P1362">
        <v>1162</v>
      </c>
      <c r="Q1362">
        <v>55</v>
      </c>
      <c r="R1362">
        <v>14.27</v>
      </c>
    </row>
    <row r="1363" spans="1:18" x14ac:dyDescent="0.25">
      <c r="A1363" s="1" t="s">
        <v>14</v>
      </c>
      <c r="B1363" s="2" t="s">
        <v>33</v>
      </c>
      <c r="C1363" s="19">
        <v>46</v>
      </c>
      <c r="D1363" s="3" t="s">
        <v>496</v>
      </c>
      <c r="E1363" s="3" t="s">
        <v>31</v>
      </c>
      <c r="F1363" s="23">
        <v>148193</v>
      </c>
      <c r="G1363" s="15">
        <v>2014</v>
      </c>
      <c r="H1363" s="15">
        <f>Table_7[[#This Row],[Listing Price (USD)]]/10000</f>
        <v>14.8193</v>
      </c>
      <c r="I1363" s="28">
        <f>Table_7[[#This Row],[Length 
(ft)]]</f>
        <v>46</v>
      </c>
      <c r="J1363" s="28">
        <f>2020-Table_7[[#This Row],[Year]]</f>
        <v>6</v>
      </c>
      <c r="K1363">
        <v>57472012426.685303</v>
      </c>
      <c r="L1363">
        <v>14198.753959474399</v>
      </c>
      <c r="M1363">
        <v>0.15481137456202801</v>
      </c>
      <c r="N1363">
        <v>-8.5803430210621805</v>
      </c>
      <c r="O1363">
        <v>41.8</v>
      </c>
      <c r="P1363">
        <v>1162</v>
      </c>
      <c r="Q1363">
        <v>55</v>
      </c>
      <c r="R1363">
        <v>14.27</v>
      </c>
    </row>
    <row r="1364" spans="1:18" x14ac:dyDescent="0.25">
      <c r="A1364" s="1" t="s">
        <v>14</v>
      </c>
      <c r="B1364" s="2" t="s">
        <v>33</v>
      </c>
      <c r="C1364" s="19">
        <v>46</v>
      </c>
      <c r="D1364" s="3" t="s">
        <v>496</v>
      </c>
      <c r="E1364" s="3" t="s">
        <v>22</v>
      </c>
      <c r="F1364" s="23">
        <v>151473</v>
      </c>
      <c r="G1364" s="15">
        <v>2008</v>
      </c>
      <c r="H1364" s="15">
        <f>Table_7[[#This Row],[Listing Price (USD)]]/10000</f>
        <v>15.1473</v>
      </c>
      <c r="I1364" s="28">
        <f>Table_7[[#This Row],[Length 
(ft)]]</f>
        <v>46</v>
      </c>
      <c r="J1364" s="28">
        <f>2020-Table_7[[#This Row],[Year]]</f>
        <v>12</v>
      </c>
      <c r="K1364">
        <v>3889668895299.6201</v>
      </c>
      <c r="L1364">
        <v>46772.825350754501</v>
      </c>
      <c r="M1364">
        <v>0.50668988995327402</v>
      </c>
      <c r="N1364">
        <v>-3.6967887053804298</v>
      </c>
      <c r="O1364">
        <v>41.8</v>
      </c>
      <c r="P1364">
        <v>1162</v>
      </c>
      <c r="Q1364">
        <v>55</v>
      </c>
      <c r="R1364">
        <v>14.27</v>
      </c>
    </row>
    <row r="1365" spans="1:18" x14ac:dyDescent="0.25">
      <c r="A1365" s="1" t="s">
        <v>14</v>
      </c>
      <c r="B1365" s="2" t="s">
        <v>33</v>
      </c>
      <c r="C1365" s="19">
        <v>46</v>
      </c>
      <c r="D1365" s="3" t="s">
        <v>496</v>
      </c>
      <c r="E1365" s="3" t="s">
        <v>31</v>
      </c>
      <c r="F1365" s="23">
        <v>151837</v>
      </c>
      <c r="G1365" s="15">
        <v>2014</v>
      </c>
      <c r="H1365" s="15">
        <f>Table_7[[#This Row],[Listing Price (USD)]]/10000</f>
        <v>15.1837</v>
      </c>
      <c r="I1365" s="28">
        <f>Table_7[[#This Row],[Length 
(ft)]]</f>
        <v>46</v>
      </c>
      <c r="J1365" s="28">
        <f>2020-Table_7[[#This Row],[Year]]</f>
        <v>6</v>
      </c>
      <c r="K1365">
        <v>57472012426.685303</v>
      </c>
      <c r="L1365">
        <v>14198.753959474399</v>
      </c>
      <c r="M1365">
        <v>0.15481137456202801</v>
      </c>
      <c r="N1365">
        <v>-8.5803430210621805</v>
      </c>
      <c r="O1365">
        <v>41.8</v>
      </c>
      <c r="P1365">
        <v>1162</v>
      </c>
      <c r="Q1365">
        <v>55</v>
      </c>
      <c r="R1365">
        <v>14.27</v>
      </c>
    </row>
    <row r="1366" spans="1:18" x14ac:dyDescent="0.25">
      <c r="A1366" s="1" t="s">
        <v>14</v>
      </c>
      <c r="B1366" s="3" t="s">
        <v>33</v>
      </c>
      <c r="C1366" s="19">
        <v>46</v>
      </c>
      <c r="D1366" s="3" t="s">
        <v>497</v>
      </c>
      <c r="E1366" s="3" t="s">
        <v>483</v>
      </c>
      <c r="F1366" s="23">
        <v>151892</v>
      </c>
      <c r="G1366" s="15">
        <v>2007</v>
      </c>
      <c r="H1366" s="15">
        <f>Table_7[[#This Row],[Listing Price (USD)]]/10000</f>
        <v>15.1892</v>
      </c>
      <c r="I1366" s="28">
        <f>Table_7[[#This Row],[Length 
(ft)]]</f>
        <v>46</v>
      </c>
      <c r="J1366" s="28">
        <f>2020-Table_7[[#This Row],[Year]]</f>
        <v>13</v>
      </c>
      <c r="K1366">
        <v>4200000000</v>
      </c>
      <c r="L1366">
        <v>39553.199999999997</v>
      </c>
      <c r="M1366">
        <v>2.5</v>
      </c>
      <c r="N1366">
        <v>-2.1</v>
      </c>
      <c r="O1366">
        <v>41.8</v>
      </c>
      <c r="P1366">
        <v>1162</v>
      </c>
      <c r="Q1366">
        <v>55</v>
      </c>
      <c r="R1366">
        <v>14.27</v>
      </c>
    </row>
    <row r="1367" spans="1:18" x14ac:dyDescent="0.25">
      <c r="A1367" s="1" t="s">
        <v>372</v>
      </c>
      <c r="B1367" s="3" t="s">
        <v>33</v>
      </c>
      <c r="C1367" s="19">
        <v>46</v>
      </c>
      <c r="D1367" s="3" t="s">
        <v>497</v>
      </c>
      <c r="E1367" s="3" t="s">
        <v>522</v>
      </c>
      <c r="F1367" s="23">
        <v>152910</v>
      </c>
      <c r="G1367" s="15">
        <v>2007</v>
      </c>
      <c r="H1367" s="15">
        <f>Table_7[[#This Row],[Listing Price (USD)]]/10000</f>
        <v>15.291</v>
      </c>
      <c r="I1367" s="28">
        <f>Table_7[[#This Row],[Length 
(ft)]]</f>
        <v>46</v>
      </c>
      <c r="J1367" s="28">
        <f>2020-Table_7[[#This Row],[Year]]</f>
        <v>13</v>
      </c>
      <c r="K1367">
        <v>209000000</v>
      </c>
      <c r="L1367">
        <v>11726.7698</v>
      </c>
      <c r="M1367">
        <v>3</v>
      </c>
      <c r="N1367">
        <v>-0.7</v>
      </c>
      <c r="O1367">
        <v>41.8</v>
      </c>
      <c r="P1367">
        <v>1162</v>
      </c>
      <c r="Q1367">
        <v>55</v>
      </c>
      <c r="R1367">
        <v>14.27</v>
      </c>
    </row>
    <row r="1368" spans="1:18" x14ac:dyDescent="0.25">
      <c r="A1368" s="1" t="s">
        <v>14</v>
      </c>
      <c r="B1368" s="2" t="s">
        <v>33</v>
      </c>
      <c r="C1368" s="19">
        <v>46</v>
      </c>
      <c r="D1368" s="3" t="s">
        <v>496</v>
      </c>
      <c r="E1368" s="3" t="s">
        <v>18</v>
      </c>
      <c r="F1368" s="23">
        <v>155660</v>
      </c>
      <c r="G1368" s="15">
        <v>2016</v>
      </c>
      <c r="H1368" s="15">
        <f>Table_7[[#This Row],[Listing Price (USD)]]/10000</f>
        <v>15.566000000000001</v>
      </c>
      <c r="I1368" s="28">
        <f>Table_7[[#This Row],[Length 
(ft)]]</f>
        <v>46</v>
      </c>
      <c r="J1368" s="28">
        <f>2020-Table_7[[#This Row],[Year]]</f>
        <v>4</v>
      </c>
      <c r="K1368">
        <v>188925995936.80701</v>
      </c>
      <c r="L1368">
        <v>17658.947301119199</v>
      </c>
      <c r="M1368">
        <v>-1.2479835558140799</v>
      </c>
      <c r="N1368">
        <v>-9.0040436420214593</v>
      </c>
      <c r="O1368">
        <v>41.8</v>
      </c>
      <c r="P1368">
        <v>1162</v>
      </c>
      <c r="Q1368">
        <v>55</v>
      </c>
      <c r="R1368">
        <v>14.27</v>
      </c>
    </row>
    <row r="1369" spans="1:18" x14ac:dyDescent="0.25">
      <c r="A1369" s="1" t="s">
        <v>14</v>
      </c>
      <c r="B1369" s="2" t="s">
        <v>33</v>
      </c>
      <c r="C1369" s="19">
        <v>46</v>
      </c>
      <c r="D1369" s="3" t="s">
        <v>496</v>
      </c>
      <c r="E1369" s="3" t="s">
        <v>31</v>
      </c>
      <c r="F1369" s="23">
        <v>157668</v>
      </c>
      <c r="G1369" s="15">
        <v>2014</v>
      </c>
      <c r="H1369" s="15">
        <f>Table_7[[#This Row],[Listing Price (USD)]]/10000</f>
        <v>15.7668</v>
      </c>
      <c r="I1369" s="28">
        <f>Table_7[[#This Row],[Length 
(ft)]]</f>
        <v>46</v>
      </c>
      <c r="J1369" s="28">
        <f>2020-Table_7[[#This Row],[Year]]</f>
        <v>6</v>
      </c>
      <c r="K1369">
        <v>57472012426.685303</v>
      </c>
      <c r="L1369">
        <v>14198.753959474399</v>
      </c>
      <c r="M1369">
        <v>0.15481137456202801</v>
      </c>
      <c r="N1369">
        <v>-8.5803430210621805</v>
      </c>
      <c r="O1369">
        <v>41.8</v>
      </c>
      <c r="P1369">
        <v>1162</v>
      </c>
      <c r="Q1369">
        <v>55</v>
      </c>
      <c r="R1369">
        <v>14.27</v>
      </c>
    </row>
    <row r="1370" spans="1:18" x14ac:dyDescent="0.25">
      <c r="A1370" s="1" t="s">
        <v>14</v>
      </c>
      <c r="B1370" s="2" t="s">
        <v>33</v>
      </c>
      <c r="C1370" s="19">
        <v>46</v>
      </c>
      <c r="D1370" s="3" t="s">
        <v>496</v>
      </c>
      <c r="E1370" s="3" t="s">
        <v>18</v>
      </c>
      <c r="F1370" s="23">
        <v>161596</v>
      </c>
      <c r="G1370" s="15">
        <v>2017</v>
      </c>
      <c r="H1370" s="15">
        <f>Table_7[[#This Row],[Listing Price (USD)]]/10000</f>
        <v>16.159600000000001</v>
      </c>
      <c r="I1370" s="28">
        <f>Table_7[[#This Row],[Length 
(ft)]]</f>
        <v>46</v>
      </c>
      <c r="J1370" s="28">
        <f>2020-Table_7[[#This Row],[Year]]</f>
        <v>3</v>
      </c>
      <c r="K1370">
        <v>188925995936.80701</v>
      </c>
      <c r="L1370">
        <v>17658.947301119199</v>
      </c>
      <c r="M1370">
        <v>-1.2479835558140799</v>
      </c>
      <c r="N1370">
        <v>-9.0040436420214593</v>
      </c>
      <c r="O1370">
        <v>41.8</v>
      </c>
      <c r="P1370">
        <v>1162</v>
      </c>
      <c r="Q1370">
        <v>55</v>
      </c>
      <c r="R1370">
        <v>14.27</v>
      </c>
    </row>
    <row r="1371" spans="1:18" x14ac:dyDescent="0.25">
      <c r="A1371" s="1" t="s">
        <v>14</v>
      </c>
      <c r="B1371" s="2" t="s">
        <v>33</v>
      </c>
      <c r="C1371" s="19">
        <v>46</v>
      </c>
      <c r="D1371" s="3" t="s">
        <v>496</v>
      </c>
      <c r="E1371" s="3" t="s">
        <v>9</v>
      </c>
      <c r="F1371" s="23">
        <v>169936</v>
      </c>
      <c r="G1371" s="15">
        <v>2015</v>
      </c>
      <c r="H1371" s="15">
        <f>Table_7[[#This Row],[Listing Price (USD)]]/10000</f>
        <v>16.993600000000001</v>
      </c>
      <c r="I1371" s="28">
        <f>Table_7[[#This Row],[Length 
(ft)]]</f>
        <v>46</v>
      </c>
      <c r="J1371" s="28">
        <f>2020-Table_7[[#This Row],[Year]]</f>
        <v>5</v>
      </c>
      <c r="K1371">
        <v>1276962685648.25</v>
      </c>
      <c r="L1371">
        <v>26959.675436732599</v>
      </c>
      <c r="M1371">
        <v>-0.32275301729970501</v>
      </c>
      <c r="N1371">
        <v>-11.3254383222864</v>
      </c>
      <c r="O1371">
        <v>41.8</v>
      </c>
      <c r="P1371">
        <v>1162</v>
      </c>
      <c r="Q1371">
        <v>55</v>
      </c>
      <c r="R1371">
        <v>14.27</v>
      </c>
    </row>
    <row r="1372" spans="1:18" x14ac:dyDescent="0.25">
      <c r="A1372" s="1" t="s">
        <v>14</v>
      </c>
      <c r="B1372" s="2" t="s">
        <v>33</v>
      </c>
      <c r="C1372" s="19">
        <v>46</v>
      </c>
      <c r="D1372" s="3" t="s">
        <v>496</v>
      </c>
      <c r="E1372" s="3" t="s">
        <v>31</v>
      </c>
      <c r="F1372" s="23">
        <v>173138</v>
      </c>
      <c r="G1372" s="15">
        <v>2015</v>
      </c>
      <c r="H1372" s="15">
        <f>Table_7[[#This Row],[Listing Price (USD)]]/10000</f>
        <v>17.313800000000001</v>
      </c>
      <c r="I1372" s="28">
        <f>Table_7[[#This Row],[Length 
(ft)]]</f>
        <v>46</v>
      </c>
      <c r="J1372" s="28">
        <f>2020-Table_7[[#This Row],[Year]]</f>
        <v>5</v>
      </c>
      <c r="K1372">
        <v>57472012426.685303</v>
      </c>
      <c r="L1372">
        <v>14198.753959474399</v>
      </c>
      <c r="M1372">
        <v>0.15481137456202801</v>
      </c>
      <c r="N1372">
        <v>-8.5803430210621805</v>
      </c>
      <c r="O1372">
        <v>41.8</v>
      </c>
      <c r="P1372">
        <v>1162</v>
      </c>
      <c r="Q1372">
        <v>55</v>
      </c>
      <c r="R1372">
        <v>14.27</v>
      </c>
    </row>
    <row r="1373" spans="1:18" x14ac:dyDescent="0.25">
      <c r="A1373" s="1" t="s">
        <v>14</v>
      </c>
      <c r="B1373" s="2" t="s">
        <v>33</v>
      </c>
      <c r="C1373" s="19">
        <v>46</v>
      </c>
      <c r="D1373" s="3" t="s">
        <v>496</v>
      </c>
      <c r="E1373" s="3" t="s">
        <v>31</v>
      </c>
      <c r="F1373" s="23">
        <v>173746</v>
      </c>
      <c r="G1373" s="15">
        <v>2014</v>
      </c>
      <c r="H1373" s="15">
        <f>Table_7[[#This Row],[Listing Price (USD)]]/10000</f>
        <v>17.374600000000001</v>
      </c>
      <c r="I1373" s="28">
        <f>Table_7[[#This Row],[Length 
(ft)]]</f>
        <v>46</v>
      </c>
      <c r="J1373" s="28">
        <f>2020-Table_7[[#This Row],[Year]]</f>
        <v>6</v>
      </c>
      <c r="K1373">
        <v>57472012426.685303</v>
      </c>
      <c r="L1373">
        <v>14198.753959474399</v>
      </c>
      <c r="M1373">
        <v>0.15481137456202801</v>
      </c>
      <c r="N1373">
        <v>-8.5803430210621805</v>
      </c>
      <c r="O1373">
        <v>41.8</v>
      </c>
      <c r="P1373">
        <v>1162</v>
      </c>
      <c r="Q1373">
        <v>55</v>
      </c>
      <c r="R1373">
        <v>14.27</v>
      </c>
    </row>
    <row r="1374" spans="1:18" x14ac:dyDescent="0.25">
      <c r="A1374" s="1" t="s">
        <v>14</v>
      </c>
      <c r="B1374" s="2" t="s">
        <v>33</v>
      </c>
      <c r="C1374" s="19">
        <v>46</v>
      </c>
      <c r="D1374" s="3" t="s">
        <v>496</v>
      </c>
      <c r="E1374" s="3" t="s">
        <v>31</v>
      </c>
      <c r="F1374" s="23">
        <v>179775</v>
      </c>
      <c r="G1374" s="15">
        <v>2014</v>
      </c>
      <c r="H1374" s="15">
        <f>Table_7[[#This Row],[Listing Price (USD)]]/10000</f>
        <v>17.977499999999999</v>
      </c>
      <c r="I1374" s="28">
        <f>Table_7[[#This Row],[Length 
(ft)]]</f>
        <v>46</v>
      </c>
      <c r="J1374" s="28">
        <f>2020-Table_7[[#This Row],[Year]]</f>
        <v>6</v>
      </c>
      <c r="K1374">
        <v>57472012426.685303</v>
      </c>
      <c r="L1374">
        <v>14198.753959474399</v>
      </c>
      <c r="M1374">
        <v>0.15481137456202801</v>
      </c>
      <c r="N1374">
        <v>-8.5803430210621805</v>
      </c>
      <c r="O1374">
        <v>41.8</v>
      </c>
      <c r="P1374">
        <v>1162</v>
      </c>
      <c r="Q1374">
        <v>55</v>
      </c>
      <c r="R1374">
        <v>14.27</v>
      </c>
    </row>
    <row r="1375" spans="1:18" x14ac:dyDescent="0.25">
      <c r="A1375" s="1" t="s">
        <v>14</v>
      </c>
      <c r="B1375" s="2" t="s">
        <v>33</v>
      </c>
      <c r="C1375" s="19">
        <v>46</v>
      </c>
      <c r="D1375" s="3" t="s">
        <v>496</v>
      </c>
      <c r="E1375" s="3" t="s">
        <v>31</v>
      </c>
      <c r="F1375" s="23">
        <v>179821</v>
      </c>
      <c r="G1375" s="15">
        <v>2014</v>
      </c>
      <c r="H1375" s="15">
        <f>Table_7[[#This Row],[Listing Price (USD)]]/10000</f>
        <v>17.982099999999999</v>
      </c>
      <c r="I1375" s="28">
        <f>Table_7[[#This Row],[Length 
(ft)]]</f>
        <v>46</v>
      </c>
      <c r="J1375" s="28">
        <f>2020-Table_7[[#This Row],[Year]]</f>
        <v>6</v>
      </c>
      <c r="K1375">
        <v>57472012426.685303</v>
      </c>
      <c r="L1375">
        <v>14198.753959474399</v>
      </c>
      <c r="M1375">
        <v>0.15481137456202801</v>
      </c>
      <c r="N1375">
        <v>-8.5803430210621805</v>
      </c>
      <c r="O1375">
        <v>41.8</v>
      </c>
      <c r="P1375">
        <v>1162</v>
      </c>
      <c r="Q1375">
        <v>55</v>
      </c>
      <c r="R1375">
        <v>14.27</v>
      </c>
    </row>
    <row r="1376" spans="1:18" x14ac:dyDescent="0.25">
      <c r="A1376" s="1" t="s">
        <v>14</v>
      </c>
      <c r="B1376" s="2" t="s">
        <v>33</v>
      </c>
      <c r="C1376" s="19">
        <v>46</v>
      </c>
      <c r="D1376" s="3" t="s">
        <v>496</v>
      </c>
      <c r="E1376" s="3" t="s">
        <v>18</v>
      </c>
      <c r="F1376" s="23">
        <v>182204</v>
      </c>
      <c r="G1376" s="15">
        <v>2015</v>
      </c>
      <c r="H1376" s="15">
        <f>Table_7[[#This Row],[Listing Price (USD)]]/10000</f>
        <v>18.220400000000001</v>
      </c>
      <c r="I1376" s="28">
        <f>Table_7[[#This Row],[Length 
(ft)]]</f>
        <v>46</v>
      </c>
      <c r="J1376" s="28">
        <f>2020-Table_7[[#This Row],[Year]]</f>
        <v>5</v>
      </c>
      <c r="K1376">
        <v>188925995936.80701</v>
      </c>
      <c r="L1376">
        <v>17658.947301119199</v>
      </c>
      <c r="M1376">
        <v>-1.2479835558140799</v>
      </c>
      <c r="N1376">
        <v>-9.0040436420214593</v>
      </c>
      <c r="O1376">
        <v>41.8</v>
      </c>
      <c r="P1376">
        <v>1162</v>
      </c>
      <c r="Q1376">
        <v>55</v>
      </c>
      <c r="R1376">
        <v>14.27</v>
      </c>
    </row>
    <row r="1377" spans="1:18" x14ac:dyDescent="0.25">
      <c r="A1377" s="1" t="s">
        <v>372</v>
      </c>
      <c r="B1377" s="3" t="s">
        <v>33</v>
      </c>
      <c r="C1377" s="19">
        <v>46</v>
      </c>
      <c r="D1377" s="3" t="s">
        <v>497</v>
      </c>
      <c r="E1377" s="3" t="s">
        <v>370</v>
      </c>
      <c r="F1377" s="23">
        <v>198000</v>
      </c>
      <c r="G1377" s="15">
        <v>2015</v>
      </c>
      <c r="H1377" s="15">
        <f>Table_7[[#This Row],[Listing Price (USD)]]/10000</f>
        <v>19.8</v>
      </c>
      <c r="I1377" s="28">
        <f>Table_7[[#This Row],[Length 
(ft)]]</f>
        <v>46</v>
      </c>
      <c r="J1377" s="28">
        <f>2020-Table_7[[#This Row],[Year]]</f>
        <v>5</v>
      </c>
      <c r="K1377">
        <v>500000000</v>
      </c>
      <c r="L1377">
        <v>34200</v>
      </c>
      <c r="M1377">
        <v>1.1000000000000001</v>
      </c>
      <c r="N1377">
        <v>2</v>
      </c>
      <c r="O1377">
        <v>41.8</v>
      </c>
      <c r="P1377">
        <v>1162</v>
      </c>
      <c r="Q1377">
        <v>55</v>
      </c>
      <c r="R1377">
        <v>14.27</v>
      </c>
    </row>
    <row r="1378" spans="1:18" x14ac:dyDescent="0.25">
      <c r="A1378" s="1" t="s">
        <v>14</v>
      </c>
      <c r="B1378" s="2" t="s">
        <v>33</v>
      </c>
      <c r="C1378" s="19">
        <v>46</v>
      </c>
      <c r="D1378" s="3" t="s">
        <v>496</v>
      </c>
      <c r="E1378" s="3" t="s">
        <v>22</v>
      </c>
      <c r="F1378" s="23">
        <v>198003</v>
      </c>
      <c r="G1378" s="15">
        <v>2014</v>
      </c>
      <c r="H1378" s="15">
        <f>Table_7[[#This Row],[Listing Price (USD)]]/10000</f>
        <v>19.8003</v>
      </c>
      <c r="I1378" s="28">
        <f>Table_7[[#This Row],[Length 
(ft)]]</f>
        <v>46</v>
      </c>
      <c r="J1378" s="28">
        <f>2020-Table_7[[#This Row],[Year]]</f>
        <v>6</v>
      </c>
      <c r="K1378">
        <v>3889668895299.6201</v>
      </c>
      <c r="L1378">
        <v>46772.825350754501</v>
      </c>
      <c r="M1378">
        <v>0.50668988995327402</v>
      </c>
      <c r="N1378">
        <v>-3.6967887053804298</v>
      </c>
      <c r="O1378">
        <v>41.8</v>
      </c>
      <c r="P1378">
        <v>1162</v>
      </c>
      <c r="Q1378">
        <v>55</v>
      </c>
      <c r="R1378">
        <v>14.27</v>
      </c>
    </row>
    <row r="1379" spans="1:18" x14ac:dyDescent="0.25">
      <c r="A1379" s="1" t="s">
        <v>14</v>
      </c>
      <c r="B1379" s="2" t="s">
        <v>33</v>
      </c>
      <c r="C1379" s="19">
        <v>46</v>
      </c>
      <c r="D1379" s="3" t="s">
        <v>496</v>
      </c>
      <c r="E1379" s="3" t="s">
        <v>31</v>
      </c>
      <c r="F1379" s="23">
        <v>200425</v>
      </c>
      <c r="G1379" s="15">
        <v>2017</v>
      </c>
      <c r="H1379" s="15">
        <f>Table_7[[#This Row],[Listing Price (USD)]]/10000</f>
        <v>20.0425</v>
      </c>
      <c r="I1379" s="28">
        <f>Table_7[[#This Row],[Length 
(ft)]]</f>
        <v>46</v>
      </c>
      <c r="J1379" s="28">
        <f>2020-Table_7[[#This Row],[Year]]</f>
        <v>3</v>
      </c>
      <c r="K1379">
        <v>57472012426.685303</v>
      </c>
      <c r="L1379">
        <v>14198.753959474399</v>
      </c>
      <c r="M1379">
        <v>0.15481137456202801</v>
      </c>
      <c r="N1379">
        <v>-8.5803430210621805</v>
      </c>
      <c r="O1379">
        <v>41.8</v>
      </c>
      <c r="P1379">
        <v>1162</v>
      </c>
      <c r="Q1379">
        <v>55</v>
      </c>
      <c r="R1379">
        <v>14.27</v>
      </c>
    </row>
    <row r="1380" spans="1:18" x14ac:dyDescent="0.25">
      <c r="A1380" s="1" t="s">
        <v>14</v>
      </c>
      <c r="B1380" s="2" t="s">
        <v>33</v>
      </c>
      <c r="C1380" s="19">
        <v>46</v>
      </c>
      <c r="D1380" s="3" t="s">
        <v>496</v>
      </c>
      <c r="E1380" s="3" t="s">
        <v>18</v>
      </c>
      <c r="F1380" s="23">
        <v>200425</v>
      </c>
      <c r="G1380" s="15">
        <v>2017</v>
      </c>
      <c r="H1380" s="15">
        <f>Table_7[[#This Row],[Listing Price (USD)]]/10000</f>
        <v>20.0425</v>
      </c>
      <c r="I1380" s="28">
        <f>Table_7[[#This Row],[Length 
(ft)]]</f>
        <v>46</v>
      </c>
      <c r="J1380" s="28">
        <f>2020-Table_7[[#This Row],[Year]]</f>
        <v>3</v>
      </c>
      <c r="K1380">
        <v>188925995936.80701</v>
      </c>
      <c r="L1380">
        <v>17658.947301119199</v>
      </c>
      <c r="M1380">
        <v>-1.2479835558140799</v>
      </c>
      <c r="N1380">
        <v>-9.0040436420214593</v>
      </c>
      <c r="O1380">
        <v>41.8</v>
      </c>
      <c r="P1380">
        <v>1162</v>
      </c>
      <c r="Q1380">
        <v>55</v>
      </c>
      <c r="R1380">
        <v>14.27</v>
      </c>
    </row>
    <row r="1381" spans="1:18" x14ac:dyDescent="0.25">
      <c r="A1381" s="1" t="s">
        <v>14</v>
      </c>
      <c r="B1381" s="2" t="s">
        <v>33</v>
      </c>
      <c r="C1381" s="19">
        <v>46</v>
      </c>
      <c r="D1381" s="3" t="s">
        <v>496</v>
      </c>
      <c r="E1381" s="3" t="s">
        <v>31</v>
      </c>
      <c r="F1381" s="23">
        <v>201640</v>
      </c>
      <c r="G1381" s="15">
        <v>2014</v>
      </c>
      <c r="H1381" s="15">
        <f>Table_7[[#This Row],[Listing Price (USD)]]/10000</f>
        <v>20.164000000000001</v>
      </c>
      <c r="I1381" s="28">
        <f>Table_7[[#This Row],[Length 
(ft)]]</f>
        <v>46</v>
      </c>
      <c r="J1381" s="28">
        <f>2020-Table_7[[#This Row],[Year]]</f>
        <v>6</v>
      </c>
      <c r="K1381">
        <v>25008448886.3507</v>
      </c>
      <c r="L1381">
        <v>28036.189453125</v>
      </c>
      <c r="M1381">
        <v>-0.638422797978907</v>
      </c>
      <c r="N1381">
        <v>-4.3724741857521501</v>
      </c>
      <c r="O1381">
        <v>41.8</v>
      </c>
      <c r="P1381">
        <v>1162</v>
      </c>
      <c r="Q1381">
        <v>55</v>
      </c>
      <c r="R1381">
        <v>14.27</v>
      </c>
    </row>
    <row r="1382" spans="1:18" x14ac:dyDescent="0.25">
      <c r="A1382" s="1" t="s">
        <v>14</v>
      </c>
      <c r="B1382" s="2" t="s">
        <v>33</v>
      </c>
      <c r="C1382" s="19">
        <v>46</v>
      </c>
      <c r="D1382" s="3" t="s">
        <v>496</v>
      </c>
      <c r="E1382" s="3" t="s">
        <v>22</v>
      </c>
      <c r="F1382" s="23">
        <v>202101</v>
      </c>
      <c r="G1382" s="15">
        <v>2017</v>
      </c>
      <c r="H1382" s="15">
        <f>Table_7[[#This Row],[Listing Price (USD)]]/10000</f>
        <v>20.210100000000001</v>
      </c>
      <c r="I1382" s="28">
        <f>Table_7[[#This Row],[Length 
(ft)]]</f>
        <v>46</v>
      </c>
      <c r="J1382" s="28">
        <f>2020-Table_7[[#This Row],[Year]]</f>
        <v>3</v>
      </c>
      <c r="K1382">
        <v>3889668895299.6201</v>
      </c>
      <c r="L1382">
        <v>46772.825350754501</v>
      </c>
      <c r="M1382">
        <v>0.50668988995327402</v>
      </c>
      <c r="N1382">
        <v>-3.6967887053804298</v>
      </c>
      <c r="O1382">
        <v>41.8</v>
      </c>
      <c r="P1382">
        <v>1162</v>
      </c>
      <c r="Q1382">
        <v>55</v>
      </c>
      <c r="R1382">
        <v>14.27</v>
      </c>
    </row>
    <row r="1383" spans="1:18" x14ac:dyDescent="0.25">
      <c r="A1383" s="1" t="s">
        <v>14</v>
      </c>
      <c r="B1383" s="2" t="s">
        <v>33</v>
      </c>
      <c r="C1383" s="19">
        <v>46</v>
      </c>
      <c r="D1383" s="3" t="s">
        <v>496</v>
      </c>
      <c r="E1383" s="3" t="s">
        <v>24</v>
      </c>
      <c r="F1383" s="23">
        <v>205284</v>
      </c>
      <c r="G1383" s="15">
        <v>2018</v>
      </c>
      <c r="H1383" s="15">
        <f>Table_7[[#This Row],[Listing Price (USD)]]/10000</f>
        <v>20.528400000000001</v>
      </c>
      <c r="I1383" s="28">
        <f>Table_7[[#This Row],[Length 
(ft)]]</f>
        <v>46</v>
      </c>
      <c r="J1383" s="28">
        <f>2020-Table_7[[#This Row],[Year]]</f>
        <v>2</v>
      </c>
      <c r="K1383">
        <v>1896755301518.1399</v>
      </c>
      <c r="L1383">
        <v>31911.0357890017</v>
      </c>
      <c r="M1383">
        <v>-0.13770757391656999</v>
      </c>
      <c r="N1383">
        <v>-9.0399534112288507</v>
      </c>
      <c r="O1383">
        <v>41.8</v>
      </c>
      <c r="P1383">
        <v>1162</v>
      </c>
      <c r="Q1383">
        <v>55</v>
      </c>
      <c r="R1383">
        <v>14.27</v>
      </c>
    </row>
    <row r="1384" spans="1:18" x14ac:dyDescent="0.25">
      <c r="A1384" s="1" t="s">
        <v>14</v>
      </c>
      <c r="B1384" s="2" t="s">
        <v>33</v>
      </c>
      <c r="C1384" s="19">
        <v>46</v>
      </c>
      <c r="D1384" s="3" t="s">
        <v>496</v>
      </c>
      <c r="E1384" s="3" t="s">
        <v>18</v>
      </c>
      <c r="F1384" s="23">
        <v>206498</v>
      </c>
      <c r="G1384" s="15">
        <v>2015</v>
      </c>
      <c r="H1384" s="15">
        <f>Table_7[[#This Row],[Listing Price (USD)]]/10000</f>
        <v>20.649799999999999</v>
      </c>
      <c r="I1384" s="28">
        <f>Table_7[[#This Row],[Length 
(ft)]]</f>
        <v>46</v>
      </c>
      <c r="J1384" s="28">
        <f>2020-Table_7[[#This Row],[Year]]</f>
        <v>5</v>
      </c>
      <c r="K1384">
        <v>188925995936.80701</v>
      </c>
      <c r="L1384">
        <v>17658.947301119199</v>
      </c>
      <c r="M1384">
        <v>-1.2479835558140799</v>
      </c>
      <c r="N1384">
        <v>-9.0040436420214593</v>
      </c>
      <c r="O1384">
        <v>41.8</v>
      </c>
      <c r="P1384">
        <v>1162</v>
      </c>
      <c r="Q1384">
        <v>55</v>
      </c>
      <c r="R1384">
        <v>14.27</v>
      </c>
    </row>
    <row r="1385" spans="1:18" x14ac:dyDescent="0.25">
      <c r="A1385" s="1" t="s">
        <v>14</v>
      </c>
      <c r="B1385" s="2" t="s">
        <v>33</v>
      </c>
      <c r="C1385" s="19">
        <v>46</v>
      </c>
      <c r="D1385" s="3" t="s">
        <v>496</v>
      </c>
      <c r="E1385" s="3" t="s">
        <v>31</v>
      </c>
      <c r="F1385" s="23">
        <v>210142</v>
      </c>
      <c r="G1385" s="15">
        <v>2017</v>
      </c>
      <c r="H1385" s="15">
        <f>Table_7[[#This Row],[Listing Price (USD)]]/10000</f>
        <v>21.014199999999999</v>
      </c>
      <c r="I1385" s="28">
        <f>Table_7[[#This Row],[Length 
(ft)]]</f>
        <v>46</v>
      </c>
      <c r="J1385" s="28">
        <f>2020-Table_7[[#This Row],[Year]]</f>
        <v>3</v>
      </c>
      <c r="K1385">
        <v>57472012426.685303</v>
      </c>
      <c r="L1385">
        <v>14198.753959474399</v>
      </c>
      <c r="M1385">
        <v>0.15481137456202801</v>
      </c>
      <c r="N1385">
        <v>-8.5803430210621805</v>
      </c>
      <c r="O1385">
        <v>41.8</v>
      </c>
      <c r="P1385">
        <v>1162</v>
      </c>
      <c r="Q1385">
        <v>55</v>
      </c>
      <c r="R1385">
        <v>14.27</v>
      </c>
    </row>
    <row r="1386" spans="1:18" x14ac:dyDescent="0.25">
      <c r="A1386" s="1" t="s">
        <v>14</v>
      </c>
      <c r="B1386" s="2" t="s">
        <v>33</v>
      </c>
      <c r="C1386" s="19">
        <v>46</v>
      </c>
      <c r="D1386" s="3" t="s">
        <v>496</v>
      </c>
      <c r="E1386" s="3" t="s">
        <v>22</v>
      </c>
      <c r="F1386" s="23">
        <v>210142</v>
      </c>
      <c r="G1386" s="15">
        <v>2015</v>
      </c>
      <c r="H1386" s="15">
        <f>Table_7[[#This Row],[Listing Price (USD)]]/10000</f>
        <v>21.014199999999999</v>
      </c>
      <c r="I1386" s="28">
        <f>Table_7[[#This Row],[Length 
(ft)]]</f>
        <v>46</v>
      </c>
      <c r="J1386" s="28">
        <f>2020-Table_7[[#This Row],[Year]]</f>
        <v>5</v>
      </c>
      <c r="K1386">
        <v>3889668895299.6201</v>
      </c>
      <c r="L1386">
        <v>46772.825350754501</v>
      </c>
      <c r="M1386">
        <v>0.50668988995327402</v>
      </c>
      <c r="N1386">
        <v>-3.6967887053804298</v>
      </c>
      <c r="O1386">
        <v>41.8</v>
      </c>
      <c r="P1386">
        <v>1162</v>
      </c>
      <c r="Q1386">
        <v>55</v>
      </c>
      <c r="R1386">
        <v>14.27</v>
      </c>
    </row>
    <row r="1387" spans="1:18" x14ac:dyDescent="0.25">
      <c r="A1387" s="1" t="s">
        <v>14</v>
      </c>
      <c r="B1387" s="2" t="s">
        <v>33</v>
      </c>
      <c r="C1387" s="19">
        <v>46</v>
      </c>
      <c r="D1387" s="3" t="s">
        <v>496</v>
      </c>
      <c r="E1387" s="3" t="s">
        <v>24</v>
      </c>
      <c r="F1387" s="23">
        <v>210142</v>
      </c>
      <c r="G1387" s="15">
        <v>2016</v>
      </c>
      <c r="H1387" s="15">
        <f>Table_7[[#This Row],[Listing Price (USD)]]/10000</f>
        <v>21.014199999999999</v>
      </c>
      <c r="I1387" s="28">
        <f>Table_7[[#This Row],[Length 
(ft)]]</f>
        <v>46</v>
      </c>
      <c r="J1387" s="28">
        <f>2020-Table_7[[#This Row],[Year]]</f>
        <v>4</v>
      </c>
      <c r="K1387">
        <v>1896755301518.1399</v>
      </c>
      <c r="L1387">
        <v>31911.0357890017</v>
      </c>
      <c r="M1387">
        <v>-0.13770757391656999</v>
      </c>
      <c r="N1387">
        <v>-9.0399534112288507</v>
      </c>
      <c r="O1387">
        <v>41.8</v>
      </c>
      <c r="P1387">
        <v>1162</v>
      </c>
      <c r="Q1387">
        <v>55</v>
      </c>
      <c r="R1387">
        <v>14.27</v>
      </c>
    </row>
    <row r="1388" spans="1:18" x14ac:dyDescent="0.25">
      <c r="A1388" s="1" t="s">
        <v>14</v>
      </c>
      <c r="B1388" s="2" t="s">
        <v>33</v>
      </c>
      <c r="C1388" s="19">
        <v>46</v>
      </c>
      <c r="D1388" s="3" t="s">
        <v>496</v>
      </c>
      <c r="E1388" s="3" t="s">
        <v>18</v>
      </c>
      <c r="F1388" s="23">
        <v>211357</v>
      </c>
      <c r="G1388" s="15">
        <v>2017</v>
      </c>
      <c r="H1388" s="15">
        <f>Table_7[[#This Row],[Listing Price (USD)]]/10000</f>
        <v>21.1357</v>
      </c>
      <c r="I1388" s="28">
        <f>Table_7[[#This Row],[Length 
(ft)]]</f>
        <v>46</v>
      </c>
      <c r="J1388" s="28">
        <f>2020-Table_7[[#This Row],[Year]]</f>
        <v>3</v>
      </c>
      <c r="K1388">
        <v>188925995936.80701</v>
      </c>
      <c r="L1388">
        <v>17658.947301119199</v>
      </c>
      <c r="M1388">
        <v>-1.2479835558140799</v>
      </c>
      <c r="N1388">
        <v>-9.0040436420214593</v>
      </c>
      <c r="O1388">
        <v>41.8</v>
      </c>
      <c r="P1388">
        <v>1162</v>
      </c>
      <c r="Q1388">
        <v>55</v>
      </c>
      <c r="R1388">
        <v>14.27</v>
      </c>
    </row>
    <row r="1389" spans="1:18" x14ac:dyDescent="0.25">
      <c r="A1389" s="1" t="s">
        <v>14</v>
      </c>
      <c r="B1389" s="2" t="s">
        <v>33</v>
      </c>
      <c r="C1389" s="19">
        <v>46</v>
      </c>
      <c r="D1389" s="3" t="s">
        <v>496</v>
      </c>
      <c r="E1389" s="3" t="s">
        <v>18</v>
      </c>
      <c r="F1389" s="23">
        <v>211965</v>
      </c>
      <c r="G1389" s="15">
        <v>2017</v>
      </c>
      <c r="H1389" s="15">
        <f>Table_7[[#This Row],[Listing Price (USD)]]/10000</f>
        <v>21.1965</v>
      </c>
      <c r="I1389" s="28">
        <f>Table_7[[#This Row],[Length 
(ft)]]</f>
        <v>46</v>
      </c>
      <c r="J1389" s="28">
        <f>2020-Table_7[[#This Row],[Year]]</f>
        <v>3</v>
      </c>
      <c r="K1389">
        <v>188925995936.80701</v>
      </c>
      <c r="L1389">
        <v>17658.947301119199</v>
      </c>
      <c r="M1389">
        <v>-1.2479835558140799</v>
      </c>
      <c r="N1389">
        <v>-9.0040436420214593</v>
      </c>
      <c r="O1389">
        <v>41.8</v>
      </c>
      <c r="P1389">
        <v>1162</v>
      </c>
      <c r="Q1389">
        <v>55</v>
      </c>
      <c r="R1389">
        <v>14.27</v>
      </c>
    </row>
    <row r="1390" spans="1:18" x14ac:dyDescent="0.25">
      <c r="A1390" s="1" t="s">
        <v>14</v>
      </c>
      <c r="B1390" s="2" t="s">
        <v>33</v>
      </c>
      <c r="C1390" s="19">
        <v>46</v>
      </c>
      <c r="D1390" s="3" t="s">
        <v>496</v>
      </c>
      <c r="E1390" s="3" t="s">
        <v>31</v>
      </c>
      <c r="F1390" s="23">
        <v>212572</v>
      </c>
      <c r="G1390" s="15">
        <v>2018</v>
      </c>
      <c r="H1390" s="15">
        <f>Table_7[[#This Row],[Listing Price (USD)]]/10000</f>
        <v>21.257200000000001</v>
      </c>
      <c r="I1390" s="28">
        <f>Table_7[[#This Row],[Length 
(ft)]]</f>
        <v>46</v>
      </c>
      <c r="J1390" s="28">
        <f>2020-Table_7[[#This Row],[Year]]</f>
        <v>2</v>
      </c>
      <c r="K1390">
        <v>57472012426.685303</v>
      </c>
      <c r="L1390">
        <v>14198.753959474399</v>
      </c>
      <c r="M1390">
        <v>0.15481137456202801</v>
      </c>
      <c r="N1390">
        <v>-8.5803430210621805</v>
      </c>
      <c r="O1390">
        <v>41.8</v>
      </c>
      <c r="P1390">
        <v>1162</v>
      </c>
      <c r="Q1390">
        <v>55</v>
      </c>
      <c r="R1390">
        <v>14.27</v>
      </c>
    </row>
    <row r="1391" spans="1:18" x14ac:dyDescent="0.25">
      <c r="A1391" s="1" t="s">
        <v>14</v>
      </c>
      <c r="B1391" s="2" t="s">
        <v>33</v>
      </c>
      <c r="C1391" s="19">
        <v>46</v>
      </c>
      <c r="D1391" s="3" t="s">
        <v>496</v>
      </c>
      <c r="E1391" s="3" t="s">
        <v>31</v>
      </c>
      <c r="F1391" s="23">
        <v>212626</v>
      </c>
      <c r="G1391" s="15">
        <v>2016</v>
      </c>
      <c r="H1391" s="15">
        <f>Table_7[[#This Row],[Listing Price (USD)]]/10000</f>
        <v>21.262599999999999</v>
      </c>
      <c r="I1391" s="28">
        <f>Table_7[[#This Row],[Length 
(ft)]]</f>
        <v>46</v>
      </c>
      <c r="J1391" s="28">
        <f>2020-Table_7[[#This Row],[Year]]</f>
        <v>4</v>
      </c>
      <c r="K1391">
        <v>57472012426.685303</v>
      </c>
      <c r="L1391">
        <v>14198.753959474399</v>
      </c>
      <c r="M1391">
        <v>0.15481137456202801</v>
      </c>
      <c r="N1391">
        <v>-8.5803430210621805</v>
      </c>
      <c r="O1391">
        <v>41.8</v>
      </c>
      <c r="P1391">
        <v>1162</v>
      </c>
      <c r="Q1391">
        <v>55</v>
      </c>
      <c r="R1391">
        <v>14.27</v>
      </c>
    </row>
    <row r="1392" spans="1:18" x14ac:dyDescent="0.25">
      <c r="A1392" s="1" t="s">
        <v>14</v>
      </c>
      <c r="B1392" s="2" t="s">
        <v>33</v>
      </c>
      <c r="C1392" s="19">
        <v>46</v>
      </c>
      <c r="D1392" s="3" t="s">
        <v>496</v>
      </c>
      <c r="E1392" s="3" t="s">
        <v>9</v>
      </c>
      <c r="F1392" s="23">
        <v>212626</v>
      </c>
      <c r="G1392" s="15">
        <v>2015</v>
      </c>
      <c r="H1392" s="15">
        <f>Table_7[[#This Row],[Listing Price (USD)]]/10000</f>
        <v>21.262599999999999</v>
      </c>
      <c r="I1392" s="28">
        <f>Table_7[[#This Row],[Length 
(ft)]]</f>
        <v>46</v>
      </c>
      <c r="J1392" s="28">
        <f>2020-Table_7[[#This Row],[Year]]</f>
        <v>5</v>
      </c>
      <c r="K1392">
        <v>1276962685648.25</v>
      </c>
      <c r="L1392">
        <v>26959.675436732599</v>
      </c>
      <c r="M1392">
        <v>-0.32275301729970501</v>
      </c>
      <c r="N1392">
        <v>-11.3254383222864</v>
      </c>
      <c r="O1392">
        <v>41.8</v>
      </c>
      <c r="P1392">
        <v>1162</v>
      </c>
      <c r="Q1392">
        <v>55</v>
      </c>
      <c r="R1392">
        <v>14.27</v>
      </c>
    </row>
    <row r="1393" spans="1:18" x14ac:dyDescent="0.25">
      <c r="A1393" s="1" t="s">
        <v>14</v>
      </c>
      <c r="B1393" s="2" t="s">
        <v>33</v>
      </c>
      <c r="C1393" s="19">
        <v>46</v>
      </c>
      <c r="D1393" s="3" t="s">
        <v>496</v>
      </c>
      <c r="E1393" s="3" t="s">
        <v>18</v>
      </c>
      <c r="F1393" s="23">
        <v>218701</v>
      </c>
      <c r="G1393" s="15">
        <v>2018</v>
      </c>
      <c r="H1393" s="15">
        <f>Table_7[[#This Row],[Listing Price (USD)]]/10000</f>
        <v>21.870100000000001</v>
      </c>
      <c r="I1393" s="28">
        <f>Table_7[[#This Row],[Length 
(ft)]]</f>
        <v>46</v>
      </c>
      <c r="J1393" s="28">
        <f>2020-Table_7[[#This Row],[Year]]</f>
        <v>2</v>
      </c>
      <c r="K1393">
        <v>188925995936.80701</v>
      </c>
      <c r="L1393">
        <v>17658.947301119199</v>
      </c>
      <c r="M1393">
        <v>-1.2479835558140799</v>
      </c>
      <c r="N1393">
        <v>-9.0040436420214593</v>
      </c>
      <c r="O1393">
        <v>41.8</v>
      </c>
      <c r="P1393">
        <v>1162</v>
      </c>
      <c r="Q1393">
        <v>55</v>
      </c>
      <c r="R1393">
        <v>14.27</v>
      </c>
    </row>
    <row r="1394" spans="1:18" x14ac:dyDescent="0.25">
      <c r="A1394" s="1" t="s">
        <v>14</v>
      </c>
      <c r="B1394" s="2" t="s">
        <v>33</v>
      </c>
      <c r="C1394" s="19">
        <v>46</v>
      </c>
      <c r="D1394" s="3" t="s">
        <v>496</v>
      </c>
      <c r="E1394" s="3" t="s">
        <v>22</v>
      </c>
      <c r="F1394" s="23">
        <v>223504</v>
      </c>
      <c r="G1394" s="15">
        <v>2019</v>
      </c>
      <c r="H1394" s="15">
        <f>Table_7[[#This Row],[Listing Price (USD)]]/10000</f>
        <v>22.3504</v>
      </c>
      <c r="I1394" s="28">
        <f>Table_7[[#This Row],[Length 
(ft)]]</f>
        <v>46</v>
      </c>
      <c r="J1394" s="28">
        <f>2020-Table_7[[#This Row],[Year]]</f>
        <v>1</v>
      </c>
      <c r="K1394">
        <v>3889668895299.6201</v>
      </c>
      <c r="L1394">
        <v>46772.825350754501</v>
      </c>
      <c r="M1394">
        <v>0.50668988995327402</v>
      </c>
      <c r="N1394">
        <v>-3.6967887053804298</v>
      </c>
      <c r="O1394">
        <v>41.8</v>
      </c>
      <c r="P1394">
        <v>1162</v>
      </c>
      <c r="Q1394">
        <v>55</v>
      </c>
      <c r="R1394">
        <v>14.27</v>
      </c>
    </row>
    <row r="1395" spans="1:18" x14ac:dyDescent="0.25">
      <c r="A1395" s="1" t="s">
        <v>14</v>
      </c>
      <c r="B1395" s="2" t="s">
        <v>33</v>
      </c>
      <c r="C1395" s="19">
        <v>46</v>
      </c>
      <c r="D1395" s="3" t="s">
        <v>496</v>
      </c>
      <c r="E1395" s="3" t="s">
        <v>31</v>
      </c>
      <c r="F1395" s="23">
        <v>229578</v>
      </c>
      <c r="G1395" s="15">
        <v>2015</v>
      </c>
      <c r="H1395" s="15">
        <f>Table_7[[#This Row],[Listing Price (USD)]]/10000</f>
        <v>22.957799999999999</v>
      </c>
      <c r="I1395" s="28">
        <f>Table_7[[#This Row],[Length 
(ft)]]</f>
        <v>46</v>
      </c>
      <c r="J1395" s="28">
        <f>2020-Table_7[[#This Row],[Year]]</f>
        <v>5</v>
      </c>
      <c r="K1395">
        <v>57472012426.685303</v>
      </c>
      <c r="L1395">
        <v>14198.753959474399</v>
      </c>
      <c r="M1395">
        <v>0.15481137456202801</v>
      </c>
      <c r="N1395">
        <v>-8.5803430210621805</v>
      </c>
      <c r="O1395">
        <v>41.8</v>
      </c>
      <c r="P1395">
        <v>1162</v>
      </c>
      <c r="Q1395">
        <v>55</v>
      </c>
      <c r="R1395">
        <v>14.27</v>
      </c>
    </row>
    <row r="1396" spans="1:18" x14ac:dyDescent="0.25">
      <c r="A1396" s="1" t="s">
        <v>372</v>
      </c>
      <c r="B1396" s="3" t="s">
        <v>33</v>
      </c>
      <c r="C1396" s="19">
        <v>46</v>
      </c>
      <c r="D1396" s="3" t="s">
        <v>497</v>
      </c>
      <c r="E1396" s="3" t="s">
        <v>370</v>
      </c>
      <c r="F1396" s="23">
        <v>234000</v>
      </c>
      <c r="G1396" s="15">
        <v>2016</v>
      </c>
      <c r="H1396" s="15">
        <f>Table_7[[#This Row],[Listing Price (USD)]]/10000</f>
        <v>23.4</v>
      </c>
      <c r="I1396" s="28">
        <f>Table_7[[#This Row],[Length 
(ft)]]</f>
        <v>46</v>
      </c>
      <c r="J1396" s="28">
        <f>2020-Table_7[[#This Row],[Year]]</f>
        <v>4</v>
      </c>
      <c r="K1396">
        <v>500000000</v>
      </c>
      <c r="L1396">
        <v>34200</v>
      </c>
      <c r="M1396">
        <v>1.1000000000000001</v>
      </c>
      <c r="N1396">
        <v>2</v>
      </c>
      <c r="O1396">
        <v>41.8</v>
      </c>
      <c r="P1396">
        <v>1162</v>
      </c>
      <c r="Q1396">
        <v>55</v>
      </c>
      <c r="R1396">
        <v>14.27</v>
      </c>
    </row>
    <row r="1397" spans="1:18" x14ac:dyDescent="0.25">
      <c r="A1397" s="1" t="s">
        <v>14</v>
      </c>
      <c r="B1397" s="2" t="s">
        <v>33</v>
      </c>
      <c r="C1397" s="19">
        <v>46</v>
      </c>
      <c r="D1397" s="3" t="s">
        <v>496</v>
      </c>
      <c r="E1397" s="3" t="s">
        <v>9</v>
      </c>
      <c r="F1397" s="23">
        <v>249013</v>
      </c>
      <c r="G1397" s="15">
        <v>2015</v>
      </c>
      <c r="H1397" s="15">
        <f>Table_7[[#This Row],[Listing Price (USD)]]/10000</f>
        <v>24.901299999999999</v>
      </c>
      <c r="I1397" s="28">
        <f>Table_7[[#This Row],[Length 
(ft)]]</f>
        <v>46</v>
      </c>
      <c r="J1397" s="28">
        <f>2020-Table_7[[#This Row],[Year]]</f>
        <v>5</v>
      </c>
      <c r="K1397">
        <v>1276962685648.25</v>
      </c>
      <c r="L1397">
        <v>26959.675436732599</v>
      </c>
      <c r="M1397">
        <v>-0.32275301729970501</v>
      </c>
      <c r="N1397">
        <v>-11.3254383222864</v>
      </c>
      <c r="O1397">
        <v>41.8</v>
      </c>
      <c r="P1397">
        <v>1162</v>
      </c>
      <c r="Q1397">
        <v>55</v>
      </c>
      <c r="R1397">
        <v>14.27</v>
      </c>
    </row>
    <row r="1398" spans="1:18" x14ac:dyDescent="0.25">
      <c r="A1398" s="1" t="s">
        <v>14</v>
      </c>
      <c r="B1398" s="3" t="s">
        <v>33</v>
      </c>
      <c r="C1398" s="19">
        <v>46</v>
      </c>
      <c r="D1398" s="3" t="s">
        <v>497</v>
      </c>
      <c r="E1398" s="3" t="s">
        <v>498</v>
      </c>
      <c r="F1398" s="23">
        <v>250000</v>
      </c>
      <c r="G1398" s="15">
        <v>2015</v>
      </c>
      <c r="H1398" s="15">
        <f>Table_7[[#This Row],[Listing Price (USD)]]/10000</f>
        <v>25</v>
      </c>
      <c r="I1398" s="28">
        <f>Table_7[[#This Row],[Length 
(ft)]]</f>
        <v>46</v>
      </c>
      <c r="J1398" s="28">
        <f>2020-Table_7[[#This Row],[Year]]</f>
        <v>5</v>
      </c>
      <c r="K1398">
        <v>1090515389749.41</v>
      </c>
      <c r="L1398">
        <v>8655.0006820680301</v>
      </c>
      <c r="M1398">
        <v>3.3968341556999899</v>
      </c>
      <c r="N1398">
        <v>-7.9879123401474903</v>
      </c>
      <c r="O1398">
        <v>41.8</v>
      </c>
      <c r="P1398">
        <v>1162</v>
      </c>
      <c r="Q1398">
        <v>55</v>
      </c>
      <c r="R1398">
        <v>14.27</v>
      </c>
    </row>
    <row r="1399" spans="1:18" x14ac:dyDescent="0.25">
      <c r="A1399" s="1" t="s">
        <v>14</v>
      </c>
      <c r="B1399" s="2" t="s">
        <v>33</v>
      </c>
      <c r="C1399" s="19">
        <v>46</v>
      </c>
      <c r="D1399" s="3" t="s">
        <v>496</v>
      </c>
      <c r="E1399" s="3" t="s">
        <v>22</v>
      </c>
      <c r="F1399" s="23">
        <v>253872</v>
      </c>
      <c r="G1399" s="15">
        <v>2019</v>
      </c>
      <c r="H1399" s="15">
        <f>Table_7[[#This Row],[Listing Price (USD)]]/10000</f>
        <v>25.3872</v>
      </c>
      <c r="I1399" s="28">
        <f>Table_7[[#This Row],[Length 
(ft)]]</f>
        <v>46</v>
      </c>
      <c r="J1399" s="28">
        <f>2020-Table_7[[#This Row],[Year]]</f>
        <v>1</v>
      </c>
      <c r="K1399">
        <v>3889668895299.6201</v>
      </c>
      <c r="L1399">
        <v>46772.825350754501</v>
      </c>
      <c r="M1399">
        <v>0.50668988995327402</v>
      </c>
      <c r="N1399">
        <v>-3.6967887053804298</v>
      </c>
      <c r="O1399">
        <v>41.8</v>
      </c>
      <c r="P1399">
        <v>1162</v>
      </c>
      <c r="Q1399">
        <v>55</v>
      </c>
      <c r="R1399">
        <v>14.27</v>
      </c>
    </row>
    <row r="1400" spans="1:18" x14ac:dyDescent="0.25">
      <c r="A1400" s="1" t="s">
        <v>14</v>
      </c>
      <c r="B1400" s="2" t="s">
        <v>33</v>
      </c>
      <c r="C1400" s="19">
        <v>46</v>
      </c>
      <c r="D1400" s="3" t="s">
        <v>496</v>
      </c>
      <c r="E1400" s="3" t="s">
        <v>24</v>
      </c>
      <c r="F1400" s="23">
        <v>274278</v>
      </c>
      <c r="G1400" s="15">
        <v>2018</v>
      </c>
      <c r="H1400" s="15">
        <f>Table_7[[#This Row],[Listing Price (USD)]]/10000</f>
        <v>27.427800000000001</v>
      </c>
      <c r="I1400" s="28">
        <f>Table_7[[#This Row],[Length 
(ft)]]</f>
        <v>46</v>
      </c>
      <c r="J1400" s="28">
        <f>2020-Table_7[[#This Row],[Year]]</f>
        <v>2</v>
      </c>
      <c r="K1400">
        <v>1896755301518.1399</v>
      </c>
      <c r="L1400">
        <v>31911.0357890017</v>
      </c>
      <c r="M1400">
        <v>-0.13770757391656999</v>
      </c>
      <c r="N1400">
        <v>-9.0399534112288507</v>
      </c>
      <c r="O1400">
        <v>41.8</v>
      </c>
      <c r="P1400">
        <v>1162</v>
      </c>
      <c r="Q1400">
        <v>55</v>
      </c>
      <c r="R1400">
        <v>14.27</v>
      </c>
    </row>
    <row r="1401" spans="1:18" x14ac:dyDescent="0.25">
      <c r="A1401" s="1" t="s">
        <v>14</v>
      </c>
      <c r="B1401" s="2" t="s">
        <v>33</v>
      </c>
      <c r="C1401" s="19">
        <v>46</v>
      </c>
      <c r="D1401" s="3" t="s">
        <v>496</v>
      </c>
      <c r="E1401" s="3" t="s">
        <v>31</v>
      </c>
      <c r="F1401" s="23">
        <v>280595</v>
      </c>
      <c r="G1401" s="15">
        <v>2015</v>
      </c>
      <c r="H1401" s="15">
        <f>Table_7[[#This Row],[Listing Price (USD)]]/10000</f>
        <v>28.0595</v>
      </c>
      <c r="I1401" s="28">
        <f>Table_7[[#This Row],[Length 
(ft)]]</f>
        <v>46</v>
      </c>
      <c r="J1401" s="28">
        <f>2020-Table_7[[#This Row],[Year]]</f>
        <v>5</v>
      </c>
      <c r="K1401">
        <v>57472012426.685303</v>
      </c>
      <c r="L1401">
        <v>14198.753959474399</v>
      </c>
      <c r="M1401">
        <v>0.15481137456202801</v>
      </c>
      <c r="N1401">
        <v>-8.5803430210621805</v>
      </c>
      <c r="O1401">
        <v>41.8</v>
      </c>
      <c r="P1401">
        <v>1162</v>
      </c>
      <c r="Q1401">
        <v>55</v>
      </c>
      <c r="R1401">
        <v>14.27</v>
      </c>
    </row>
    <row r="1402" spans="1:18" x14ac:dyDescent="0.25">
      <c r="A1402" s="1" t="s">
        <v>14</v>
      </c>
      <c r="B1402" s="2" t="s">
        <v>35</v>
      </c>
      <c r="C1402" s="19">
        <v>46</v>
      </c>
      <c r="D1402" s="3" t="s">
        <v>496</v>
      </c>
      <c r="E1402" s="3" t="s">
        <v>19</v>
      </c>
      <c r="F1402" s="23">
        <v>279720</v>
      </c>
      <c r="G1402" s="15">
        <v>2016</v>
      </c>
      <c r="H1402" s="15">
        <f>Table_7[[#This Row],[Listing Price (USD)]]/10000</f>
        <v>27.972000000000001</v>
      </c>
      <c r="I1402" s="28">
        <f>Table_7[[#This Row],[Length 
(ft)]]</f>
        <v>46</v>
      </c>
      <c r="J1402" s="28">
        <f>2020-Table_7[[#This Row],[Year]]</f>
        <v>4</v>
      </c>
      <c r="K1402">
        <v>4200000000</v>
      </c>
      <c r="L1402">
        <v>39553.199999999997</v>
      </c>
      <c r="M1402">
        <v>4.0999999999999996</v>
      </c>
      <c r="N1402">
        <v>-2.1</v>
      </c>
      <c r="O1402">
        <v>41.8</v>
      </c>
      <c r="P1402">
        <v>1162.002</v>
      </c>
      <c r="Q1402">
        <v>55</v>
      </c>
      <c r="R1402">
        <v>14.27</v>
      </c>
    </row>
    <row r="1403" spans="1:18" x14ac:dyDescent="0.25">
      <c r="A1403" s="1" t="s">
        <v>380</v>
      </c>
      <c r="B1403" s="3" t="s">
        <v>381</v>
      </c>
      <c r="C1403" s="19">
        <v>46</v>
      </c>
      <c r="D1403" s="3" t="s">
        <v>497</v>
      </c>
      <c r="E1403" s="3" t="s">
        <v>498</v>
      </c>
      <c r="F1403" s="23">
        <v>200000</v>
      </c>
      <c r="G1403" s="15">
        <v>2006</v>
      </c>
      <c r="H1403" s="15">
        <f>Table_7[[#This Row],[Listing Price (USD)]]/10000</f>
        <v>20</v>
      </c>
      <c r="I1403" s="28">
        <f>Table_7[[#This Row],[Length 
(ft)]]</f>
        <v>46</v>
      </c>
      <c r="J1403" s="28">
        <f>2020-Table_7[[#This Row],[Year]]</f>
        <v>14</v>
      </c>
      <c r="K1403">
        <v>1090515389749.41</v>
      </c>
      <c r="L1403">
        <v>8655.0006820680301</v>
      </c>
      <c r="M1403">
        <v>3.3968341556999899</v>
      </c>
      <c r="N1403">
        <v>-7.9879123401474903</v>
      </c>
      <c r="O1403">
        <v>41.8</v>
      </c>
      <c r="P1403">
        <v>1162</v>
      </c>
      <c r="Q1403">
        <v>55</v>
      </c>
      <c r="R1403">
        <v>14.27</v>
      </c>
    </row>
    <row r="1404" spans="1:18" x14ac:dyDescent="0.25">
      <c r="A1404" s="1" t="s">
        <v>187</v>
      </c>
      <c r="B1404" s="3" t="s">
        <v>344</v>
      </c>
      <c r="C1404" s="19">
        <v>46</v>
      </c>
      <c r="D1404" s="3" t="s">
        <v>495</v>
      </c>
      <c r="E1404" s="3" t="s">
        <v>519</v>
      </c>
      <c r="F1404" s="23">
        <v>142500</v>
      </c>
      <c r="G1404" s="15">
        <v>2005</v>
      </c>
      <c r="H1404" s="15">
        <f>Table_7[[#This Row],[Listing Price (USD)]]/10000</f>
        <v>14.25</v>
      </c>
      <c r="I1404" s="28">
        <f>Table_7[[#This Row],[Length 
(ft)]]</f>
        <v>46</v>
      </c>
      <c r="J1404" s="28">
        <f>2020-Table_7[[#This Row],[Year]]</f>
        <v>15</v>
      </c>
      <c r="K1404">
        <v>589829000000</v>
      </c>
      <c r="L1404">
        <v>56404.23</v>
      </c>
      <c r="M1404">
        <v>1.23</v>
      </c>
      <c r="N1404">
        <v>2.8</v>
      </c>
      <c r="O1404">
        <v>41.8</v>
      </c>
      <c r="P1404">
        <v>1162</v>
      </c>
      <c r="Q1404">
        <v>55</v>
      </c>
      <c r="R1404">
        <v>14.27</v>
      </c>
    </row>
    <row r="1405" spans="1:18" x14ac:dyDescent="0.25">
      <c r="A1405" s="1" t="s">
        <v>365</v>
      </c>
      <c r="B1405" s="3" t="s">
        <v>366</v>
      </c>
      <c r="C1405" s="19">
        <v>46</v>
      </c>
      <c r="D1405" s="3" t="s">
        <v>495</v>
      </c>
      <c r="E1405" s="3" t="s">
        <v>538</v>
      </c>
      <c r="F1405" s="23">
        <v>275000</v>
      </c>
      <c r="G1405" s="15">
        <v>2007</v>
      </c>
      <c r="H1405" s="15">
        <f>Table_7[[#This Row],[Listing Price (USD)]]/10000</f>
        <v>27.5</v>
      </c>
      <c r="I1405" s="28">
        <f>Table_7[[#This Row],[Length 
(ft)]]</f>
        <v>46</v>
      </c>
      <c r="J1405" s="28">
        <f>2020-Table_7[[#This Row],[Year]]</f>
        <v>13</v>
      </c>
      <c r="K1405">
        <v>157182045260.23001</v>
      </c>
      <c r="L1405">
        <v>16120.9890495243</v>
      </c>
      <c r="M1405">
        <v>3.3267438576672999</v>
      </c>
      <c r="N1405">
        <v>-4.5472638232322398</v>
      </c>
      <c r="O1405">
        <v>41.8</v>
      </c>
      <c r="P1405">
        <v>1162</v>
      </c>
      <c r="Q1405">
        <v>55</v>
      </c>
      <c r="R1405">
        <v>14.27</v>
      </c>
    </row>
    <row r="1406" spans="1:18" x14ac:dyDescent="0.25">
      <c r="A1406" s="1" t="s">
        <v>195</v>
      </c>
      <c r="B1406" s="3" t="s">
        <v>349</v>
      </c>
      <c r="C1406" s="19">
        <v>42</v>
      </c>
      <c r="D1406" s="3" t="s">
        <v>495</v>
      </c>
      <c r="E1406" s="3" t="s">
        <v>521</v>
      </c>
      <c r="F1406" s="23">
        <v>149900</v>
      </c>
      <c r="G1406" s="15">
        <v>2005</v>
      </c>
      <c r="H1406" s="15">
        <f>Table_7[[#This Row],[Listing Price (USD)]]/10000</f>
        <v>14.99</v>
      </c>
      <c r="I1406" s="28">
        <f>Table_7[[#This Row],[Length 
(ft)]]</f>
        <v>42</v>
      </c>
      <c r="J1406" s="28">
        <f>2020-Table_7[[#This Row],[Year]]</f>
        <v>15</v>
      </c>
      <c r="K1406">
        <v>60556000000</v>
      </c>
      <c r="L1406">
        <v>55240.56</v>
      </c>
      <c r="M1406">
        <v>3</v>
      </c>
      <c r="N1406">
        <v>2.2000000000000002</v>
      </c>
      <c r="O1406">
        <v>37.57</v>
      </c>
      <c r="P1406">
        <v>838</v>
      </c>
      <c r="Q1406">
        <v>55</v>
      </c>
      <c r="R1406">
        <v>12.53</v>
      </c>
    </row>
    <row r="1407" spans="1:18" x14ac:dyDescent="0.25">
      <c r="A1407" s="1" t="s">
        <v>195</v>
      </c>
      <c r="B1407" s="3" t="s">
        <v>349</v>
      </c>
      <c r="C1407" s="19">
        <v>42</v>
      </c>
      <c r="D1407" s="3" t="s">
        <v>495</v>
      </c>
      <c r="E1407" s="3" t="s">
        <v>518</v>
      </c>
      <c r="F1407" s="23">
        <v>165000</v>
      </c>
      <c r="G1407" s="15">
        <v>2005</v>
      </c>
      <c r="H1407" s="15">
        <f>Table_7[[#This Row],[Listing Price (USD)]]/10000</f>
        <v>16.5</v>
      </c>
      <c r="I1407" s="28">
        <f>Table_7[[#This Row],[Length 
(ft)]]</f>
        <v>42</v>
      </c>
      <c r="J1407" s="28">
        <f>2020-Table_7[[#This Row],[Year]]</f>
        <v>15</v>
      </c>
      <c r="K1407">
        <v>1724759000000</v>
      </c>
      <c r="L1407">
        <v>85575.039999999994</v>
      </c>
      <c r="M1407">
        <v>1.23</v>
      </c>
      <c r="N1407">
        <v>3.8</v>
      </c>
      <c r="O1407">
        <v>37.57</v>
      </c>
      <c r="P1407">
        <v>838</v>
      </c>
      <c r="Q1407">
        <v>55</v>
      </c>
      <c r="R1407">
        <v>12.53</v>
      </c>
    </row>
    <row r="1408" spans="1:18" x14ac:dyDescent="0.25">
      <c r="A1408" s="1" t="s">
        <v>195</v>
      </c>
      <c r="B1408" s="3" t="s">
        <v>349</v>
      </c>
      <c r="C1408" s="19">
        <v>42</v>
      </c>
      <c r="D1408" s="3" t="s">
        <v>495</v>
      </c>
      <c r="E1408" s="3" t="s">
        <v>526</v>
      </c>
      <c r="F1408" s="23">
        <v>198500</v>
      </c>
      <c r="G1408" s="15">
        <v>2006</v>
      </c>
      <c r="H1408" s="15">
        <f>Table_7[[#This Row],[Listing Price (USD)]]/10000</f>
        <v>19.850000000000001</v>
      </c>
      <c r="I1408" s="28">
        <f>Table_7[[#This Row],[Length 
(ft)]]</f>
        <v>42</v>
      </c>
      <c r="J1408" s="28">
        <f>2020-Table_7[[#This Row],[Year]]</f>
        <v>14</v>
      </c>
      <c r="K1408">
        <v>4200000000</v>
      </c>
      <c r="L1408">
        <v>39553.199999999997</v>
      </c>
      <c r="M1408">
        <v>4.0999999999999996</v>
      </c>
      <c r="N1408">
        <v>-2.1</v>
      </c>
      <c r="O1408">
        <v>37.57</v>
      </c>
      <c r="P1408">
        <v>838</v>
      </c>
      <c r="Q1408">
        <v>55</v>
      </c>
      <c r="R1408">
        <v>12.53</v>
      </c>
    </row>
    <row r="1409" spans="1:18" x14ac:dyDescent="0.25">
      <c r="A1409" s="1" t="s">
        <v>14</v>
      </c>
      <c r="B1409" s="2" t="s">
        <v>34</v>
      </c>
      <c r="C1409" s="19">
        <v>46</v>
      </c>
      <c r="D1409" s="3" t="s">
        <v>496</v>
      </c>
      <c r="E1409" s="3" t="s">
        <v>9</v>
      </c>
      <c r="F1409" s="23">
        <v>217486</v>
      </c>
      <c r="G1409" s="15">
        <v>2013</v>
      </c>
      <c r="H1409" s="15">
        <f>Table_7[[#This Row],[Listing Price (USD)]]/10000</f>
        <v>21.7486</v>
      </c>
      <c r="I1409" s="28">
        <f>Table_7[[#This Row],[Length 
(ft)]]</f>
        <v>46</v>
      </c>
      <c r="J1409" s="28">
        <f>2020-Table_7[[#This Row],[Year]]</f>
        <v>7</v>
      </c>
      <c r="K1409">
        <v>1276962685648.25</v>
      </c>
      <c r="L1409">
        <v>26959.675436732599</v>
      </c>
      <c r="M1409">
        <v>-0.32275301729970501</v>
      </c>
      <c r="N1409">
        <v>-11.3254383222864</v>
      </c>
      <c r="O1409">
        <v>42.09</v>
      </c>
      <c r="P1409">
        <v>988.00199999999995</v>
      </c>
      <c r="Q1409">
        <v>55</v>
      </c>
      <c r="R1409">
        <v>13.75</v>
      </c>
    </row>
    <row r="1410" spans="1:18" x14ac:dyDescent="0.25">
      <c r="A1410" s="1" t="s">
        <v>14</v>
      </c>
      <c r="B1410" s="2" t="s">
        <v>34</v>
      </c>
      <c r="C1410" s="19">
        <v>46</v>
      </c>
      <c r="D1410" s="3" t="s">
        <v>496</v>
      </c>
      <c r="E1410" s="3" t="s">
        <v>9</v>
      </c>
      <c r="F1410" s="23">
        <v>218093</v>
      </c>
      <c r="G1410" s="15">
        <v>2013</v>
      </c>
      <c r="H1410" s="15">
        <f>Table_7[[#This Row],[Listing Price (USD)]]/10000</f>
        <v>21.8093</v>
      </c>
      <c r="I1410" s="28">
        <f>Table_7[[#This Row],[Length 
(ft)]]</f>
        <v>46</v>
      </c>
      <c r="J1410" s="28">
        <f>2020-Table_7[[#This Row],[Year]]</f>
        <v>7</v>
      </c>
      <c r="K1410">
        <v>1276962685648.25</v>
      </c>
      <c r="L1410">
        <v>26959.675436732599</v>
      </c>
      <c r="M1410">
        <v>-0.32275301729970501</v>
      </c>
      <c r="N1410">
        <v>-11.3254383222864</v>
      </c>
      <c r="O1410">
        <v>42.09</v>
      </c>
      <c r="P1410">
        <v>988.00199999999995</v>
      </c>
      <c r="Q1410">
        <v>55</v>
      </c>
      <c r="R1410">
        <v>13.75</v>
      </c>
    </row>
    <row r="1411" spans="1:18" x14ac:dyDescent="0.25">
      <c r="A1411" s="1" t="s">
        <v>14</v>
      </c>
      <c r="B1411" s="3" t="s">
        <v>34</v>
      </c>
      <c r="C1411" s="19">
        <v>46</v>
      </c>
      <c r="D1411" s="3" t="s">
        <v>495</v>
      </c>
      <c r="E1411" s="3" t="s">
        <v>500</v>
      </c>
      <c r="F1411" s="23">
        <v>234900</v>
      </c>
      <c r="G1411" s="15">
        <v>2013</v>
      </c>
      <c r="H1411" s="15">
        <f>Table_7[[#This Row],[Listing Price (USD)]]/10000</f>
        <v>23.49</v>
      </c>
      <c r="I1411" s="28">
        <f>Table_7[[#This Row],[Length 
(ft)]]</f>
        <v>46</v>
      </c>
      <c r="J1411" s="28">
        <f>2020-Table_7[[#This Row],[Year]]</f>
        <v>7</v>
      </c>
      <c r="K1411">
        <v>3007188000000</v>
      </c>
      <c r="L1411">
        <v>76131.839999999997</v>
      </c>
      <c r="M1411">
        <v>1.23</v>
      </c>
      <c r="N1411">
        <v>2.7</v>
      </c>
      <c r="O1411">
        <v>42.09</v>
      </c>
      <c r="P1411">
        <v>988.00199999999995</v>
      </c>
      <c r="Q1411">
        <v>55</v>
      </c>
      <c r="R1411">
        <v>13.75</v>
      </c>
    </row>
    <row r="1412" spans="1:18" x14ac:dyDescent="0.25">
      <c r="A1412" s="1" t="s">
        <v>14</v>
      </c>
      <c r="B1412" s="3" t="s">
        <v>34</v>
      </c>
      <c r="C1412" s="19">
        <v>46</v>
      </c>
      <c r="D1412" s="3" t="s">
        <v>495</v>
      </c>
      <c r="E1412" s="3" t="s">
        <v>500</v>
      </c>
      <c r="F1412" s="23">
        <v>269000</v>
      </c>
      <c r="G1412" s="15">
        <v>2014</v>
      </c>
      <c r="H1412" s="15">
        <f>Table_7[[#This Row],[Listing Price (USD)]]/10000</f>
        <v>26.9</v>
      </c>
      <c r="I1412" s="28">
        <f>Table_7[[#This Row],[Length 
(ft)]]</f>
        <v>46</v>
      </c>
      <c r="J1412" s="28">
        <f>2020-Table_7[[#This Row],[Year]]</f>
        <v>6</v>
      </c>
      <c r="K1412">
        <v>3007188000000</v>
      </c>
      <c r="L1412">
        <v>76131.839999999997</v>
      </c>
      <c r="M1412">
        <v>1.23</v>
      </c>
      <c r="N1412">
        <v>2.7</v>
      </c>
      <c r="O1412">
        <v>42.09</v>
      </c>
      <c r="P1412">
        <v>988.00199999999995</v>
      </c>
      <c r="Q1412">
        <v>55</v>
      </c>
      <c r="R1412">
        <v>13.75</v>
      </c>
    </row>
    <row r="1413" spans="1:18" x14ac:dyDescent="0.25">
      <c r="A1413" s="1" t="s">
        <v>14</v>
      </c>
      <c r="B1413" s="2" t="s">
        <v>34</v>
      </c>
      <c r="C1413" s="19">
        <v>46</v>
      </c>
      <c r="D1413" s="3" t="s">
        <v>496</v>
      </c>
      <c r="E1413" s="3" t="s">
        <v>9</v>
      </c>
      <c r="F1413" s="23">
        <v>291527</v>
      </c>
      <c r="G1413" s="15">
        <v>2015</v>
      </c>
      <c r="H1413" s="15">
        <f>Table_7[[#This Row],[Listing Price (USD)]]/10000</f>
        <v>29.152699999999999</v>
      </c>
      <c r="I1413" s="28">
        <f>Table_7[[#This Row],[Length 
(ft)]]</f>
        <v>46</v>
      </c>
      <c r="J1413" s="28">
        <f>2020-Table_7[[#This Row],[Year]]</f>
        <v>5</v>
      </c>
      <c r="K1413">
        <v>1276962685648.25</v>
      </c>
      <c r="L1413">
        <v>26959.675436732599</v>
      </c>
      <c r="M1413">
        <v>-0.32275301729970501</v>
      </c>
      <c r="N1413">
        <v>-11.3254383222864</v>
      </c>
      <c r="O1413">
        <v>42.09</v>
      </c>
      <c r="P1413">
        <v>988.00199999999995</v>
      </c>
      <c r="Q1413">
        <v>55</v>
      </c>
      <c r="R1413">
        <v>13.75</v>
      </c>
    </row>
    <row r="1414" spans="1:18" x14ac:dyDescent="0.25">
      <c r="A1414" s="1" t="s">
        <v>14</v>
      </c>
      <c r="B1414" s="2" t="s">
        <v>34</v>
      </c>
      <c r="C1414" s="19">
        <v>46</v>
      </c>
      <c r="D1414" s="3" t="s">
        <v>496</v>
      </c>
      <c r="E1414" s="3" t="s">
        <v>9</v>
      </c>
      <c r="F1414" s="23">
        <v>291601</v>
      </c>
      <c r="G1414" s="15">
        <v>2015</v>
      </c>
      <c r="H1414" s="15">
        <f>Table_7[[#This Row],[Listing Price (USD)]]/10000</f>
        <v>29.1601</v>
      </c>
      <c r="I1414" s="28">
        <f>Table_7[[#This Row],[Length 
(ft)]]</f>
        <v>46</v>
      </c>
      <c r="J1414" s="28">
        <f>2020-Table_7[[#This Row],[Year]]</f>
        <v>5</v>
      </c>
      <c r="K1414">
        <v>1276962685648.25</v>
      </c>
      <c r="L1414">
        <v>26959.675436732599</v>
      </c>
      <c r="M1414">
        <v>-0.32275301729970501</v>
      </c>
      <c r="N1414">
        <v>-11.3254383222864</v>
      </c>
      <c r="O1414">
        <v>42.09</v>
      </c>
      <c r="P1414">
        <v>988.00199999999995</v>
      </c>
      <c r="Q1414">
        <v>55</v>
      </c>
      <c r="R1414">
        <v>13.75</v>
      </c>
    </row>
    <row r="1415" spans="1:18" x14ac:dyDescent="0.25">
      <c r="A1415" s="1" t="s">
        <v>14</v>
      </c>
      <c r="B1415" s="3" t="s">
        <v>34</v>
      </c>
      <c r="C1415" s="19">
        <v>46</v>
      </c>
      <c r="D1415" s="3" t="s">
        <v>495</v>
      </c>
      <c r="E1415" s="3" t="s">
        <v>554</v>
      </c>
      <c r="F1415" s="23">
        <v>299000</v>
      </c>
      <c r="G1415" s="15">
        <v>2014</v>
      </c>
      <c r="H1415" s="15">
        <f>Table_7[[#This Row],[Listing Price (USD)]]/10000</f>
        <v>29.9</v>
      </c>
      <c r="I1415" s="28">
        <f>Table_7[[#This Row],[Length 
(ft)]]</f>
        <v>46</v>
      </c>
      <c r="J1415" s="28">
        <f>2020-Table_7[[#This Row],[Year]]</f>
        <v>6</v>
      </c>
      <c r="K1415">
        <v>4200000000</v>
      </c>
      <c r="L1415">
        <v>39553.199999999997</v>
      </c>
      <c r="M1415">
        <v>4.0999999999999996</v>
      </c>
      <c r="N1415">
        <v>-2.1</v>
      </c>
      <c r="O1415">
        <v>42.09</v>
      </c>
      <c r="P1415">
        <v>988.00199999999995</v>
      </c>
      <c r="Q1415">
        <v>55</v>
      </c>
      <c r="R1415">
        <v>13.75</v>
      </c>
    </row>
    <row r="1416" spans="1:18" x14ac:dyDescent="0.25">
      <c r="A1416" s="1" t="s">
        <v>14</v>
      </c>
      <c r="B1416" s="2" t="s">
        <v>34</v>
      </c>
      <c r="C1416" s="19">
        <v>46</v>
      </c>
      <c r="D1416" s="3" t="s">
        <v>496</v>
      </c>
      <c r="E1416" s="3" t="s">
        <v>18</v>
      </c>
      <c r="F1416" s="23">
        <v>334126</v>
      </c>
      <c r="G1416" s="15">
        <v>2016</v>
      </c>
      <c r="H1416" s="15">
        <f>Table_7[[#This Row],[Listing Price (USD)]]/10000</f>
        <v>33.412599999999998</v>
      </c>
      <c r="I1416" s="28">
        <f>Table_7[[#This Row],[Length 
(ft)]]</f>
        <v>46</v>
      </c>
      <c r="J1416" s="28">
        <f>2020-Table_7[[#This Row],[Year]]</f>
        <v>4</v>
      </c>
      <c r="K1416">
        <v>188925995936.80701</v>
      </c>
      <c r="L1416">
        <v>17658.947301119199</v>
      </c>
      <c r="M1416">
        <v>-1.2479835558140799</v>
      </c>
      <c r="N1416">
        <v>-9.0040436420214593</v>
      </c>
      <c r="O1416">
        <v>42.09</v>
      </c>
      <c r="P1416">
        <v>988.00199999999995</v>
      </c>
      <c r="Q1416">
        <v>55</v>
      </c>
      <c r="R1416">
        <v>13.75</v>
      </c>
    </row>
    <row r="1417" spans="1:18" x14ac:dyDescent="0.25">
      <c r="A1417" s="1" t="s">
        <v>304</v>
      </c>
      <c r="B1417" s="2" t="s">
        <v>314</v>
      </c>
      <c r="C1417" s="19">
        <v>46</v>
      </c>
      <c r="D1417" s="3" t="s">
        <v>496</v>
      </c>
      <c r="E1417" s="3" t="s">
        <v>237</v>
      </c>
      <c r="F1417" s="23">
        <v>570907</v>
      </c>
      <c r="G1417" s="15">
        <v>2019</v>
      </c>
      <c r="H1417" s="15">
        <f>Table_7[[#This Row],[Listing Price (USD)]]/10000</f>
        <v>57.090699999999998</v>
      </c>
      <c r="I1417" s="28">
        <f>Table_7[[#This Row],[Length 
(ft)]]</f>
        <v>46</v>
      </c>
      <c r="J1417" s="28">
        <f>2020-Table_7[[#This Row],[Year]]</f>
        <v>1</v>
      </c>
      <c r="K1417">
        <v>229031860520.77701</v>
      </c>
      <c r="L1417">
        <v>22242.406417972001</v>
      </c>
      <c r="M1417">
        <v>-1.2438329957616699E-2</v>
      </c>
      <c r="N1417">
        <v>-8.3005160422115107</v>
      </c>
      <c r="O1417">
        <v>41.8</v>
      </c>
      <c r="P1417">
        <v>1162</v>
      </c>
      <c r="Q1417">
        <v>55</v>
      </c>
      <c r="R1417">
        <v>14.27</v>
      </c>
    </row>
    <row r="1418" spans="1:18" x14ac:dyDescent="0.25">
      <c r="A1418" s="1" t="s">
        <v>304</v>
      </c>
      <c r="B1418" s="2" t="s">
        <v>313</v>
      </c>
      <c r="C1418" s="19">
        <v>46</v>
      </c>
      <c r="D1418" s="3" t="s">
        <v>496</v>
      </c>
      <c r="E1418" s="3" t="s">
        <v>24</v>
      </c>
      <c r="F1418" s="23">
        <v>224776</v>
      </c>
      <c r="G1418" s="15">
        <v>2007</v>
      </c>
      <c r="H1418" s="15">
        <f>Table_7[[#This Row],[Listing Price (USD)]]/10000</f>
        <v>22.477599999999999</v>
      </c>
      <c r="I1418" s="28">
        <f>Table_7[[#This Row],[Length 
(ft)]]</f>
        <v>46</v>
      </c>
      <c r="J1418" s="28">
        <f>2020-Table_7[[#This Row],[Year]]</f>
        <v>13</v>
      </c>
      <c r="K1418">
        <v>1896755301518.1399</v>
      </c>
      <c r="L1418">
        <v>31911.0357890017</v>
      </c>
      <c r="M1418">
        <v>-0.13770757391656999</v>
      </c>
      <c r="N1418">
        <v>-9.0399534112288507</v>
      </c>
      <c r="O1418">
        <v>41.8</v>
      </c>
      <c r="P1418">
        <v>1162</v>
      </c>
      <c r="Q1418">
        <v>55</v>
      </c>
      <c r="R1418">
        <v>14.27</v>
      </c>
    </row>
    <row r="1419" spans="1:18" x14ac:dyDescent="0.25">
      <c r="A1419" s="1" t="s">
        <v>304</v>
      </c>
      <c r="B1419" s="2" t="s">
        <v>313</v>
      </c>
      <c r="C1419" s="19">
        <v>46</v>
      </c>
      <c r="D1419" s="3" t="s">
        <v>496</v>
      </c>
      <c r="E1419" s="3" t="s">
        <v>63</v>
      </c>
      <c r="F1419" s="23">
        <v>241725</v>
      </c>
      <c r="G1419" s="15">
        <v>2007</v>
      </c>
      <c r="H1419" s="15">
        <f>Table_7[[#This Row],[Listing Price (USD)]]/10000</f>
        <v>24.172499999999999</v>
      </c>
      <c r="I1419" s="28">
        <f>Table_7[[#This Row],[Length 
(ft)]]</f>
        <v>46</v>
      </c>
      <c r="J1419" s="28">
        <f>2020-Table_7[[#This Row],[Year]]</f>
        <v>13</v>
      </c>
      <c r="K1419">
        <v>720290000035</v>
      </c>
      <c r="L1419">
        <v>13341.6</v>
      </c>
      <c r="M1419">
        <v>13</v>
      </c>
      <c r="N1419">
        <v>-3</v>
      </c>
      <c r="O1419">
        <v>41.8</v>
      </c>
      <c r="P1419">
        <v>1162</v>
      </c>
      <c r="Q1419">
        <v>55</v>
      </c>
      <c r="R1419">
        <v>14.27</v>
      </c>
    </row>
    <row r="1420" spans="1:18" x14ac:dyDescent="0.25">
      <c r="A1420" s="1" t="s">
        <v>143</v>
      </c>
      <c r="B1420" s="2">
        <v>450</v>
      </c>
      <c r="C1420" s="19">
        <v>44</v>
      </c>
      <c r="D1420" s="3" t="s">
        <v>496</v>
      </c>
      <c r="E1420" s="3" t="s">
        <v>24</v>
      </c>
      <c r="F1420" s="23">
        <v>157911</v>
      </c>
      <c r="G1420" s="15">
        <v>2008</v>
      </c>
      <c r="H1420" s="15">
        <f>Table_7[[#This Row],[Listing Price (USD)]]/10000</f>
        <v>15.7911</v>
      </c>
      <c r="I1420" s="28">
        <f>Table_7[[#This Row],[Length 
(ft)]]</f>
        <v>44</v>
      </c>
      <c r="J1420" s="28">
        <f>2020-Table_7[[#This Row],[Year]]</f>
        <v>12</v>
      </c>
      <c r="K1420">
        <v>1896755301518.1399</v>
      </c>
      <c r="L1420">
        <v>31911.0357890017</v>
      </c>
      <c r="M1420">
        <v>-0.13770757391656999</v>
      </c>
      <c r="N1420">
        <v>-9.0399534112288507</v>
      </c>
      <c r="O1420">
        <v>41.08</v>
      </c>
      <c r="P1420">
        <v>1018</v>
      </c>
      <c r="Q1420">
        <v>54</v>
      </c>
      <c r="R1420">
        <v>14.3</v>
      </c>
    </row>
    <row r="1421" spans="1:18" x14ac:dyDescent="0.25">
      <c r="A1421" s="1" t="s">
        <v>143</v>
      </c>
      <c r="B1421" s="2">
        <v>450</v>
      </c>
      <c r="C1421" s="19">
        <v>44</v>
      </c>
      <c r="D1421" s="3" t="s">
        <v>496</v>
      </c>
      <c r="E1421" s="3" t="s">
        <v>31</v>
      </c>
      <c r="F1421" s="23">
        <v>168843</v>
      </c>
      <c r="G1421" s="15">
        <v>2008</v>
      </c>
      <c r="H1421" s="15">
        <f>Table_7[[#This Row],[Listing Price (USD)]]/10000</f>
        <v>16.8843</v>
      </c>
      <c r="I1421" s="28">
        <f>Table_7[[#This Row],[Length 
(ft)]]</f>
        <v>44</v>
      </c>
      <c r="J1421" s="28">
        <f>2020-Table_7[[#This Row],[Year]]</f>
        <v>12</v>
      </c>
      <c r="K1421">
        <v>57472012426.685303</v>
      </c>
      <c r="L1421">
        <v>14198.753959474399</v>
      </c>
      <c r="M1421">
        <v>0.15481137456202801</v>
      </c>
      <c r="N1421">
        <v>-8.5803430210621805</v>
      </c>
      <c r="O1421">
        <v>41.08</v>
      </c>
      <c r="P1421">
        <v>1018</v>
      </c>
      <c r="Q1421">
        <v>54</v>
      </c>
      <c r="R1421">
        <v>14.3</v>
      </c>
    </row>
    <row r="1422" spans="1:18" x14ac:dyDescent="0.25">
      <c r="A1422" s="1" t="s">
        <v>143</v>
      </c>
      <c r="B1422" s="2">
        <v>450</v>
      </c>
      <c r="C1422" s="19">
        <v>44</v>
      </c>
      <c r="D1422" s="3" t="s">
        <v>496</v>
      </c>
      <c r="E1422" s="3" t="s">
        <v>31</v>
      </c>
      <c r="F1422" s="23">
        <v>182015</v>
      </c>
      <c r="G1422" s="15">
        <v>2008</v>
      </c>
      <c r="H1422" s="15">
        <f>Table_7[[#This Row],[Listing Price (USD)]]/10000</f>
        <v>18.201499999999999</v>
      </c>
      <c r="I1422" s="28">
        <f>Table_7[[#This Row],[Length 
(ft)]]</f>
        <v>44</v>
      </c>
      <c r="J1422" s="28">
        <f>2020-Table_7[[#This Row],[Year]]</f>
        <v>12</v>
      </c>
      <c r="K1422">
        <v>57472012426.685303</v>
      </c>
      <c r="L1422">
        <v>14198.753959474399</v>
      </c>
      <c r="M1422">
        <v>0.15481137456202801</v>
      </c>
      <c r="N1422">
        <v>-8.5803430210621805</v>
      </c>
      <c r="O1422">
        <v>41.08</v>
      </c>
      <c r="P1422">
        <v>1018</v>
      </c>
      <c r="Q1422">
        <v>54</v>
      </c>
      <c r="R1422">
        <v>14.3</v>
      </c>
    </row>
    <row r="1423" spans="1:18" x14ac:dyDescent="0.25">
      <c r="A1423" s="1" t="s">
        <v>143</v>
      </c>
      <c r="B1423" s="2">
        <v>450</v>
      </c>
      <c r="C1423" s="19">
        <v>44</v>
      </c>
      <c r="D1423" s="3" t="s">
        <v>496</v>
      </c>
      <c r="E1423" s="3" t="s">
        <v>31</v>
      </c>
      <c r="F1423" s="23">
        <v>194351</v>
      </c>
      <c r="G1423" s="15">
        <v>2008</v>
      </c>
      <c r="H1423" s="15">
        <f>Table_7[[#This Row],[Listing Price (USD)]]/10000</f>
        <v>19.435099999999998</v>
      </c>
      <c r="I1423" s="28">
        <f>Table_7[[#This Row],[Length 
(ft)]]</f>
        <v>44</v>
      </c>
      <c r="J1423" s="28">
        <f>2020-Table_7[[#This Row],[Year]]</f>
        <v>12</v>
      </c>
      <c r="K1423">
        <v>57472012426.685303</v>
      </c>
      <c r="L1423">
        <v>14198.753959474399</v>
      </c>
      <c r="M1423">
        <v>0.15481137456202801</v>
      </c>
      <c r="N1423">
        <v>-8.5803430210621805</v>
      </c>
      <c r="O1423">
        <v>41.08</v>
      </c>
      <c r="P1423">
        <v>1018</v>
      </c>
      <c r="Q1423">
        <v>54</v>
      </c>
      <c r="R1423">
        <v>14.3</v>
      </c>
    </row>
    <row r="1424" spans="1:18" x14ac:dyDescent="0.25">
      <c r="A1424" s="1" t="s">
        <v>143</v>
      </c>
      <c r="B1424" s="2">
        <v>450</v>
      </c>
      <c r="C1424" s="19">
        <v>44</v>
      </c>
      <c r="D1424" s="3" t="s">
        <v>496</v>
      </c>
      <c r="E1424" s="3" t="s">
        <v>31</v>
      </c>
      <c r="F1424" s="23">
        <v>200425</v>
      </c>
      <c r="G1424" s="15">
        <v>2008</v>
      </c>
      <c r="H1424" s="15">
        <f>Table_7[[#This Row],[Listing Price (USD)]]/10000</f>
        <v>20.0425</v>
      </c>
      <c r="I1424" s="28">
        <f>Table_7[[#This Row],[Length 
(ft)]]</f>
        <v>44</v>
      </c>
      <c r="J1424" s="28">
        <f>2020-Table_7[[#This Row],[Year]]</f>
        <v>12</v>
      </c>
      <c r="K1424">
        <v>57472012426.685303</v>
      </c>
      <c r="L1424">
        <v>14198.753959474399</v>
      </c>
      <c r="M1424">
        <v>0.15481137456202801</v>
      </c>
      <c r="N1424">
        <v>-8.5803430210621805</v>
      </c>
      <c r="O1424">
        <v>41.08</v>
      </c>
      <c r="P1424">
        <v>1018</v>
      </c>
      <c r="Q1424">
        <v>54</v>
      </c>
      <c r="R1424">
        <v>14.3</v>
      </c>
    </row>
    <row r="1425" spans="1:18" x14ac:dyDescent="0.25">
      <c r="A1425" s="1" t="s">
        <v>143</v>
      </c>
      <c r="B1425" s="2">
        <v>450</v>
      </c>
      <c r="C1425" s="19">
        <v>44</v>
      </c>
      <c r="D1425" s="3" t="s">
        <v>496</v>
      </c>
      <c r="E1425" s="3" t="s">
        <v>31</v>
      </c>
      <c r="F1425" s="23">
        <v>209588</v>
      </c>
      <c r="G1425" s="15">
        <v>2013</v>
      </c>
      <c r="H1425" s="15">
        <f>Table_7[[#This Row],[Listing Price (USD)]]/10000</f>
        <v>20.9588</v>
      </c>
      <c r="I1425" s="28">
        <f>Table_7[[#This Row],[Length 
(ft)]]</f>
        <v>44</v>
      </c>
      <c r="J1425" s="28">
        <f>2020-Table_7[[#This Row],[Year]]</f>
        <v>7</v>
      </c>
      <c r="K1425">
        <v>57472012426.685303</v>
      </c>
      <c r="L1425">
        <v>14198.753959474399</v>
      </c>
      <c r="M1425">
        <v>0.15481137456202801</v>
      </c>
      <c r="N1425">
        <v>-8.5803430210621805</v>
      </c>
      <c r="O1425">
        <v>41.08</v>
      </c>
      <c r="P1425">
        <v>1018</v>
      </c>
      <c r="Q1425">
        <v>54</v>
      </c>
      <c r="R1425">
        <v>14.3</v>
      </c>
    </row>
    <row r="1426" spans="1:18" x14ac:dyDescent="0.25">
      <c r="A1426" s="1" t="s">
        <v>143</v>
      </c>
      <c r="B1426" s="3">
        <v>450</v>
      </c>
      <c r="C1426" s="19">
        <v>44</v>
      </c>
      <c r="D1426" s="3" t="s">
        <v>495</v>
      </c>
      <c r="E1426" s="3" t="s">
        <v>499</v>
      </c>
      <c r="F1426" s="23">
        <v>349900</v>
      </c>
      <c r="G1426" s="15">
        <v>2013</v>
      </c>
      <c r="H1426" s="15">
        <f>Table_7[[#This Row],[Listing Price (USD)]]/10000</f>
        <v>34.99</v>
      </c>
      <c r="I1426" s="28">
        <f>Table_7[[#This Row],[Length 
(ft)]]</f>
        <v>44</v>
      </c>
      <c r="J1426" s="28">
        <f>2020-Table_7[[#This Row],[Year]]</f>
        <v>7</v>
      </c>
      <c r="K1426">
        <v>212540000000</v>
      </c>
      <c r="L1426">
        <v>76778.559999999998</v>
      </c>
      <c r="M1426">
        <v>1.23</v>
      </c>
      <c r="N1426">
        <v>2.2000000000000002</v>
      </c>
      <c r="O1426">
        <v>41.08</v>
      </c>
      <c r="P1426">
        <v>1018</v>
      </c>
      <c r="Q1426">
        <v>54</v>
      </c>
      <c r="R1426">
        <v>14.3</v>
      </c>
    </row>
    <row r="1427" spans="1:18" x14ac:dyDescent="0.25">
      <c r="A1427" s="1" t="s">
        <v>45</v>
      </c>
      <c r="B1427" s="3">
        <v>43</v>
      </c>
      <c r="C1427" s="19">
        <v>43</v>
      </c>
      <c r="D1427" s="3" t="s">
        <v>495</v>
      </c>
      <c r="E1427" s="3" t="s">
        <v>333</v>
      </c>
      <c r="F1427" s="23">
        <v>159500</v>
      </c>
      <c r="G1427" s="15">
        <v>2008</v>
      </c>
      <c r="H1427" s="15">
        <f>Table_7[[#This Row],[Listing Price (USD)]]/10000</f>
        <v>15.95</v>
      </c>
      <c r="I1427" s="28">
        <f>Table_7[[#This Row],[Length 
(ft)]]</f>
        <v>43</v>
      </c>
      <c r="J1427" s="28">
        <f>2020-Table_7[[#This Row],[Year]]</f>
        <v>12</v>
      </c>
      <c r="K1427">
        <v>1106036000000</v>
      </c>
      <c r="L1427">
        <v>51276.72</v>
      </c>
      <c r="M1427">
        <v>1.23</v>
      </c>
      <c r="N1427">
        <v>2.9</v>
      </c>
      <c r="O1427">
        <v>38.08</v>
      </c>
      <c r="P1427">
        <v>934</v>
      </c>
      <c r="Q1427">
        <v>53</v>
      </c>
      <c r="R1427">
        <v>13.5</v>
      </c>
    </row>
    <row r="1428" spans="1:18" x14ac:dyDescent="0.25">
      <c r="A1428" s="1" t="s">
        <v>45</v>
      </c>
      <c r="B1428" s="3">
        <v>43</v>
      </c>
      <c r="C1428" s="19">
        <v>43</v>
      </c>
      <c r="D1428" s="3" t="s">
        <v>495</v>
      </c>
      <c r="E1428" s="3" t="s">
        <v>543</v>
      </c>
      <c r="F1428" s="23">
        <v>159900</v>
      </c>
      <c r="G1428" s="15">
        <v>2008</v>
      </c>
      <c r="H1428" s="15">
        <f>Table_7[[#This Row],[Listing Price (USD)]]/10000</f>
        <v>15.99</v>
      </c>
      <c r="I1428" s="28">
        <f>Table_7[[#This Row],[Length 
(ft)]]</f>
        <v>43</v>
      </c>
      <c r="J1428" s="28">
        <f>2020-Table_7[[#This Row],[Year]]</f>
        <v>12</v>
      </c>
      <c r="K1428">
        <v>235437000000</v>
      </c>
      <c r="L1428">
        <v>50618.06</v>
      </c>
      <c r="M1428">
        <v>1.23</v>
      </c>
      <c r="N1428">
        <v>3.8</v>
      </c>
      <c r="O1428">
        <v>38.08</v>
      </c>
      <c r="P1428">
        <v>934</v>
      </c>
      <c r="Q1428">
        <v>53</v>
      </c>
      <c r="R1428">
        <v>13.5</v>
      </c>
    </row>
    <row r="1429" spans="1:18" x14ac:dyDescent="0.25">
      <c r="A1429" s="1" t="s">
        <v>45</v>
      </c>
      <c r="B1429" s="3">
        <v>43</v>
      </c>
      <c r="C1429" s="19">
        <v>43</v>
      </c>
      <c r="D1429" s="3" t="s">
        <v>495</v>
      </c>
      <c r="E1429" s="3" t="s">
        <v>519</v>
      </c>
      <c r="F1429" s="23">
        <v>165000</v>
      </c>
      <c r="G1429" s="15">
        <v>2008</v>
      </c>
      <c r="H1429" s="15">
        <f>Table_7[[#This Row],[Listing Price (USD)]]/10000</f>
        <v>16.5</v>
      </c>
      <c r="I1429" s="28">
        <f>Table_7[[#This Row],[Length 
(ft)]]</f>
        <v>43</v>
      </c>
      <c r="J1429" s="28">
        <f>2020-Table_7[[#This Row],[Year]]</f>
        <v>12</v>
      </c>
      <c r="K1429">
        <v>589829000000</v>
      </c>
      <c r="L1429">
        <v>56404.23</v>
      </c>
      <c r="M1429">
        <v>1.23</v>
      </c>
      <c r="N1429">
        <v>2.8</v>
      </c>
      <c r="O1429">
        <v>38.08</v>
      </c>
      <c r="P1429">
        <v>934</v>
      </c>
      <c r="Q1429">
        <v>53</v>
      </c>
      <c r="R1429">
        <v>13.5</v>
      </c>
    </row>
    <row r="1430" spans="1:18" x14ac:dyDescent="0.25">
      <c r="A1430" s="1" t="s">
        <v>45</v>
      </c>
      <c r="B1430" s="3">
        <v>43</v>
      </c>
      <c r="C1430" s="19">
        <v>43</v>
      </c>
      <c r="D1430" s="3" t="s">
        <v>495</v>
      </c>
      <c r="E1430" s="3" t="s">
        <v>500</v>
      </c>
      <c r="F1430" s="23">
        <v>185000</v>
      </c>
      <c r="G1430" s="15">
        <v>2010</v>
      </c>
      <c r="H1430" s="15">
        <f>Table_7[[#This Row],[Listing Price (USD)]]/10000</f>
        <v>18.5</v>
      </c>
      <c r="I1430" s="28">
        <f>Table_7[[#This Row],[Length 
(ft)]]</f>
        <v>43</v>
      </c>
      <c r="J1430" s="28">
        <f>2020-Table_7[[#This Row],[Year]]</f>
        <v>10</v>
      </c>
      <c r="K1430">
        <v>3007188000000</v>
      </c>
      <c r="L1430">
        <v>76131.839999999997</v>
      </c>
      <c r="M1430">
        <v>1.23</v>
      </c>
      <c r="N1430">
        <v>2.7</v>
      </c>
      <c r="O1430">
        <v>38.08</v>
      </c>
      <c r="P1430">
        <v>934</v>
      </c>
      <c r="Q1430">
        <v>53</v>
      </c>
      <c r="R1430">
        <v>13.5</v>
      </c>
    </row>
    <row r="1431" spans="1:18" x14ac:dyDescent="0.25">
      <c r="A1431" s="1" t="s">
        <v>45</v>
      </c>
      <c r="B1431" s="3">
        <v>43</v>
      </c>
      <c r="C1431" s="19">
        <v>43</v>
      </c>
      <c r="D1431" s="3" t="s">
        <v>495</v>
      </c>
      <c r="E1431" s="3" t="s">
        <v>500</v>
      </c>
      <c r="F1431" s="23">
        <v>189500</v>
      </c>
      <c r="G1431" s="15">
        <v>2008</v>
      </c>
      <c r="H1431" s="15">
        <f>Table_7[[#This Row],[Listing Price (USD)]]/10000</f>
        <v>18.95</v>
      </c>
      <c r="I1431" s="28">
        <f>Table_7[[#This Row],[Length 
(ft)]]</f>
        <v>43</v>
      </c>
      <c r="J1431" s="28">
        <f>2020-Table_7[[#This Row],[Year]]</f>
        <v>12</v>
      </c>
      <c r="K1431">
        <v>3007188000000</v>
      </c>
      <c r="L1431">
        <v>76131.839999999997</v>
      </c>
      <c r="M1431">
        <v>1.23</v>
      </c>
      <c r="N1431">
        <v>2.7</v>
      </c>
      <c r="O1431">
        <v>38.08</v>
      </c>
      <c r="P1431">
        <v>934</v>
      </c>
      <c r="Q1431">
        <v>53</v>
      </c>
      <c r="R1431">
        <v>13.5</v>
      </c>
    </row>
    <row r="1432" spans="1:18" x14ac:dyDescent="0.25">
      <c r="A1432" s="1" t="s">
        <v>5</v>
      </c>
      <c r="B1432" s="2">
        <v>44</v>
      </c>
      <c r="C1432" s="19">
        <v>44</v>
      </c>
      <c r="D1432" s="3" t="s">
        <v>496</v>
      </c>
      <c r="E1432" s="3" t="s">
        <v>3</v>
      </c>
      <c r="F1432" s="23">
        <v>289098</v>
      </c>
      <c r="G1432" s="15">
        <v>2008</v>
      </c>
      <c r="H1432" s="15">
        <f>Table_7[[#This Row],[Listing Price (USD)]]/10000</f>
        <v>28.909800000000001</v>
      </c>
      <c r="I1432" s="28">
        <f>Table_7[[#This Row],[Length 
(ft)]]</f>
        <v>44</v>
      </c>
      <c r="J1432" s="28">
        <f>2020-Table_7[[#This Row],[Year]]</f>
        <v>12</v>
      </c>
      <c r="K1432">
        <v>2639008701648.2598</v>
      </c>
      <c r="L1432">
        <v>39055.282928075401</v>
      </c>
      <c r="M1432">
        <v>0.47649885272508302</v>
      </c>
      <c r="N1432">
        <v>-7.7845864916787102</v>
      </c>
      <c r="O1432">
        <v>41.67</v>
      </c>
      <c r="P1432">
        <v>1094.002</v>
      </c>
      <c r="Q1432">
        <v>53</v>
      </c>
      <c r="R1432">
        <v>13.94</v>
      </c>
    </row>
    <row r="1433" spans="1:18" x14ac:dyDescent="0.25">
      <c r="A1433" s="1" t="s">
        <v>5</v>
      </c>
      <c r="B1433" s="2">
        <v>44</v>
      </c>
      <c r="C1433" s="19">
        <v>44</v>
      </c>
      <c r="D1433" s="3" t="s">
        <v>496</v>
      </c>
      <c r="E1433" s="3" t="s">
        <v>3</v>
      </c>
      <c r="F1433" s="23">
        <v>290312</v>
      </c>
      <c r="G1433" s="15">
        <v>2007</v>
      </c>
      <c r="H1433" s="15">
        <f>Table_7[[#This Row],[Listing Price (USD)]]/10000</f>
        <v>29.031199999999998</v>
      </c>
      <c r="I1433" s="28">
        <f>Table_7[[#This Row],[Length 
(ft)]]</f>
        <v>44</v>
      </c>
      <c r="J1433" s="28">
        <f>2020-Table_7[[#This Row],[Year]]</f>
        <v>13</v>
      </c>
      <c r="K1433">
        <v>2639008701648.2598</v>
      </c>
      <c r="L1433">
        <v>39055.282928075401</v>
      </c>
      <c r="M1433">
        <v>0.47649885272508302</v>
      </c>
      <c r="N1433">
        <v>-7.7845864916787102</v>
      </c>
      <c r="O1433">
        <v>41.67</v>
      </c>
      <c r="P1433">
        <v>1094.002</v>
      </c>
      <c r="Q1433">
        <v>53</v>
      </c>
      <c r="R1433">
        <v>13.94</v>
      </c>
    </row>
    <row r="1434" spans="1:18" x14ac:dyDescent="0.25">
      <c r="A1434" s="1" t="s">
        <v>270</v>
      </c>
      <c r="B1434" s="2" t="s">
        <v>272</v>
      </c>
      <c r="C1434" s="19">
        <v>44</v>
      </c>
      <c r="D1434" s="3" t="s">
        <v>496</v>
      </c>
      <c r="E1434" s="3" t="s">
        <v>3</v>
      </c>
      <c r="F1434" s="23">
        <v>394723</v>
      </c>
      <c r="G1434" s="15">
        <v>2018</v>
      </c>
      <c r="H1434" s="15">
        <f>Table_7[[#This Row],[Listing Price (USD)]]/10000</f>
        <v>39.472299999999997</v>
      </c>
      <c r="I1434" s="28">
        <f>Table_7[[#This Row],[Length 
(ft)]]</f>
        <v>44</v>
      </c>
      <c r="J1434" s="28">
        <f>2020-Table_7[[#This Row],[Year]]</f>
        <v>2</v>
      </c>
      <c r="K1434">
        <v>2639008701648.2598</v>
      </c>
      <c r="L1434">
        <v>39055.282928075401</v>
      </c>
      <c r="M1434">
        <v>0.47649885272508302</v>
      </c>
      <c r="N1434">
        <v>-7.7845864916787102</v>
      </c>
      <c r="O1434">
        <v>41.67</v>
      </c>
      <c r="P1434">
        <v>1094.002</v>
      </c>
      <c r="Q1434">
        <v>53</v>
      </c>
      <c r="R1434">
        <v>13.94</v>
      </c>
    </row>
    <row r="1435" spans="1:18" x14ac:dyDescent="0.25">
      <c r="A1435" s="1" t="s">
        <v>100</v>
      </c>
      <c r="B1435" s="2">
        <v>44</v>
      </c>
      <c r="C1435" s="19">
        <v>45</v>
      </c>
      <c r="D1435" s="3" t="s">
        <v>496</v>
      </c>
      <c r="E1435" s="3" t="s">
        <v>3</v>
      </c>
      <c r="F1435" s="23">
        <v>601275</v>
      </c>
      <c r="G1435" s="15">
        <v>2014</v>
      </c>
      <c r="H1435" s="15">
        <f>Table_7[[#This Row],[Listing Price (USD)]]/10000</f>
        <v>60.127499999999998</v>
      </c>
      <c r="I1435" s="28">
        <f>Table_7[[#This Row],[Length 
(ft)]]</f>
        <v>45</v>
      </c>
      <c r="J1435" s="28">
        <f>2020-Table_7[[#This Row],[Year]]</f>
        <v>6</v>
      </c>
      <c r="K1435">
        <v>2639008701648.2598</v>
      </c>
      <c r="L1435">
        <v>39055.282928075401</v>
      </c>
      <c r="M1435">
        <v>0.47649885272508302</v>
      </c>
      <c r="N1435">
        <v>-7.7845864916787102</v>
      </c>
      <c r="O1435">
        <v>41.67</v>
      </c>
      <c r="P1435">
        <v>1094.002</v>
      </c>
      <c r="Q1435">
        <v>53</v>
      </c>
      <c r="R1435">
        <v>13.94</v>
      </c>
    </row>
    <row r="1436" spans="1:18" x14ac:dyDescent="0.25">
      <c r="A1436" s="1" t="s">
        <v>270</v>
      </c>
      <c r="B1436" s="2">
        <v>45</v>
      </c>
      <c r="C1436" s="19">
        <v>44</v>
      </c>
      <c r="D1436" s="3" t="s">
        <v>496</v>
      </c>
      <c r="E1436" s="3" t="s">
        <v>31</v>
      </c>
      <c r="F1436" s="23">
        <v>98390</v>
      </c>
      <c r="G1436" s="15">
        <v>2005</v>
      </c>
      <c r="H1436" s="15">
        <f>Table_7[[#This Row],[Listing Price (USD)]]/10000</f>
        <v>9.8390000000000004</v>
      </c>
      <c r="I1436" s="28">
        <f>Table_7[[#This Row],[Length 
(ft)]]</f>
        <v>44</v>
      </c>
      <c r="J1436" s="28">
        <f>2020-Table_7[[#This Row],[Year]]</f>
        <v>15</v>
      </c>
      <c r="K1436">
        <v>57472012426.685303</v>
      </c>
      <c r="L1436">
        <v>14198.753959474399</v>
      </c>
      <c r="M1436">
        <v>0.15481137456202801</v>
      </c>
      <c r="N1436">
        <v>-8.5803430210621805</v>
      </c>
      <c r="O1436">
        <v>37.67</v>
      </c>
      <c r="P1436">
        <v>1032</v>
      </c>
      <c r="Q1436">
        <v>53</v>
      </c>
      <c r="R1436">
        <v>13</v>
      </c>
    </row>
    <row r="1437" spans="1:18" x14ac:dyDescent="0.25">
      <c r="A1437" s="1" t="s">
        <v>270</v>
      </c>
      <c r="B1437" s="2">
        <v>45</v>
      </c>
      <c r="C1437" s="19">
        <v>44</v>
      </c>
      <c r="D1437" s="3" t="s">
        <v>496</v>
      </c>
      <c r="E1437" s="3" t="s">
        <v>31</v>
      </c>
      <c r="F1437" s="23">
        <v>109323</v>
      </c>
      <c r="G1437" s="15">
        <v>2005</v>
      </c>
      <c r="H1437" s="15">
        <f>Table_7[[#This Row],[Listing Price (USD)]]/10000</f>
        <v>10.9323</v>
      </c>
      <c r="I1437" s="28">
        <f>Table_7[[#This Row],[Length 
(ft)]]</f>
        <v>44</v>
      </c>
      <c r="J1437" s="28">
        <f>2020-Table_7[[#This Row],[Year]]</f>
        <v>15</v>
      </c>
      <c r="K1437">
        <v>57472012426.685303</v>
      </c>
      <c r="L1437">
        <v>14198.753959474399</v>
      </c>
      <c r="M1437">
        <v>0.15481137456202801</v>
      </c>
      <c r="N1437">
        <v>-8.5803430210621805</v>
      </c>
      <c r="O1437">
        <v>37.67</v>
      </c>
      <c r="P1437">
        <v>1032</v>
      </c>
      <c r="Q1437">
        <v>53</v>
      </c>
      <c r="R1437">
        <v>13</v>
      </c>
    </row>
    <row r="1438" spans="1:18" x14ac:dyDescent="0.25">
      <c r="A1438" s="1" t="s">
        <v>278</v>
      </c>
      <c r="B1438" s="3">
        <v>135</v>
      </c>
      <c r="C1438" s="19">
        <v>44</v>
      </c>
      <c r="D1438" s="3" t="s">
        <v>495</v>
      </c>
      <c r="E1438" s="3" t="s">
        <v>515</v>
      </c>
      <c r="F1438" s="23">
        <v>295000</v>
      </c>
      <c r="G1438" s="15">
        <v>2007</v>
      </c>
      <c r="H1438" s="15">
        <f>Table_7[[#This Row],[Listing Price (USD)]]/10000</f>
        <v>29.5</v>
      </c>
      <c r="I1438" s="28">
        <f>Table_7[[#This Row],[Length 
(ft)]]</f>
        <v>44</v>
      </c>
      <c r="J1438" s="28">
        <f>2020-Table_7[[#This Row],[Year]]</f>
        <v>13</v>
      </c>
      <c r="K1438">
        <v>410675000000</v>
      </c>
      <c r="L1438">
        <v>66531.03</v>
      </c>
      <c r="M1438">
        <v>1.23</v>
      </c>
      <c r="N1438">
        <v>1.8</v>
      </c>
      <c r="O1438">
        <v>37.67</v>
      </c>
      <c r="P1438">
        <v>1032</v>
      </c>
      <c r="Q1438">
        <v>53</v>
      </c>
      <c r="R1438">
        <v>13</v>
      </c>
    </row>
    <row r="1439" spans="1:18" x14ac:dyDescent="0.25">
      <c r="A1439" s="1" t="s">
        <v>128</v>
      </c>
      <c r="B1439" s="3">
        <v>412</v>
      </c>
      <c r="C1439" s="19">
        <v>40</v>
      </c>
      <c r="D1439" s="3" t="s">
        <v>497</v>
      </c>
      <c r="E1439" s="3" t="s">
        <v>370</v>
      </c>
      <c r="F1439" s="23">
        <v>159000</v>
      </c>
      <c r="G1439" s="15">
        <v>2016</v>
      </c>
      <c r="H1439" s="15">
        <f>Table_7[[#This Row],[Listing Price (USD)]]/10000</f>
        <v>15.9</v>
      </c>
      <c r="I1439" s="28">
        <f>Table_7[[#This Row],[Length 
(ft)]]</f>
        <v>40</v>
      </c>
      <c r="J1439" s="28">
        <f>2020-Table_7[[#This Row],[Year]]</f>
        <v>4</v>
      </c>
      <c r="K1439">
        <v>500000000</v>
      </c>
      <c r="L1439">
        <v>34200</v>
      </c>
      <c r="M1439">
        <v>1.1000000000000001</v>
      </c>
      <c r="N1439">
        <v>2</v>
      </c>
      <c r="O1439">
        <v>36.58</v>
      </c>
      <c r="P1439">
        <v>764</v>
      </c>
      <c r="Q1439">
        <v>53</v>
      </c>
      <c r="R1439">
        <v>13.78</v>
      </c>
    </row>
    <row r="1440" spans="1:18" x14ac:dyDescent="0.25">
      <c r="A1440" s="1" t="s">
        <v>128</v>
      </c>
      <c r="B1440" s="2">
        <v>412</v>
      </c>
      <c r="C1440" s="19">
        <v>40</v>
      </c>
      <c r="D1440" s="3" t="s">
        <v>496</v>
      </c>
      <c r="E1440" s="3" t="s">
        <v>24</v>
      </c>
      <c r="F1440" s="23">
        <v>163962</v>
      </c>
      <c r="G1440" s="15">
        <v>2015</v>
      </c>
      <c r="H1440" s="15">
        <f>Table_7[[#This Row],[Listing Price (USD)]]/10000</f>
        <v>16.3962</v>
      </c>
      <c r="I1440" s="28">
        <f>Table_7[[#This Row],[Length 
(ft)]]</f>
        <v>40</v>
      </c>
      <c r="J1440" s="28">
        <f>2020-Table_7[[#This Row],[Year]]</f>
        <v>5</v>
      </c>
      <c r="K1440">
        <v>1896755301518.1399</v>
      </c>
      <c r="L1440">
        <v>31911.0357890017</v>
      </c>
      <c r="M1440">
        <v>-0.13770757391656999</v>
      </c>
      <c r="N1440">
        <v>-9.0399534112288507</v>
      </c>
      <c r="O1440">
        <v>36.58</v>
      </c>
      <c r="P1440">
        <v>764.00199999999995</v>
      </c>
      <c r="Q1440">
        <v>53</v>
      </c>
      <c r="R1440">
        <v>13.78</v>
      </c>
    </row>
    <row r="1441" spans="1:18" x14ac:dyDescent="0.25">
      <c r="A1441" s="1" t="s">
        <v>128</v>
      </c>
      <c r="B1441" s="3">
        <v>412</v>
      </c>
      <c r="C1441" s="19">
        <v>40</v>
      </c>
      <c r="D1441" s="3" t="s">
        <v>497</v>
      </c>
      <c r="E1441" s="3" t="s">
        <v>370</v>
      </c>
      <c r="F1441" s="23">
        <v>169000</v>
      </c>
      <c r="G1441" s="15">
        <v>2016</v>
      </c>
      <c r="H1441" s="15">
        <f>Table_7[[#This Row],[Listing Price (USD)]]/10000</f>
        <v>16.899999999999999</v>
      </c>
      <c r="I1441" s="28">
        <f>Table_7[[#This Row],[Length 
(ft)]]</f>
        <v>40</v>
      </c>
      <c r="J1441" s="28">
        <f>2020-Table_7[[#This Row],[Year]]</f>
        <v>4</v>
      </c>
      <c r="K1441">
        <v>500000000</v>
      </c>
      <c r="L1441">
        <v>34200</v>
      </c>
      <c r="M1441">
        <v>1.1000000000000001</v>
      </c>
      <c r="N1441">
        <v>2</v>
      </c>
      <c r="O1441">
        <v>36.58</v>
      </c>
      <c r="P1441">
        <v>764</v>
      </c>
      <c r="Q1441">
        <v>53</v>
      </c>
      <c r="R1441">
        <v>13.78</v>
      </c>
    </row>
    <row r="1442" spans="1:18" x14ac:dyDescent="0.25">
      <c r="A1442" s="1" t="s">
        <v>128</v>
      </c>
      <c r="B1442" s="2">
        <v>412</v>
      </c>
      <c r="C1442" s="19">
        <v>40</v>
      </c>
      <c r="D1442" s="3" t="s">
        <v>496</v>
      </c>
      <c r="E1442" s="3" t="s">
        <v>24</v>
      </c>
      <c r="F1442" s="23">
        <v>202827</v>
      </c>
      <c r="G1442" s="15">
        <v>2016</v>
      </c>
      <c r="H1442" s="15">
        <f>Table_7[[#This Row],[Listing Price (USD)]]/10000</f>
        <v>20.282699999999998</v>
      </c>
      <c r="I1442" s="28">
        <f>Table_7[[#This Row],[Length 
(ft)]]</f>
        <v>40</v>
      </c>
      <c r="J1442" s="28">
        <f>2020-Table_7[[#This Row],[Year]]</f>
        <v>4</v>
      </c>
      <c r="K1442">
        <v>1896755301518.1399</v>
      </c>
      <c r="L1442">
        <v>31911.0357890017</v>
      </c>
      <c r="M1442">
        <v>-0.13770757391656999</v>
      </c>
      <c r="N1442">
        <v>-9.0399534112288507</v>
      </c>
      <c r="O1442">
        <v>36.58</v>
      </c>
      <c r="P1442">
        <v>764</v>
      </c>
      <c r="Q1442">
        <v>53</v>
      </c>
      <c r="R1442">
        <v>13.78</v>
      </c>
    </row>
    <row r="1443" spans="1:18" x14ac:dyDescent="0.25">
      <c r="A1443" s="1" t="s">
        <v>128</v>
      </c>
      <c r="B1443" s="2">
        <v>412</v>
      </c>
      <c r="C1443" s="19">
        <v>40</v>
      </c>
      <c r="D1443" s="3" t="s">
        <v>496</v>
      </c>
      <c r="E1443" s="3" t="s">
        <v>24</v>
      </c>
      <c r="F1443" s="23">
        <v>216187</v>
      </c>
      <c r="G1443" s="15">
        <v>2019</v>
      </c>
      <c r="H1443" s="15">
        <f>Table_7[[#This Row],[Listing Price (USD)]]/10000</f>
        <v>21.6187</v>
      </c>
      <c r="I1443" s="28">
        <f>Table_7[[#This Row],[Length 
(ft)]]</f>
        <v>40</v>
      </c>
      <c r="J1443" s="28">
        <f>2020-Table_7[[#This Row],[Year]]</f>
        <v>1</v>
      </c>
      <c r="K1443">
        <v>1896755301518.1399</v>
      </c>
      <c r="L1443">
        <v>31911.0357890017</v>
      </c>
      <c r="M1443">
        <v>-0.13770757391656999</v>
      </c>
      <c r="N1443">
        <v>-9.0399534112288507</v>
      </c>
      <c r="O1443">
        <v>36.58</v>
      </c>
      <c r="P1443">
        <v>764</v>
      </c>
      <c r="Q1443">
        <v>53</v>
      </c>
      <c r="R1443">
        <v>13.78</v>
      </c>
    </row>
    <row r="1444" spans="1:18" x14ac:dyDescent="0.25">
      <c r="A1444" s="1" t="s">
        <v>128</v>
      </c>
      <c r="B1444" s="3">
        <v>412</v>
      </c>
      <c r="C1444" s="19">
        <v>40</v>
      </c>
      <c r="D1444" s="3" t="s">
        <v>497</v>
      </c>
      <c r="E1444" s="3" t="s">
        <v>370</v>
      </c>
      <c r="F1444" s="23">
        <v>229000</v>
      </c>
      <c r="G1444" s="15">
        <v>2018</v>
      </c>
      <c r="H1444" s="15">
        <f>Table_7[[#This Row],[Listing Price (USD)]]/10000</f>
        <v>22.9</v>
      </c>
      <c r="I1444" s="28">
        <f>Table_7[[#This Row],[Length 
(ft)]]</f>
        <v>40</v>
      </c>
      <c r="J1444" s="28">
        <f>2020-Table_7[[#This Row],[Year]]</f>
        <v>2</v>
      </c>
      <c r="K1444">
        <v>500000000</v>
      </c>
      <c r="L1444">
        <v>34200</v>
      </c>
      <c r="M1444">
        <v>1.1000000000000001</v>
      </c>
      <c r="N1444">
        <v>2</v>
      </c>
      <c r="O1444">
        <v>36.58</v>
      </c>
      <c r="P1444">
        <v>764.00199999999995</v>
      </c>
      <c r="Q1444">
        <v>53</v>
      </c>
      <c r="R1444">
        <v>13.78</v>
      </c>
    </row>
    <row r="1445" spans="1:18" x14ac:dyDescent="0.25">
      <c r="A1445" s="1" t="s">
        <v>128</v>
      </c>
      <c r="B1445" s="2">
        <v>412</v>
      </c>
      <c r="C1445" s="19">
        <v>40</v>
      </c>
      <c r="D1445" s="3" t="s">
        <v>496</v>
      </c>
      <c r="E1445" s="3" t="s">
        <v>3</v>
      </c>
      <c r="F1445" s="23">
        <v>261124</v>
      </c>
      <c r="G1445" s="15">
        <v>2018</v>
      </c>
      <c r="H1445" s="15">
        <f>Table_7[[#This Row],[Listing Price (USD)]]/10000</f>
        <v>26.112400000000001</v>
      </c>
      <c r="I1445" s="28">
        <f>Table_7[[#This Row],[Length 
(ft)]]</f>
        <v>40</v>
      </c>
      <c r="J1445" s="28">
        <f>2020-Table_7[[#This Row],[Year]]</f>
        <v>2</v>
      </c>
      <c r="K1445">
        <v>2639008701648.2598</v>
      </c>
      <c r="L1445">
        <v>39055.282928075401</v>
      </c>
      <c r="M1445">
        <v>0.47649885272508302</v>
      </c>
      <c r="N1445">
        <v>-7.7845864916787102</v>
      </c>
      <c r="O1445">
        <v>36.58</v>
      </c>
      <c r="P1445">
        <v>764</v>
      </c>
      <c r="Q1445">
        <v>53</v>
      </c>
      <c r="R1445">
        <v>13.78</v>
      </c>
    </row>
    <row r="1446" spans="1:18" x14ac:dyDescent="0.25">
      <c r="A1446" s="1" t="s">
        <v>191</v>
      </c>
      <c r="B1446" s="2">
        <v>420</v>
      </c>
      <c r="C1446" s="19">
        <v>44</v>
      </c>
      <c r="D1446" s="3" t="s">
        <v>496</v>
      </c>
      <c r="E1446" s="3" t="s">
        <v>19</v>
      </c>
      <c r="F1446" s="23">
        <v>286566</v>
      </c>
      <c r="G1446" s="15">
        <v>2005</v>
      </c>
      <c r="H1446" s="15">
        <f>Table_7[[#This Row],[Listing Price (USD)]]/10000</f>
        <v>28.656600000000001</v>
      </c>
      <c r="I1446" s="28">
        <f>Table_7[[#This Row],[Length 
(ft)]]</f>
        <v>44</v>
      </c>
      <c r="J1446" s="28">
        <f>2020-Table_7[[#This Row],[Year]]</f>
        <v>15</v>
      </c>
      <c r="K1446">
        <v>4200000000</v>
      </c>
      <c r="L1446">
        <v>39553.199999999997</v>
      </c>
      <c r="M1446">
        <v>4.0999999999999996</v>
      </c>
      <c r="N1446">
        <v>-2.1</v>
      </c>
      <c r="O1446">
        <v>37.67</v>
      </c>
      <c r="P1446">
        <v>1032</v>
      </c>
      <c r="Q1446">
        <v>53</v>
      </c>
      <c r="R1446">
        <v>13</v>
      </c>
    </row>
    <row r="1447" spans="1:18" x14ac:dyDescent="0.25">
      <c r="A1447" s="1" t="s">
        <v>191</v>
      </c>
      <c r="B1447" s="3">
        <v>420</v>
      </c>
      <c r="C1447" s="19">
        <v>44</v>
      </c>
      <c r="D1447" s="3" t="s">
        <v>495</v>
      </c>
      <c r="E1447" s="3" t="s">
        <v>333</v>
      </c>
      <c r="F1447" s="23">
        <v>299950</v>
      </c>
      <c r="G1447" s="15">
        <v>2005</v>
      </c>
      <c r="H1447" s="15">
        <f>Table_7[[#This Row],[Listing Price (USD)]]/10000</f>
        <v>29.995000000000001</v>
      </c>
      <c r="I1447" s="28">
        <f>Table_7[[#This Row],[Length 
(ft)]]</f>
        <v>44</v>
      </c>
      <c r="J1447" s="28">
        <f>2020-Table_7[[#This Row],[Year]]</f>
        <v>15</v>
      </c>
      <c r="K1447">
        <v>1106036000000</v>
      </c>
      <c r="L1447">
        <v>51276.72</v>
      </c>
      <c r="M1447">
        <v>1.23</v>
      </c>
      <c r="N1447">
        <v>2.9</v>
      </c>
      <c r="O1447">
        <v>37.67</v>
      </c>
      <c r="P1447">
        <v>1032</v>
      </c>
      <c r="Q1447">
        <v>53</v>
      </c>
      <c r="R1447">
        <v>13</v>
      </c>
    </row>
    <row r="1448" spans="1:18" x14ac:dyDescent="0.25">
      <c r="A1448" s="1" t="s">
        <v>250</v>
      </c>
      <c r="B1448" s="2">
        <v>441</v>
      </c>
      <c r="C1448" s="19">
        <v>44</v>
      </c>
      <c r="D1448" s="3" t="s">
        <v>496</v>
      </c>
      <c r="E1448" s="3" t="s">
        <v>549</v>
      </c>
      <c r="F1448" s="23">
        <v>475361</v>
      </c>
      <c r="G1448" s="15">
        <v>2010</v>
      </c>
      <c r="H1448" s="15">
        <f>Table_7[[#This Row],[Listing Price (USD)]]/10000</f>
        <v>47.536099999999998</v>
      </c>
      <c r="I1448" s="28">
        <f>Table_7[[#This Row],[Length 
(ft)]]</f>
        <v>44</v>
      </c>
      <c r="J1448" s="28">
        <f>2020-Table_7[[#This Row],[Year]]</f>
        <v>10</v>
      </c>
      <c r="K1448">
        <v>362198318435.26001</v>
      </c>
      <c r="L1448">
        <v>67329.677791096707</v>
      </c>
      <c r="M1448">
        <v>1.28658490707998</v>
      </c>
      <c r="N1448">
        <v>-0.71718266924479201</v>
      </c>
      <c r="O1448">
        <v>37.67</v>
      </c>
      <c r="P1448">
        <v>1032</v>
      </c>
      <c r="Q1448">
        <v>53</v>
      </c>
      <c r="R1448">
        <v>13</v>
      </c>
    </row>
    <row r="1449" spans="1:18" x14ac:dyDescent="0.25">
      <c r="A1449" s="1" t="s">
        <v>177</v>
      </c>
      <c r="B1449" s="2">
        <v>445</v>
      </c>
      <c r="C1449" s="19">
        <v>44</v>
      </c>
      <c r="D1449" s="3" t="s">
        <v>496</v>
      </c>
      <c r="E1449" s="3" t="s">
        <v>63</v>
      </c>
      <c r="F1449" s="23">
        <v>157668</v>
      </c>
      <c r="G1449" s="15">
        <v>2013</v>
      </c>
      <c r="H1449" s="15">
        <f>Table_7[[#This Row],[Listing Price (USD)]]/10000</f>
        <v>15.7668</v>
      </c>
      <c r="I1449" s="28">
        <f>Table_7[[#This Row],[Length 
(ft)]]</f>
        <v>44</v>
      </c>
      <c r="J1449" s="28">
        <f>2020-Table_7[[#This Row],[Year]]</f>
        <v>7</v>
      </c>
      <c r="K1449">
        <v>720290000025</v>
      </c>
      <c r="L1449">
        <v>13341.6</v>
      </c>
      <c r="M1449">
        <v>13</v>
      </c>
      <c r="N1449">
        <v>-3</v>
      </c>
      <c r="O1449">
        <v>37.67</v>
      </c>
      <c r="P1449">
        <v>1032</v>
      </c>
      <c r="Q1449">
        <v>53</v>
      </c>
      <c r="R1449">
        <v>13</v>
      </c>
    </row>
    <row r="1450" spans="1:18" x14ac:dyDescent="0.25">
      <c r="A1450" s="1" t="s">
        <v>177</v>
      </c>
      <c r="B1450" s="2">
        <v>445</v>
      </c>
      <c r="C1450" s="19">
        <v>44</v>
      </c>
      <c r="D1450" s="3" t="s">
        <v>496</v>
      </c>
      <c r="E1450" s="3" t="s">
        <v>63</v>
      </c>
      <c r="F1450" s="23">
        <v>157708</v>
      </c>
      <c r="G1450" s="15">
        <v>2012</v>
      </c>
      <c r="H1450" s="15">
        <f>Table_7[[#This Row],[Listing Price (USD)]]/10000</f>
        <v>15.770799999999999</v>
      </c>
      <c r="I1450" s="28">
        <f>Table_7[[#This Row],[Length 
(ft)]]</f>
        <v>44</v>
      </c>
      <c r="J1450" s="28">
        <f>2020-Table_7[[#This Row],[Year]]</f>
        <v>8</v>
      </c>
      <c r="K1450">
        <v>720290000000</v>
      </c>
      <c r="L1450">
        <v>13341.6</v>
      </c>
      <c r="M1450">
        <v>13</v>
      </c>
      <c r="N1450">
        <v>-3</v>
      </c>
      <c r="O1450">
        <v>37.67</v>
      </c>
      <c r="P1450">
        <v>1032</v>
      </c>
      <c r="Q1450">
        <v>53</v>
      </c>
      <c r="R1450">
        <v>13</v>
      </c>
    </row>
    <row r="1451" spans="1:18" x14ac:dyDescent="0.25">
      <c r="A1451" s="1" t="s">
        <v>177</v>
      </c>
      <c r="B1451" s="3">
        <v>445</v>
      </c>
      <c r="C1451" s="19">
        <v>44</v>
      </c>
      <c r="D1451" s="3" t="s">
        <v>497</v>
      </c>
      <c r="E1451" s="3" t="s">
        <v>483</v>
      </c>
      <c r="F1451" s="23">
        <v>176131</v>
      </c>
      <c r="G1451" s="15">
        <v>2013</v>
      </c>
      <c r="H1451" s="15">
        <f>Table_7[[#This Row],[Listing Price (USD)]]/10000</f>
        <v>17.613099999999999</v>
      </c>
      <c r="I1451" s="28">
        <f>Table_7[[#This Row],[Length 
(ft)]]</f>
        <v>44</v>
      </c>
      <c r="J1451" s="28">
        <f>2020-Table_7[[#This Row],[Year]]</f>
        <v>7</v>
      </c>
      <c r="K1451">
        <v>4200000000</v>
      </c>
      <c r="L1451">
        <v>39553.199999999997</v>
      </c>
      <c r="M1451">
        <v>2.5</v>
      </c>
      <c r="N1451">
        <v>-2.1</v>
      </c>
      <c r="O1451">
        <v>37.67</v>
      </c>
      <c r="P1451">
        <v>1032</v>
      </c>
      <c r="Q1451">
        <v>53</v>
      </c>
      <c r="R1451">
        <v>13</v>
      </c>
    </row>
    <row r="1452" spans="1:18" x14ac:dyDescent="0.25">
      <c r="A1452" s="1" t="s">
        <v>143</v>
      </c>
      <c r="B1452" s="2">
        <v>450</v>
      </c>
      <c r="C1452" s="19">
        <v>44</v>
      </c>
      <c r="D1452" s="3" t="s">
        <v>496</v>
      </c>
      <c r="E1452" s="3" t="s">
        <v>31</v>
      </c>
      <c r="F1452" s="23">
        <v>165806</v>
      </c>
      <c r="G1452" s="15">
        <v>2008</v>
      </c>
      <c r="H1452" s="15">
        <f>Table_7[[#This Row],[Listing Price (USD)]]/10000</f>
        <v>16.5806</v>
      </c>
      <c r="I1452" s="28">
        <f>Table_7[[#This Row],[Length 
(ft)]]</f>
        <v>44</v>
      </c>
      <c r="J1452" s="28">
        <f>2020-Table_7[[#This Row],[Year]]</f>
        <v>12</v>
      </c>
      <c r="K1452">
        <v>57472012426.685303</v>
      </c>
      <c r="L1452">
        <v>14198.753959474399</v>
      </c>
      <c r="M1452">
        <v>0.15481137456202801</v>
      </c>
      <c r="N1452">
        <v>-8.5803430210621805</v>
      </c>
      <c r="O1452">
        <v>37.67</v>
      </c>
      <c r="P1452">
        <v>1032</v>
      </c>
      <c r="Q1452">
        <v>53</v>
      </c>
      <c r="R1452">
        <v>13</v>
      </c>
    </row>
    <row r="1453" spans="1:18" x14ac:dyDescent="0.25">
      <c r="A1453" s="1" t="s">
        <v>143</v>
      </c>
      <c r="B1453" s="2">
        <v>450</v>
      </c>
      <c r="C1453" s="19">
        <v>44</v>
      </c>
      <c r="D1453" s="3" t="s">
        <v>496</v>
      </c>
      <c r="E1453" s="3" t="s">
        <v>3</v>
      </c>
      <c r="F1453" s="23">
        <v>240510</v>
      </c>
      <c r="G1453" s="15">
        <v>2010</v>
      </c>
      <c r="H1453" s="15">
        <f>Table_7[[#This Row],[Listing Price (USD)]]/10000</f>
        <v>24.050999999999998</v>
      </c>
      <c r="I1453" s="28">
        <f>Table_7[[#This Row],[Length 
(ft)]]</f>
        <v>44</v>
      </c>
      <c r="J1453" s="28">
        <f>2020-Table_7[[#This Row],[Year]]</f>
        <v>10</v>
      </c>
      <c r="K1453">
        <v>2639008701648.2598</v>
      </c>
      <c r="L1453">
        <v>39055.282928075401</v>
      </c>
      <c r="M1453">
        <v>0.47649885272508302</v>
      </c>
      <c r="N1453">
        <v>-7.7845864916787102</v>
      </c>
      <c r="O1453">
        <v>37.67</v>
      </c>
      <c r="P1453">
        <v>1032</v>
      </c>
      <c r="Q1453">
        <v>53</v>
      </c>
      <c r="R1453">
        <v>13</v>
      </c>
    </row>
    <row r="1454" spans="1:18" x14ac:dyDescent="0.25">
      <c r="A1454" s="1" t="s">
        <v>177</v>
      </c>
      <c r="B1454" s="3">
        <v>455</v>
      </c>
      <c r="C1454" s="19">
        <v>44</v>
      </c>
      <c r="D1454" s="3" t="s">
        <v>497</v>
      </c>
      <c r="E1454" s="3" t="s">
        <v>370</v>
      </c>
      <c r="F1454" s="23">
        <v>279000</v>
      </c>
      <c r="G1454" s="15">
        <v>2015</v>
      </c>
      <c r="H1454" s="15">
        <f>Table_7[[#This Row],[Listing Price (USD)]]/10000</f>
        <v>27.9</v>
      </c>
      <c r="I1454" s="28">
        <f>Table_7[[#This Row],[Length 
(ft)]]</f>
        <v>44</v>
      </c>
      <c r="J1454" s="28">
        <f>2020-Table_7[[#This Row],[Year]]</f>
        <v>5</v>
      </c>
      <c r="K1454">
        <v>500000000</v>
      </c>
      <c r="L1454">
        <v>34200</v>
      </c>
      <c r="M1454">
        <v>1.1000000000000001</v>
      </c>
      <c r="N1454">
        <v>2</v>
      </c>
      <c r="O1454">
        <v>37.67</v>
      </c>
      <c r="P1454">
        <v>1032</v>
      </c>
      <c r="Q1454">
        <v>53</v>
      </c>
      <c r="R1454">
        <v>13</v>
      </c>
    </row>
    <row r="1455" spans="1:18" x14ac:dyDescent="0.25">
      <c r="A1455" s="1" t="s">
        <v>177</v>
      </c>
      <c r="B1455" s="3">
        <v>455</v>
      </c>
      <c r="C1455" s="19">
        <v>44</v>
      </c>
      <c r="D1455" s="3" t="s">
        <v>497</v>
      </c>
      <c r="E1455" s="3" t="s">
        <v>370</v>
      </c>
      <c r="F1455" s="23">
        <v>279900</v>
      </c>
      <c r="G1455" s="15">
        <v>2015</v>
      </c>
      <c r="H1455" s="15">
        <f>Table_7[[#This Row],[Listing Price (USD)]]/10000</f>
        <v>27.99</v>
      </c>
      <c r="I1455" s="28">
        <f>Table_7[[#This Row],[Length 
(ft)]]</f>
        <v>44</v>
      </c>
      <c r="J1455" s="28">
        <f>2020-Table_7[[#This Row],[Year]]</f>
        <v>5</v>
      </c>
      <c r="K1455">
        <v>500000000</v>
      </c>
      <c r="L1455">
        <v>34200</v>
      </c>
      <c r="M1455">
        <v>1.1000000000000001</v>
      </c>
      <c r="N1455">
        <v>2</v>
      </c>
      <c r="O1455">
        <v>37.67</v>
      </c>
      <c r="P1455">
        <v>1032</v>
      </c>
      <c r="Q1455">
        <v>53</v>
      </c>
      <c r="R1455">
        <v>13</v>
      </c>
    </row>
    <row r="1456" spans="1:18" x14ac:dyDescent="0.25">
      <c r="A1456" s="1" t="s">
        <v>177</v>
      </c>
      <c r="B1456" s="2">
        <v>455</v>
      </c>
      <c r="C1456" s="19">
        <v>44</v>
      </c>
      <c r="D1456" s="3" t="s">
        <v>496</v>
      </c>
      <c r="E1456" s="3" t="s">
        <v>63</v>
      </c>
      <c r="F1456" s="23">
        <v>291487</v>
      </c>
      <c r="G1456" s="15">
        <v>2017</v>
      </c>
      <c r="H1456" s="15">
        <f>Table_7[[#This Row],[Listing Price (USD)]]/10000</f>
        <v>29.148700000000002</v>
      </c>
      <c r="I1456" s="28">
        <f>Table_7[[#This Row],[Length 
(ft)]]</f>
        <v>44</v>
      </c>
      <c r="J1456" s="28">
        <f>2020-Table_7[[#This Row],[Year]]</f>
        <v>3</v>
      </c>
      <c r="K1456">
        <v>720290000000</v>
      </c>
      <c r="L1456">
        <v>13341.6</v>
      </c>
      <c r="M1456">
        <v>13</v>
      </c>
      <c r="N1456">
        <v>-3</v>
      </c>
      <c r="O1456">
        <v>37.67</v>
      </c>
      <c r="P1456">
        <v>1032</v>
      </c>
      <c r="Q1456">
        <v>53</v>
      </c>
      <c r="R1456">
        <v>13</v>
      </c>
    </row>
    <row r="1457" spans="1:18" x14ac:dyDescent="0.25">
      <c r="A1457" s="1" t="s">
        <v>177</v>
      </c>
      <c r="B1457" s="2">
        <v>455</v>
      </c>
      <c r="C1457" s="19">
        <v>44</v>
      </c>
      <c r="D1457" s="3" t="s">
        <v>496</v>
      </c>
      <c r="E1457" s="3" t="s">
        <v>9</v>
      </c>
      <c r="F1457" s="23">
        <v>297560</v>
      </c>
      <c r="G1457" s="15">
        <v>2017</v>
      </c>
      <c r="H1457" s="15">
        <f>Table_7[[#This Row],[Listing Price (USD)]]/10000</f>
        <v>29.756</v>
      </c>
      <c r="I1457" s="28">
        <f>Table_7[[#This Row],[Length 
(ft)]]</f>
        <v>44</v>
      </c>
      <c r="J1457" s="28">
        <f>2020-Table_7[[#This Row],[Year]]</f>
        <v>3</v>
      </c>
      <c r="K1457">
        <v>1276962685648.25</v>
      </c>
      <c r="L1457">
        <v>26959.675436732599</v>
      </c>
      <c r="M1457">
        <v>-0.32275301729970501</v>
      </c>
      <c r="N1457">
        <v>-11.3254383222864</v>
      </c>
      <c r="O1457">
        <v>37.67</v>
      </c>
      <c r="P1457">
        <v>1032</v>
      </c>
      <c r="Q1457">
        <v>53</v>
      </c>
      <c r="R1457">
        <v>13</v>
      </c>
    </row>
    <row r="1458" spans="1:18" x14ac:dyDescent="0.25">
      <c r="A1458" s="1" t="s">
        <v>257</v>
      </c>
      <c r="B1458" s="2" t="s">
        <v>259</v>
      </c>
      <c r="C1458" s="19">
        <v>38</v>
      </c>
      <c r="D1458" s="3" t="s">
        <v>496</v>
      </c>
      <c r="E1458" s="3" t="s">
        <v>516</v>
      </c>
      <c r="F1458" s="23">
        <v>363209</v>
      </c>
      <c r="G1458" s="15">
        <v>2009</v>
      </c>
      <c r="H1458" s="15">
        <f>Table_7[[#This Row],[Listing Price (USD)]]/10000</f>
        <v>36.320900000000002</v>
      </c>
      <c r="I1458" s="28">
        <f>Table_7[[#This Row],[Length 
(ft)]]</f>
        <v>38</v>
      </c>
      <c r="J1458" s="28">
        <f>2020-Table_7[[#This Row],[Year]]</f>
        <v>11</v>
      </c>
      <c r="K1458">
        <v>909793466661.48096</v>
      </c>
      <c r="L1458">
        <v>52162.570115040602</v>
      </c>
      <c r="M1458">
        <v>1.2724603778917001</v>
      </c>
      <c r="N1458">
        <v>-3.88608391819609</v>
      </c>
      <c r="O1458">
        <v>33.79</v>
      </c>
      <c r="P1458">
        <v>770.00199999999995</v>
      </c>
      <c r="Q1458">
        <v>53</v>
      </c>
      <c r="R1458">
        <v>12.3</v>
      </c>
    </row>
    <row r="1459" spans="1:18" x14ac:dyDescent="0.25">
      <c r="A1459" s="1" t="s">
        <v>128</v>
      </c>
      <c r="B1459" s="3" t="s">
        <v>382</v>
      </c>
      <c r="C1459" s="19">
        <v>37</v>
      </c>
      <c r="D1459" s="3" t="s">
        <v>497</v>
      </c>
      <c r="E1459" s="3" t="s">
        <v>370</v>
      </c>
      <c r="F1459" s="23">
        <v>119000</v>
      </c>
      <c r="G1459" s="15">
        <v>2015</v>
      </c>
      <c r="H1459" s="15">
        <f>Table_7[[#This Row],[Listing Price (USD)]]/10000</f>
        <v>11.9</v>
      </c>
      <c r="I1459" s="28">
        <f>Table_7[[#This Row],[Length 
(ft)]]</f>
        <v>37</v>
      </c>
      <c r="J1459" s="28">
        <f>2020-Table_7[[#This Row],[Year]]</f>
        <v>5</v>
      </c>
      <c r="K1459">
        <v>500000000</v>
      </c>
      <c r="L1459">
        <v>34200</v>
      </c>
      <c r="M1459">
        <v>1.1000000000000001</v>
      </c>
      <c r="N1459">
        <v>2</v>
      </c>
      <c r="O1459">
        <v>32.380000000000003</v>
      </c>
      <c r="P1459">
        <v>624.31200000000001</v>
      </c>
      <c r="Q1459">
        <v>53</v>
      </c>
      <c r="R1459">
        <v>12.63</v>
      </c>
    </row>
    <row r="1460" spans="1:18" x14ac:dyDescent="0.25">
      <c r="A1460" s="1" t="s">
        <v>128</v>
      </c>
      <c r="B1460" s="3" t="s">
        <v>382</v>
      </c>
      <c r="C1460" s="19">
        <v>37</v>
      </c>
      <c r="D1460" s="3" t="s">
        <v>497</v>
      </c>
      <c r="E1460" s="3" t="s">
        <v>370</v>
      </c>
      <c r="F1460" s="23">
        <v>129000</v>
      </c>
      <c r="G1460" s="15">
        <v>2015</v>
      </c>
      <c r="H1460" s="15">
        <f>Table_7[[#This Row],[Listing Price (USD)]]/10000</f>
        <v>12.9</v>
      </c>
      <c r="I1460" s="28">
        <f>Table_7[[#This Row],[Length 
(ft)]]</f>
        <v>37</v>
      </c>
      <c r="J1460" s="28">
        <f>2020-Table_7[[#This Row],[Year]]</f>
        <v>5</v>
      </c>
      <c r="K1460">
        <v>500000000</v>
      </c>
      <c r="L1460">
        <v>34200</v>
      </c>
      <c r="M1460">
        <v>1.1000000000000001</v>
      </c>
      <c r="N1460">
        <v>2</v>
      </c>
      <c r="O1460">
        <v>32.380000000000003</v>
      </c>
      <c r="P1460">
        <v>624.31200000000001</v>
      </c>
      <c r="Q1460">
        <v>53</v>
      </c>
      <c r="R1460">
        <v>12.63</v>
      </c>
    </row>
    <row r="1461" spans="1:18" x14ac:dyDescent="0.25">
      <c r="A1461" s="1" t="s">
        <v>128</v>
      </c>
      <c r="B1461" s="3" t="s">
        <v>382</v>
      </c>
      <c r="C1461" s="19">
        <v>37</v>
      </c>
      <c r="D1461" s="3" t="s">
        <v>497</v>
      </c>
      <c r="E1461" s="3" t="s">
        <v>370</v>
      </c>
      <c r="F1461" s="23">
        <v>130000</v>
      </c>
      <c r="G1461" s="15">
        <v>2015</v>
      </c>
      <c r="H1461" s="15">
        <f>Table_7[[#This Row],[Listing Price (USD)]]/10000</f>
        <v>13</v>
      </c>
      <c r="I1461" s="28">
        <f>Table_7[[#This Row],[Length 
(ft)]]</f>
        <v>37</v>
      </c>
      <c r="J1461" s="28">
        <f>2020-Table_7[[#This Row],[Year]]</f>
        <v>5</v>
      </c>
      <c r="K1461">
        <v>500000000</v>
      </c>
      <c r="L1461">
        <v>34200</v>
      </c>
      <c r="M1461">
        <v>1.1000000000000001</v>
      </c>
      <c r="N1461">
        <v>2</v>
      </c>
      <c r="O1461">
        <v>32.380000000000003</v>
      </c>
      <c r="P1461">
        <v>624.31200000000001</v>
      </c>
      <c r="Q1461">
        <v>53</v>
      </c>
      <c r="R1461">
        <v>12.63</v>
      </c>
    </row>
    <row r="1462" spans="1:18" x14ac:dyDescent="0.25">
      <c r="A1462" s="1" t="s">
        <v>128</v>
      </c>
      <c r="B1462" s="3" t="s">
        <v>132</v>
      </c>
      <c r="C1462" s="19">
        <v>40</v>
      </c>
      <c r="D1462" s="3" t="s">
        <v>496</v>
      </c>
      <c r="E1462" s="3" t="s">
        <v>24</v>
      </c>
      <c r="F1462" s="23">
        <v>163984</v>
      </c>
      <c r="G1462" s="15">
        <v>2016</v>
      </c>
      <c r="H1462" s="15">
        <f>Table_7[[#This Row],[Listing Price (USD)]]/10000</f>
        <v>16.398399999999999</v>
      </c>
      <c r="I1462" s="28">
        <f>Table_7[[#This Row],[Length 
(ft)]]</f>
        <v>40</v>
      </c>
      <c r="J1462" s="28">
        <f>2020-Table_7[[#This Row],[Year]]</f>
        <v>4</v>
      </c>
      <c r="K1462">
        <v>1896755301518.1399</v>
      </c>
      <c r="L1462">
        <v>31911.0357890017</v>
      </c>
      <c r="M1462">
        <v>-0.13770757391656999</v>
      </c>
      <c r="N1462">
        <v>-9.0399534112288507</v>
      </c>
      <c r="O1462">
        <v>36.58</v>
      </c>
      <c r="P1462">
        <v>764.00199999999995</v>
      </c>
      <c r="Q1462">
        <v>53</v>
      </c>
      <c r="R1462">
        <v>13.78</v>
      </c>
    </row>
    <row r="1463" spans="1:18" x14ac:dyDescent="0.25">
      <c r="A1463" s="1" t="s">
        <v>128</v>
      </c>
      <c r="B1463" s="3" t="s">
        <v>132</v>
      </c>
      <c r="C1463" s="19">
        <v>40</v>
      </c>
      <c r="D1463" s="3" t="s">
        <v>496</v>
      </c>
      <c r="E1463" s="3" t="s">
        <v>56</v>
      </c>
      <c r="F1463" s="23">
        <v>167605</v>
      </c>
      <c r="G1463" s="15">
        <v>2016</v>
      </c>
      <c r="H1463" s="15">
        <f>Table_7[[#This Row],[Listing Price (USD)]]/10000</f>
        <v>16.7605</v>
      </c>
      <c r="I1463" s="28">
        <f>Table_7[[#This Row],[Length 
(ft)]]</f>
        <v>40</v>
      </c>
      <c r="J1463" s="28">
        <f>2020-Table_7[[#This Row],[Year]]</f>
        <v>4</v>
      </c>
      <c r="K1463">
        <v>14933066818.9606</v>
      </c>
      <c r="L1463">
        <v>28977.565567363599</v>
      </c>
      <c r="M1463">
        <v>0.63854495677665302</v>
      </c>
      <c r="N1463">
        <v>-8.3242832319722009</v>
      </c>
      <c r="O1463">
        <v>36.58</v>
      </c>
      <c r="P1463">
        <v>764.00199999999995</v>
      </c>
      <c r="Q1463">
        <v>53</v>
      </c>
      <c r="R1463">
        <v>13.78</v>
      </c>
    </row>
    <row r="1464" spans="1:18" x14ac:dyDescent="0.25">
      <c r="A1464" s="1" t="s">
        <v>128</v>
      </c>
      <c r="B1464" s="3" t="s">
        <v>132</v>
      </c>
      <c r="C1464" s="19">
        <v>40</v>
      </c>
      <c r="D1464" s="3" t="s">
        <v>496</v>
      </c>
      <c r="E1464" s="3" t="s">
        <v>3</v>
      </c>
      <c r="F1464" s="23">
        <v>168843</v>
      </c>
      <c r="G1464" s="15">
        <v>2016</v>
      </c>
      <c r="H1464" s="15">
        <f>Table_7[[#This Row],[Listing Price (USD)]]/10000</f>
        <v>16.8843</v>
      </c>
      <c r="I1464" s="28">
        <f>Table_7[[#This Row],[Length 
(ft)]]</f>
        <v>40</v>
      </c>
      <c r="J1464" s="28">
        <f>2020-Table_7[[#This Row],[Year]]</f>
        <v>4</v>
      </c>
      <c r="K1464">
        <v>2639008701648.2598</v>
      </c>
      <c r="L1464">
        <v>39055.282928075401</v>
      </c>
      <c r="M1464">
        <v>0.47649885272508302</v>
      </c>
      <c r="N1464">
        <v>-7.7845864916787102</v>
      </c>
      <c r="O1464">
        <v>36.58</v>
      </c>
      <c r="P1464">
        <v>764.00199999999995</v>
      </c>
      <c r="Q1464">
        <v>53</v>
      </c>
      <c r="R1464">
        <v>13.78</v>
      </c>
    </row>
    <row r="1465" spans="1:18" x14ac:dyDescent="0.25">
      <c r="A1465" s="1" t="s">
        <v>128</v>
      </c>
      <c r="B1465" s="3" t="s">
        <v>132</v>
      </c>
      <c r="C1465" s="19">
        <v>40</v>
      </c>
      <c r="D1465" s="3" t="s">
        <v>497</v>
      </c>
      <c r="E1465" s="3" t="s">
        <v>520</v>
      </c>
      <c r="F1465" s="23">
        <v>199900</v>
      </c>
      <c r="G1465" s="15">
        <v>2016</v>
      </c>
      <c r="H1465" s="15">
        <f>Table_7[[#This Row],[Listing Price (USD)]]/10000</f>
        <v>19.989999999999998</v>
      </c>
      <c r="I1465" s="28">
        <f>Table_7[[#This Row],[Length 
(ft)]]</f>
        <v>40</v>
      </c>
      <c r="J1465" s="28">
        <f>2020-Table_7[[#This Row],[Year]]</f>
        <v>4</v>
      </c>
      <c r="K1465">
        <v>103020300000</v>
      </c>
      <c r="L1465">
        <v>31393.907369044598</v>
      </c>
      <c r="M1465">
        <v>3</v>
      </c>
      <c r="N1465">
        <v>-4.3534263366192603</v>
      </c>
      <c r="O1465">
        <v>36.58</v>
      </c>
      <c r="P1465">
        <v>764.00199999999995</v>
      </c>
      <c r="Q1465">
        <v>53</v>
      </c>
      <c r="R1465">
        <v>13.78</v>
      </c>
    </row>
    <row r="1466" spans="1:18" x14ac:dyDescent="0.25">
      <c r="A1466" s="1" t="s">
        <v>128</v>
      </c>
      <c r="B1466" s="3" t="s">
        <v>132</v>
      </c>
      <c r="C1466" s="19">
        <v>40</v>
      </c>
      <c r="D1466" s="3" t="s">
        <v>496</v>
      </c>
      <c r="E1466" s="3" t="s">
        <v>19</v>
      </c>
      <c r="F1466" s="23">
        <v>216502</v>
      </c>
      <c r="G1466" s="15">
        <v>2019</v>
      </c>
      <c r="H1466" s="15">
        <f>Table_7[[#This Row],[Listing Price (USD)]]/10000</f>
        <v>21.650200000000002</v>
      </c>
      <c r="I1466" s="28">
        <f>Table_7[[#This Row],[Length 
(ft)]]</f>
        <v>40</v>
      </c>
      <c r="J1466" s="28">
        <f>2020-Table_7[[#This Row],[Year]]</f>
        <v>1</v>
      </c>
      <c r="K1466">
        <v>4200000000</v>
      </c>
      <c r="L1466">
        <v>39553.199999999997</v>
      </c>
      <c r="M1466">
        <v>4.0999999999999996</v>
      </c>
      <c r="N1466">
        <v>-2.1</v>
      </c>
      <c r="O1466">
        <v>36.58</v>
      </c>
      <c r="P1466">
        <v>764.00199999999995</v>
      </c>
      <c r="Q1466">
        <v>53</v>
      </c>
      <c r="R1466">
        <v>13.78</v>
      </c>
    </row>
    <row r="1467" spans="1:18" x14ac:dyDescent="0.25">
      <c r="A1467" s="1" t="s">
        <v>128</v>
      </c>
      <c r="B1467" s="3" t="s">
        <v>132</v>
      </c>
      <c r="C1467" s="19">
        <v>40</v>
      </c>
      <c r="D1467" s="3" t="s">
        <v>496</v>
      </c>
      <c r="E1467" s="3" t="s">
        <v>24</v>
      </c>
      <c r="F1467" s="23">
        <v>228363</v>
      </c>
      <c r="G1467" s="15">
        <v>2019</v>
      </c>
      <c r="H1467" s="15">
        <f>Table_7[[#This Row],[Listing Price (USD)]]/10000</f>
        <v>22.836300000000001</v>
      </c>
      <c r="I1467" s="28">
        <f>Table_7[[#This Row],[Length 
(ft)]]</f>
        <v>40</v>
      </c>
      <c r="J1467" s="28">
        <f>2020-Table_7[[#This Row],[Year]]</f>
        <v>1</v>
      </c>
      <c r="K1467">
        <v>1896755301518.1399</v>
      </c>
      <c r="L1467">
        <v>31911.0357890017</v>
      </c>
      <c r="M1467">
        <v>-0.13770757391656999</v>
      </c>
      <c r="N1467">
        <v>-9.0399534112288507</v>
      </c>
      <c r="O1467">
        <v>36.58</v>
      </c>
      <c r="P1467">
        <v>764.00199999999995</v>
      </c>
      <c r="Q1467">
        <v>53</v>
      </c>
      <c r="R1467">
        <v>13.78</v>
      </c>
    </row>
    <row r="1468" spans="1:18" x14ac:dyDescent="0.25">
      <c r="A1468" s="1" t="s">
        <v>128</v>
      </c>
      <c r="B1468" s="2" t="s">
        <v>564</v>
      </c>
      <c r="C1468" s="19">
        <v>43</v>
      </c>
      <c r="D1468" s="3" t="s">
        <v>496</v>
      </c>
      <c r="E1468" s="3" t="s">
        <v>31</v>
      </c>
      <c r="F1468" s="23">
        <v>239295</v>
      </c>
      <c r="G1468" s="15">
        <v>2019</v>
      </c>
      <c r="H1468" s="15">
        <f>Table_7[[#This Row],[Listing Price (USD)]]/10000</f>
        <v>23.929500000000001</v>
      </c>
      <c r="I1468" s="28">
        <f>Table_7[[#This Row],[Length 
(ft)]]</f>
        <v>43</v>
      </c>
      <c r="J1468" s="28">
        <f>2020-Table_7[[#This Row],[Year]]</f>
        <v>1</v>
      </c>
      <c r="K1468">
        <v>57472012426.685303</v>
      </c>
      <c r="L1468">
        <v>14198.753959474399</v>
      </c>
      <c r="M1468">
        <v>0.15481137456202801</v>
      </c>
      <c r="N1468">
        <v>-8.5803430210621805</v>
      </c>
      <c r="O1468">
        <v>39.53</v>
      </c>
      <c r="P1468">
        <v>1026.002</v>
      </c>
      <c r="Q1468">
        <v>53</v>
      </c>
      <c r="R1468">
        <v>13.06</v>
      </c>
    </row>
    <row r="1469" spans="1:18" x14ac:dyDescent="0.25">
      <c r="A1469" s="1" t="s">
        <v>128</v>
      </c>
      <c r="B1469" s="2" t="s">
        <v>564</v>
      </c>
      <c r="C1469" s="19">
        <v>43</v>
      </c>
      <c r="D1469" s="3" t="s">
        <v>496</v>
      </c>
      <c r="E1469" s="3" t="s">
        <v>63</v>
      </c>
      <c r="F1469" s="23">
        <v>255086</v>
      </c>
      <c r="G1469" s="15">
        <v>2019</v>
      </c>
      <c r="H1469" s="15">
        <f>Table_7[[#This Row],[Listing Price (USD)]]/10000</f>
        <v>25.508600000000001</v>
      </c>
      <c r="I1469" s="28">
        <f>Table_7[[#This Row],[Length 
(ft)]]</f>
        <v>43</v>
      </c>
      <c r="J1469" s="28">
        <f>2020-Table_7[[#This Row],[Year]]</f>
        <v>1</v>
      </c>
      <c r="K1469">
        <v>720290000000</v>
      </c>
      <c r="L1469">
        <v>13341.6</v>
      </c>
      <c r="M1469">
        <v>13</v>
      </c>
      <c r="N1469">
        <v>-3</v>
      </c>
      <c r="O1469">
        <v>39.53</v>
      </c>
      <c r="P1469">
        <v>1026.002</v>
      </c>
      <c r="Q1469">
        <v>53</v>
      </c>
      <c r="R1469">
        <v>13.06</v>
      </c>
    </row>
    <row r="1470" spans="1:18" x14ac:dyDescent="0.25">
      <c r="A1470" s="1" t="s">
        <v>128</v>
      </c>
      <c r="B1470" s="2" t="s">
        <v>564</v>
      </c>
      <c r="C1470" s="19">
        <v>43</v>
      </c>
      <c r="D1470" s="3" t="s">
        <v>496</v>
      </c>
      <c r="E1470" s="3" t="s">
        <v>24</v>
      </c>
      <c r="F1470" s="23">
        <v>267233</v>
      </c>
      <c r="G1470" s="15">
        <v>2019</v>
      </c>
      <c r="H1470" s="15">
        <f>Table_7[[#This Row],[Listing Price (USD)]]/10000</f>
        <v>26.723299999999998</v>
      </c>
      <c r="I1470" s="28">
        <f>Table_7[[#This Row],[Length 
(ft)]]</f>
        <v>43</v>
      </c>
      <c r="J1470" s="28">
        <f>2020-Table_7[[#This Row],[Year]]</f>
        <v>1</v>
      </c>
      <c r="K1470">
        <v>1896755301518.1399</v>
      </c>
      <c r="L1470">
        <v>31911.0357890017</v>
      </c>
      <c r="M1470">
        <v>-0.13770757391656999</v>
      </c>
      <c r="N1470">
        <v>-9.0399534112288507</v>
      </c>
      <c r="O1470">
        <v>39.53</v>
      </c>
      <c r="P1470">
        <v>1026.002</v>
      </c>
      <c r="Q1470">
        <v>53</v>
      </c>
      <c r="R1470">
        <v>13.06</v>
      </c>
    </row>
    <row r="1471" spans="1:18" x14ac:dyDescent="0.25">
      <c r="A1471" s="1" t="s">
        <v>128</v>
      </c>
      <c r="B1471" s="2" t="s">
        <v>564</v>
      </c>
      <c r="C1471" s="19">
        <v>43</v>
      </c>
      <c r="D1471" s="3" t="s">
        <v>496</v>
      </c>
      <c r="E1471" s="3" t="s">
        <v>22</v>
      </c>
      <c r="F1471" s="23">
        <v>337186</v>
      </c>
      <c r="G1471" s="15">
        <v>2019</v>
      </c>
      <c r="H1471" s="15">
        <f>Table_7[[#This Row],[Listing Price (USD)]]/10000</f>
        <v>33.718600000000002</v>
      </c>
      <c r="I1471" s="28">
        <f>Table_7[[#This Row],[Length 
(ft)]]</f>
        <v>43</v>
      </c>
      <c r="J1471" s="28">
        <f>2020-Table_7[[#This Row],[Year]]</f>
        <v>1</v>
      </c>
      <c r="K1471">
        <v>3889668895299.6201</v>
      </c>
      <c r="L1471">
        <v>46772.825350754501</v>
      </c>
      <c r="M1471">
        <v>0.50668988995327402</v>
      </c>
      <c r="N1471">
        <v>-3.6967887053804298</v>
      </c>
      <c r="O1471">
        <v>39.53</v>
      </c>
      <c r="P1471">
        <v>1026.002</v>
      </c>
      <c r="Q1471">
        <v>53</v>
      </c>
      <c r="R1471">
        <v>13.06</v>
      </c>
    </row>
    <row r="1472" spans="1:18" x14ac:dyDescent="0.25">
      <c r="A1472" s="1" t="s">
        <v>177</v>
      </c>
      <c r="B1472" s="2" t="s">
        <v>181</v>
      </c>
      <c r="C1472" s="19">
        <v>43</v>
      </c>
      <c r="D1472" s="3" t="s">
        <v>496</v>
      </c>
      <c r="E1472" s="3" t="s">
        <v>31</v>
      </c>
      <c r="F1472" s="23">
        <v>133495</v>
      </c>
      <c r="G1472" s="15">
        <v>2008</v>
      </c>
      <c r="H1472" s="15">
        <f>Table_7[[#This Row],[Listing Price (USD)]]/10000</f>
        <v>13.349500000000001</v>
      </c>
      <c r="I1472" s="28">
        <f>Table_7[[#This Row],[Length 
(ft)]]</f>
        <v>43</v>
      </c>
      <c r="J1472" s="28">
        <f>2020-Table_7[[#This Row],[Year]]</f>
        <v>12</v>
      </c>
      <c r="K1472">
        <v>57472012426.685303</v>
      </c>
      <c r="L1472">
        <v>14198.753959474399</v>
      </c>
      <c r="M1472">
        <v>0.15481137456202801</v>
      </c>
      <c r="N1472">
        <v>-8.5803430210621805</v>
      </c>
      <c r="O1472">
        <v>39.53</v>
      </c>
      <c r="P1472">
        <v>1026.002</v>
      </c>
      <c r="Q1472">
        <v>53</v>
      </c>
      <c r="R1472">
        <v>13.06</v>
      </c>
    </row>
    <row r="1473" spans="1:18" x14ac:dyDescent="0.25">
      <c r="A1473" s="1" t="s">
        <v>177</v>
      </c>
      <c r="B1473" s="2" t="s">
        <v>181</v>
      </c>
      <c r="C1473" s="19">
        <v>43</v>
      </c>
      <c r="D1473" s="3" t="s">
        <v>495</v>
      </c>
      <c r="E1473" s="3" t="s">
        <v>554</v>
      </c>
      <c r="F1473" s="23">
        <v>135000</v>
      </c>
      <c r="G1473" s="15">
        <v>2010</v>
      </c>
      <c r="H1473" s="15">
        <f>Table_7[[#This Row],[Listing Price (USD)]]/10000</f>
        <v>13.5</v>
      </c>
      <c r="I1473" s="28">
        <f>Table_7[[#This Row],[Length 
(ft)]]</f>
        <v>43</v>
      </c>
      <c r="J1473" s="28">
        <f>2020-Table_7[[#This Row],[Year]]</f>
        <v>10</v>
      </c>
      <c r="K1473">
        <v>4200000000</v>
      </c>
      <c r="L1473">
        <v>39553.199999999997</v>
      </c>
      <c r="M1473">
        <v>4.0999999999999996</v>
      </c>
      <c r="N1473">
        <v>-2.1</v>
      </c>
      <c r="O1473">
        <v>39.53</v>
      </c>
      <c r="P1473">
        <v>1026.002</v>
      </c>
      <c r="Q1473">
        <v>53</v>
      </c>
      <c r="R1473">
        <v>13.06</v>
      </c>
    </row>
    <row r="1474" spans="1:18" x14ac:dyDescent="0.25">
      <c r="A1474" s="1" t="s">
        <v>177</v>
      </c>
      <c r="B1474" s="2" t="s">
        <v>181</v>
      </c>
      <c r="C1474" s="19">
        <v>43</v>
      </c>
      <c r="D1474" s="3" t="s">
        <v>496</v>
      </c>
      <c r="E1474" s="3" t="s">
        <v>3</v>
      </c>
      <c r="F1474" s="23">
        <v>136046</v>
      </c>
      <c r="G1474" s="15">
        <v>2007</v>
      </c>
      <c r="H1474" s="15">
        <f>Table_7[[#This Row],[Listing Price (USD)]]/10000</f>
        <v>13.6046</v>
      </c>
      <c r="I1474" s="28">
        <f>Table_7[[#This Row],[Length 
(ft)]]</f>
        <v>43</v>
      </c>
      <c r="J1474" s="28">
        <f>2020-Table_7[[#This Row],[Year]]</f>
        <v>13</v>
      </c>
      <c r="K1474">
        <v>2639008701648.2598</v>
      </c>
      <c r="L1474">
        <v>39055.282928075401</v>
      </c>
      <c r="M1474">
        <v>0.47649885272508302</v>
      </c>
      <c r="N1474">
        <v>-7.7845864916787102</v>
      </c>
      <c r="O1474">
        <v>39.53</v>
      </c>
      <c r="P1474">
        <v>1026.002</v>
      </c>
      <c r="Q1474">
        <v>53</v>
      </c>
      <c r="R1474">
        <v>13.06</v>
      </c>
    </row>
    <row r="1475" spans="1:18" x14ac:dyDescent="0.25">
      <c r="A1475" s="1" t="s">
        <v>177</v>
      </c>
      <c r="B1475" s="2" t="s">
        <v>181</v>
      </c>
      <c r="C1475" s="19">
        <v>43</v>
      </c>
      <c r="D1475" s="3" t="s">
        <v>496</v>
      </c>
      <c r="E1475" s="3" t="s">
        <v>3</v>
      </c>
      <c r="F1475" s="23">
        <v>136653</v>
      </c>
      <c r="G1475" s="15">
        <v>2007</v>
      </c>
      <c r="H1475" s="15">
        <f>Table_7[[#This Row],[Listing Price (USD)]]/10000</f>
        <v>13.6653</v>
      </c>
      <c r="I1475" s="28">
        <f>Table_7[[#This Row],[Length 
(ft)]]</f>
        <v>43</v>
      </c>
      <c r="J1475" s="28">
        <f>2020-Table_7[[#This Row],[Year]]</f>
        <v>13</v>
      </c>
      <c r="K1475">
        <v>2639008701648.2598</v>
      </c>
      <c r="L1475">
        <v>39055.282928075401</v>
      </c>
      <c r="M1475">
        <v>0.47649885272508302</v>
      </c>
      <c r="N1475">
        <v>-7.7845864916787102</v>
      </c>
      <c r="O1475">
        <v>39.53</v>
      </c>
      <c r="P1475">
        <v>1026.002</v>
      </c>
      <c r="Q1475">
        <v>53</v>
      </c>
      <c r="R1475">
        <v>13.06</v>
      </c>
    </row>
    <row r="1476" spans="1:18" x14ac:dyDescent="0.25">
      <c r="A1476" s="1" t="s">
        <v>177</v>
      </c>
      <c r="B1476" s="2" t="s">
        <v>181</v>
      </c>
      <c r="C1476" s="19">
        <v>43</v>
      </c>
      <c r="D1476" s="3" t="s">
        <v>496</v>
      </c>
      <c r="E1476" s="3" t="s">
        <v>18</v>
      </c>
      <c r="F1476" s="23">
        <v>145764</v>
      </c>
      <c r="G1476" s="15">
        <v>2008</v>
      </c>
      <c r="H1476" s="15">
        <f>Table_7[[#This Row],[Listing Price (USD)]]/10000</f>
        <v>14.5764</v>
      </c>
      <c r="I1476" s="28">
        <f>Table_7[[#This Row],[Length 
(ft)]]</f>
        <v>43</v>
      </c>
      <c r="J1476" s="28">
        <f>2020-Table_7[[#This Row],[Year]]</f>
        <v>12</v>
      </c>
      <c r="K1476">
        <v>188925995936.80701</v>
      </c>
      <c r="L1476">
        <v>17658.947301119199</v>
      </c>
      <c r="M1476">
        <v>-1.2479835558140799</v>
      </c>
      <c r="N1476">
        <v>-9.0040436420214593</v>
      </c>
      <c r="O1476">
        <v>39.53</v>
      </c>
      <c r="P1476">
        <v>1026.002</v>
      </c>
      <c r="Q1476">
        <v>53</v>
      </c>
      <c r="R1476">
        <v>13.06</v>
      </c>
    </row>
    <row r="1477" spans="1:18" x14ac:dyDescent="0.25">
      <c r="A1477" s="1" t="s">
        <v>177</v>
      </c>
      <c r="B1477" s="2" t="s">
        <v>181</v>
      </c>
      <c r="C1477" s="19">
        <v>43</v>
      </c>
      <c r="D1477" s="3" t="s">
        <v>496</v>
      </c>
      <c r="E1477" s="3" t="s">
        <v>18</v>
      </c>
      <c r="F1477" s="23">
        <v>153052</v>
      </c>
      <c r="G1477" s="15">
        <v>2008</v>
      </c>
      <c r="H1477" s="15">
        <f>Table_7[[#This Row],[Listing Price (USD)]]/10000</f>
        <v>15.305199999999999</v>
      </c>
      <c r="I1477" s="28">
        <f>Table_7[[#This Row],[Length 
(ft)]]</f>
        <v>43</v>
      </c>
      <c r="J1477" s="28">
        <f>2020-Table_7[[#This Row],[Year]]</f>
        <v>12</v>
      </c>
      <c r="K1477">
        <v>188925995936.80701</v>
      </c>
      <c r="L1477">
        <v>17658.947301119199</v>
      </c>
      <c r="M1477">
        <v>-1.2479835558140799</v>
      </c>
      <c r="N1477">
        <v>-9.0040436420214593</v>
      </c>
      <c r="O1477">
        <v>39.53</v>
      </c>
      <c r="P1477">
        <v>1026.002</v>
      </c>
      <c r="Q1477">
        <v>53</v>
      </c>
      <c r="R1477">
        <v>13.06</v>
      </c>
    </row>
    <row r="1478" spans="1:18" x14ac:dyDescent="0.25">
      <c r="A1478" s="1" t="s">
        <v>177</v>
      </c>
      <c r="B1478" s="2" t="s">
        <v>181</v>
      </c>
      <c r="C1478" s="19">
        <v>43</v>
      </c>
      <c r="D1478" s="3" t="s">
        <v>497</v>
      </c>
      <c r="E1478" s="3" t="s">
        <v>483</v>
      </c>
      <c r="F1478" s="23">
        <v>157907</v>
      </c>
      <c r="G1478" s="15">
        <v>2007</v>
      </c>
      <c r="H1478" s="15">
        <f>Table_7[[#This Row],[Listing Price (USD)]]/10000</f>
        <v>15.790699999999999</v>
      </c>
      <c r="I1478" s="28">
        <f>Table_7[[#This Row],[Length 
(ft)]]</f>
        <v>43</v>
      </c>
      <c r="J1478" s="28">
        <f>2020-Table_7[[#This Row],[Year]]</f>
        <v>13</v>
      </c>
      <c r="K1478">
        <v>4200000000</v>
      </c>
      <c r="L1478">
        <v>39553.199999999997</v>
      </c>
      <c r="M1478">
        <v>2.5</v>
      </c>
      <c r="N1478">
        <v>-2.1</v>
      </c>
      <c r="O1478">
        <v>39.53</v>
      </c>
      <c r="P1478">
        <v>1026.002</v>
      </c>
      <c r="Q1478">
        <v>53</v>
      </c>
      <c r="R1478">
        <v>13.06</v>
      </c>
    </row>
    <row r="1479" spans="1:18" x14ac:dyDescent="0.25">
      <c r="A1479" s="1" t="s">
        <v>177</v>
      </c>
      <c r="B1479" s="2" t="s">
        <v>181</v>
      </c>
      <c r="C1479" s="19">
        <v>43</v>
      </c>
      <c r="D1479" s="3" t="s">
        <v>496</v>
      </c>
      <c r="E1479" s="3" t="s">
        <v>22</v>
      </c>
      <c r="F1479" s="23">
        <v>168843</v>
      </c>
      <c r="G1479" s="15">
        <v>2007</v>
      </c>
      <c r="H1479" s="15">
        <f>Table_7[[#This Row],[Listing Price (USD)]]/10000</f>
        <v>16.8843</v>
      </c>
      <c r="I1479" s="28">
        <f>Table_7[[#This Row],[Length 
(ft)]]</f>
        <v>43</v>
      </c>
      <c r="J1479" s="28">
        <f>2020-Table_7[[#This Row],[Year]]</f>
        <v>13</v>
      </c>
      <c r="K1479">
        <v>3889668895299.6201</v>
      </c>
      <c r="L1479">
        <v>46772.825350754501</v>
      </c>
      <c r="M1479">
        <v>0.50668988995327402</v>
      </c>
      <c r="N1479">
        <v>-3.6967887053804298</v>
      </c>
      <c r="O1479">
        <v>39.53</v>
      </c>
      <c r="P1479">
        <v>1026.002</v>
      </c>
      <c r="Q1479">
        <v>53</v>
      </c>
      <c r="R1479">
        <v>13.06</v>
      </c>
    </row>
    <row r="1480" spans="1:18" x14ac:dyDescent="0.25">
      <c r="A1480" s="1" t="s">
        <v>187</v>
      </c>
      <c r="B1480" s="3" t="s">
        <v>386</v>
      </c>
      <c r="C1480" s="19">
        <v>44</v>
      </c>
      <c r="D1480" s="3" t="s">
        <v>497</v>
      </c>
      <c r="E1480" s="3" t="s">
        <v>498</v>
      </c>
      <c r="F1480" s="23">
        <v>159000</v>
      </c>
      <c r="G1480" s="15">
        <v>2006</v>
      </c>
      <c r="H1480" s="15">
        <f>Table_7[[#This Row],[Listing Price (USD)]]/10000</f>
        <v>15.9</v>
      </c>
      <c r="I1480" s="28">
        <f>Table_7[[#This Row],[Length 
(ft)]]</f>
        <v>44</v>
      </c>
      <c r="J1480" s="28">
        <f>2020-Table_7[[#This Row],[Year]]</f>
        <v>14</v>
      </c>
      <c r="K1480">
        <v>1090515389749.41</v>
      </c>
      <c r="L1480">
        <v>8655.0006820680301</v>
      </c>
      <c r="M1480">
        <v>3.3968341556999899</v>
      </c>
      <c r="N1480">
        <v>-7.9879123401474903</v>
      </c>
      <c r="O1480">
        <v>41.67</v>
      </c>
      <c r="P1480">
        <v>1094.002</v>
      </c>
      <c r="Q1480">
        <v>53</v>
      </c>
      <c r="R1480">
        <v>13.94</v>
      </c>
    </row>
    <row r="1481" spans="1:18" x14ac:dyDescent="0.25">
      <c r="A1481" s="1" t="s">
        <v>187</v>
      </c>
      <c r="B1481" s="3" t="s">
        <v>341</v>
      </c>
      <c r="C1481" s="19">
        <v>44</v>
      </c>
      <c r="D1481" s="3" t="s">
        <v>495</v>
      </c>
      <c r="E1481" s="3" t="s">
        <v>554</v>
      </c>
      <c r="F1481" s="23">
        <v>148106</v>
      </c>
      <c r="G1481" s="15">
        <v>2005</v>
      </c>
      <c r="H1481" s="15">
        <f>Table_7[[#This Row],[Listing Price (USD)]]/10000</f>
        <v>14.810600000000001</v>
      </c>
      <c r="I1481" s="28">
        <f>Table_7[[#This Row],[Length 
(ft)]]</f>
        <v>44</v>
      </c>
      <c r="J1481" s="28">
        <f>2020-Table_7[[#This Row],[Year]]</f>
        <v>15</v>
      </c>
      <c r="K1481">
        <v>4200000000</v>
      </c>
      <c r="L1481">
        <v>39553.199999999997</v>
      </c>
      <c r="M1481">
        <v>4.0999999999999996</v>
      </c>
      <c r="N1481">
        <v>-2.1</v>
      </c>
      <c r="O1481">
        <v>39.369999999999997</v>
      </c>
      <c r="P1481">
        <v>835.00199999999995</v>
      </c>
      <c r="Q1481">
        <v>53</v>
      </c>
      <c r="R1481">
        <v>13.91</v>
      </c>
    </row>
    <row r="1482" spans="1:18" x14ac:dyDescent="0.25">
      <c r="A1482" s="1" t="s">
        <v>187</v>
      </c>
      <c r="B1482" s="3" t="s">
        <v>341</v>
      </c>
      <c r="C1482" s="19">
        <v>44</v>
      </c>
      <c r="D1482" s="3" t="s">
        <v>495</v>
      </c>
      <c r="E1482" s="3" t="s">
        <v>500</v>
      </c>
      <c r="F1482" s="23">
        <v>159000</v>
      </c>
      <c r="G1482" s="15">
        <v>2005</v>
      </c>
      <c r="H1482" s="15">
        <f>Table_7[[#This Row],[Listing Price (USD)]]/10000</f>
        <v>15.9</v>
      </c>
      <c r="I1482" s="28">
        <f>Table_7[[#This Row],[Length 
(ft)]]</f>
        <v>44</v>
      </c>
      <c r="J1482" s="28">
        <f>2020-Table_7[[#This Row],[Year]]</f>
        <v>15</v>
      </c>
      <c r="K1482">
        <v>3007188000000</v>
      </c>
      <c r="L1482">
        <v>76131.839999999997</v>
      </c>
      <c r="M1482">
        <v>1.23</v>
      </c>
      <c r="N1482">
        <v>2.7</v>
      </c>
      <c r="O1482">
        <v>39.369999999999997</v>
      </c>
      <c r="P1482">
        <v>835.00199999999995</v>
      </c>
      <c r="Q1482">
        <v>53</v>
      </c>
      <c r="R1482">
        <v>13.91</v>
      </c>
    </row>
    <row r="1483" spans="1:18" x14ac:dyDescent="0.25">
      <c r="A1483" s="1" t="s">
        <v>187</v>
      </c>
      <c r="B1483" s="3" t="s">
        <v>341</v>
      </c>
      <c r="C1483" s="19">
        <v>44</v>
      </c>
      <c r="D1483" s="3" t="s">
        <v>495</v>
      </c>
      <c r="E1483" s="3" t="s">
        <v>521</v>
      </c>
      <c r="F1483" s="23">
        <v>169900</v>
      </c>
      <c r="G1483" s="15">
        <v>2006</v>
      </c>
      <c r="H1483" s="15">
        <f>Table_7[[#This Row],[Listing Price (USD)]]/10000</f>
        <v>16.989999999999998</v>
      </c>
      <c r="I1483" s="28">
        <f>Table_7[[#This Row],[Length 
(ft)]]</f>
        <v>44</v>
      </c>
      <c r="J1483" s="28">
        <f>2020-Table_7[[#This Row],[Year]]</f>
        <v>14</v>
      </c>
      <c r="K1483">
        <v>60556000000</v>
      </c>
      <c r="L1483">
        <v>55240.56</v>
      </c>
      <c r="M1483">
        <v>3</v>
      </c>
      <c r="N1483">
        <v>2.2000000000000002</v>
      </c>
      <c r="O1483">
        <v>39.369999999999997</v>
      </c>
      <c r="P1483">
        <v>835.00199999999995</v>
      </c>
      <c r="Q1483">
        <v>53</v>
      </c>
      <c r="R1483">
        <v>13.91</v>
      </c>
    </row>
    <row r="1484" spans="1:18" x14ac:dyDescent="0.25">
      <c r="A1484" s="1" t="s">
        <v>128</v>
      </c>
      <c r="B1484" s="2" t="s">
        <v>133</v>
      </c>
      <c r="C1484" s="19">
        <v>44</v>
      </c>
      <c r="D1484" s="3" t="s">
        <v>496</v>
      </c>
      <c r="E1484" s="3" t="s">
        <v>24</v>
      </c>
      <c r="F1484" s="23">
        <v>132402</v>
      </c>
      <c r="G1484" s="15">
        <v>2006</v>
      </c>
      <c r="H1484" s="15">
        <f>Table_7[[#This Row],[Listing Price (USD)]]/10000</f>
        <v>13.2402</v>
      </c>
      <c r="I1484" s="28">
        <f>Table_7[[#This Row],[Length 
(ft)]]</f>
        <v>44</v>
      </c>
      <c r="J1484" s="28">
        <f>2020-Table_7[[#This Row],[Year]]</f>
        <v>14</v>
      </c>
      <c r="K1484">
        <v>1896755301518.1399</v>
      </c>
      <c r="L1484">
        <v>31911.0357890017</v>
      </c>
      <c r="M1484">
        <v>-0.13770757391656999</v>
      </c>
      <c r="N1484">
        <v>-9.0399534112288507</v>
      </c>
      <c r="O1484">
        <v>39.369999999999997</v>
      </c>
      <c r="P1484">
        <v>835.00199999999995</v>
      </c>
      <c r="Q1484">
        <v>53</v>
      </c>
      <c r="R1484">
        <v>13.91</v>
      </c>
    </row>
    <row r="1485" spans="1:18" x14ac:dyDescent="0.25">
      <c r="A1485" s="1" t="s">
        <v>128</v>
      </c>
      <c r="B1485" s="2" t="s">
        <v>133</v>
      </c>
      <c r="C1485" s="19">
        <v>44</v>
      </c>
      <c r="D1485" s="3" t="s">
        <v>496</v>
      </c>
      <c r="E1485" s="3" t="s">
        <v>24</v>
      </c>
      <c r="F1485" s="23">
        <v>133617</v>
      </c>
      <c r="G1485" s="15">
        <v>2005</v>
      </c>
      <c r="H1485" s="15">
        <f>Table_7[[#This Row],[Listing Price (USD)]]/10000</f>
        <v>13.361700000000001</v>
      </c>
      <c r="I1485" s="28">
        <f>Table_7[[#This Row],[Length 
(ft)]]</f>
        <v>44</v>
      </c>
      <c r="J1485" s="28">
        <f>2020-Table_7[[#This Row],[Year]]</f>
        <v>15</v>
      </c>
      <c r="K1485">
        <v>1896755301518.1399</v>
      </c>
      <c r="L1485">
        <v>31911.0357890017</v>
      </c>
      <c r="M1485">
        <v>-0.13770757391656999</v>
      </c>
      <c r="N1485">
        <v>-9.0399534112288507</v>
      </c>
      <c r="O1485">
        <v>39.369999999999997</v>
      </c>
      <c r="P1485">
        <v>835.00199999999995</v>
      </c>
      <c r="Q1485">
        <v>53</v>
      </c>
      <c r="R1485">
        <v>13.91</v>
      </c>
    </row>
    <row r="1486" spans="1:18" x14ac:dyDescent="0.25">
      <c r="A1486" s="1" t="s">
        <v>117</v>
      </c>
      <c r="B1486" s="2" t="s">
        <v>121</v>
      </c>
      <c r="C1486" s="19">
        <v>44</v>
      </c>
      <c r="D1486" s="3" t="s">
        <v>496</v>
      </c>
      <c r="E1486" s="3" t="s">
        <v>237</v>
      </c>
      <c r="F1486" s="23">
        <v>205284</v>
      </c>
      <c r="G1486" s="15">
        <v>2007</v>
      </c>
      <c r="H1486" s="15">
        <f>Table_7[[#This Row],[Listing Price (USD)]]/10000</f>
        <v>20.528400000000001</v>
      </c>
      <c r="I1486" s="28">
        <f>Table_7[[#This Row],[Length 
(ft)]]</f>
        <v>44</v>
      </c>
      <c r="J1486" s="28">
        <f>2020-Table_7[[#This Row],[Year]]</f>
        <v>13</v>
      </c>
      <c r="K1486">
        <v>229031860520.77701</v>
      </c>
      <c r="L1486">
        <v>22242.406417972001</v>
      </c>
      <c r="M1486">
        <v>-1.2438329957616699E-2</v>
      </c>
      <c r="N1486">
        <v>-8.3005160422115107</v>
      </c>
      <c r="O1486">
        <v>41.67</v>
      </c>
      <c r="P1486">
        <v>1094.002</v>
      </c>
      <c r="Q1486">
        <v>53</v>
      </c>
      <c r="R1486">
        <v>13.94</v>
      </c>
    </row>
    <row r="1487" spans="1:18" x14ac:dyDescent="0.25">
      <c r="A1487" s="1" t="s">
        <v>128</v>
      </c>
      <c r="B1487" s="2" t="s">
        <v>137</v>
      </c>
      <c r="C1487" s="19">
        <v>46</v>
      </c>
      <c r="D1487" s="3" t="s">
        <v>496</v>
      </c>
      <c r="E1487" s="3" t="s">
        <v>31</v>
      </c>
      <c r="F1487" s="23">
        <v>188278</v>
      </c>
      <c r="G1487" s="15">
        <v>2016</v>
      </c>
      <c r="H1487" s="15">
        <f>Table_7[[#This Row],[Listing Price (USD)]]/10000</f>
        <v>18.8278</v>
      </c>
      <c r="I1487" s="28">
        <f>Table_7[[#This Row],[Length 
(ft)]]</f>
        <v>46</v>
      </c>
      <c r="J1487" s="28">
        <f>2020-Table_7[[#This Row],[Year]]</f>
        <v>4</v>
      </c>
      <c r="K1487">
        <v>57472012426.685303</v>
      </c>
      <c r="L1487">
        <v>14198.753959474399</v>
      </c>
      <c r="M1487">
        <v>0.15481137456202801</v>
      </c>
      <c r="N1487">
        <v>-8.5803430210621805</v>
      </c>
      <c r="O1487">
        <v>41.17</v>
      </c>
      <c r="P1487">
        <v>1222.002</v>
      </c>
      <c r="Q1487">
        <v>53</v>
      </c>
      <c r="R1487">
        <v>13.78</v>
      </c>
    </row>
    <row r="1488" spans="1:18" x14ac:dyDescent="0.25">
      <c r="A1488" s="1" t="s">
        <v>128</v>
      </c>
      <c r="B1488" s="2" t="s">
        <v>137</v>
      </c>
      <c r="C1488" s="19">
        <v>46</v>
      </c>
      <c r="D1488" s="3" t="s">
        <v>496</v>
      </c>
      <c r="E1488" s="3" t="s">
        <v>31</v>
      </c>
      <c r="F1488" s="23">
        <v>188326</v>
      </c>
      <c r="G1488" s="15">
        <v>2015</v>
      </c>
      <c r="H1488" s="15">
        <f>Table_7[[#This Row],[Listing Price (USD)]]/10000</f>
        <v>18.832599999999999</v>
      </c>
      <c r="I1488" s="28">
        <f>Table_7[[#This Row],[Length 
(ft)]]</f>
        <v>46</v>
      </c>
      <c r="J1488" s="28">
        <f>2020-Table_7[[#This Row],[Year]]</f>
        <v>5</v>
      </c>
      <c r="K1488">
        <v>57472012426.685303</v>
      </c>
      <c r="L1488">
        <v>14198.753959474399</v>
      </c>
      <c r="M1488">
        <v>0.15481137456202801</v>
      </c>
      <c r="N1488">
        <v>-8.5803430210621805</v>
      </c>
      <c r="O1488">
        <v>41.17</v>
      </c>
      <c r="P1488">
        <v>1222.002</v>
      </c>
      <c r="Q1488">
        <v>53</v>
      </c>
      <c r="R1488">
        <v>13.78</v>
      </c>
    </row>
    <row r="1489" spans="1:18" x14ac:dyDescent="0.25">
      <c r="A1489" s="1" t="s">
        <v>128</v>
      </c>
      <c r="B1489" s="2" t="s">
        <v>137</v>
      </c>
      <c r="C1489" s="19">
        <v>46</v>
      </c>
      <c r="D1489" s="3" t="s">
        <v>496</v>
      </c>
      <c r="E1489" s="3" t="s">
        <v>31</v>
      </c>
      <c r="F1489" s="23">
        <v>194401</v>
      </c>
      <c r="G1489" s="15">
        <v>2016</v>
      </c>
      <c r="H1489" s="15">
        <f>Table_7[[#This Row],[Listing Price (USD)]]/10000</f>
        <v>19.440100000000001</v>
      </c>
      <c r="I1489" s="28">
        <f>Table_7[[#This Row],[Length 
(ft)]]</f>
        <v>46</v>
      </c>
      <c r="J1489" s="28">
        <f>2020-Table_7[[#This Row],[Year]]</f>
        <v>4</v>
      </c>
      <c r="K1489">
        <v>57472012426.685303</v>
      </c>
      <c r="L1489">
        <v>14198.753959474399</v>
      </c>
      <c r="M1489">
        <v>0.15481137456202801</v>
      </c>
      <c r="N1489">
        <v>-8.5803430210621805</v>
      </c>
      <c r="O1489">
        <v>41.17</v>
      </c>
      <c r="P1489">
        <v>1222.002</v>
      </c>
      <c r="Q1489">
        <v>53</v>
      </c>
      <c r="R1489">
        <v>13.78</v>
      </c>
    </row>
    <row r="1490" spans="1:18" x14ac:dyDescent="0.25">
      <c r="A1490" s="1" t="s">
        <v>128</v>
      </c>
      <c r="B1490" s="2" t="s">
        <v>137</v>
      </c>
      <c r="C1490" s="19">
        <v>46</v>
      </c>
      <c r="D1490" s="3" t="s">
        <v>496</v>
      </c>
      <c r="E1490" s="3" t="s">
        <v>31</v>
      </c>
      <c r="F1490" s="23">
        <v>204069</v>
      </c>
      <c r="G1490" s="15">
        <v>2016</v>
      </c>
      <c r="H1490" s="15">
        <f>Table_7[[#This Row],[Listing Price (USD)]]/10000</f>
        <v>20.4069</v>
      </c>
      <c r="I1490" s="28">
        <f>Table_7[[#This Row],[Length 
(ft)]]</f>
        <v>46</v>
      </c>
      <c r="J1490" s="28">
        <f>2020-Table_7[[#This Row],[Year]]</f>
        <v>4</v>
      </c>
      <c r="K1490">
        <v>57472012426.685303</v>
      </c>
      <c r="L1490">
        <v>14198.753959474399</v>
      </c>
      <c r="M1490">
        <v>0.15481137456202801</v>
      </c>
      <c r="N1490">
        <v>-8.5803430210621805</v>
      </c>
      <c r="O1490">
        <v>41.17</v>
      </c>
      <c r="P1490">
        <v>1222.002</v>
      </c>
      <c r="Q1490">
        <v>53</v>
      </c>
      <c r="R1490">
        <v>13.78</v>
      </c>
    </row>
    <row r="1491" spans="1:18" x14ac:dyDescent="0.25">
      <c r="A1491" s="1" t="s">
        <v>128</v>
      </c>
      <c r="B1491" s="2" t="s">
        <v>137</v>
      </c>
      <c r="C1491" s="19">
        <v>46</v>
      </c>
      <c r="D1491" s="3" t="s">
        <v>496</v>
      </c>
      <c r="E1491" s="3" t="s">
        <v>9</v>
      </c>
      <c r="F1491" s="23">
        <v>206429</v>
      </c>
      <c r="G1491" s="15">
        <v>2016</v>
      </c>
      <c r="H1491" s="15">
        <f>Table_7[[#This Row],[Listing Price (USD)]]/10000</f>
        <v>20.642900000000001</v>
      </c>
      <c r="I1491" s="28">
        <f>Table_7[[#This Row],[Length 
(ft)]]</f>
        <v>46</v>
      </c>
      <c r="J1491" s="28">
        <f>2020-Table_7[[#This Row],[Year]]</f>
        <v>4</v>
      </c>
      <c r="K1491">
        <v>1276962685648.25</v>
      </c>
      <c r="L1491">
        <v>26959.675436732599</v>
      </c>
      <c r="M1491">
        <v>-0.32275301729970501</v>
      </c>
      <c r="N1491">
        <v>-11.3254383222864</v>
      </c>
      <c r="O1491">
        <v>41.17</v>
      </c>
      <c r="P1491">
        <v>1222.002</v>
      </c>
      <c r="Q1491">
        <v>53</v>
      </c>
      <c r="R1491">
        <v>13.78</v>
      </c>
    </row>
    <row r="1492" spans="1:18" x14ac:dyDescent="0.25">
      <c r="A1492" s="1" t="s">
        <v>128</v>
      </c>
      <c r="B1492" s="2" t="s">
        <v>137</v>
      </c>
      <c r="C1492" s="19">
        <v>46</v>
      </c>
      <c r="D1492" s="3" t="s">
        <v>496</v>
      </c>
      <c r="E1492" s="3" t="s">
        <v>24</v>
      </c>
      <c r="F1492" s="23">
        <v>211965</v>
      </c>
      <c r="G1492" s="15">
        <v>2016</v>
      </c>
      <c r="H1492" s="15">
        <f>Table_7[[#This Row],[Listing Price (USD)]]/10000</f>
        <v>21.1965</v>
      </c>
      <c r="I1492" s="28">
        <f>Table_7[[#This Row],[Length 
(ft)]]</f>
        <v>46</v>
      </c>
      <c r="J1492" s="28">
        <f>2020-Table_7[[#This Row],[Year]]</f>
        <v>4</v>
      </c>
      <c r="K1492">
        <v>1896755301518.1399</v>
      </c>
      <c r="L1492">
        <v>31911.0357890017</v>
      </c>
      <c r="M1492">
        <v>-0.13770757391656999</v>
      </c>
      <c r="N1492">
        <v>-9.0399534112288507</v>
      </c>
      <c r="O1492">
        <v>41.17</v>
      </c>
      <c r="P1492">
        <v>1222.002</v>
      </c>
      <c r="Q1492">
        <v>53</v>
      </c>
      <c r="R1492">
        <v>13.78</v>
      </c>
    </row>
    <row r="1493" spans="1:18" x14ac:dyDescent="0.25">
      <c r="A1493" s="1" t="s">
        <v>128</v>
      </c>
      <c r="B1493" s="2" t="s">
        <v>137</v>
      </c>
      <c r="C1493" s="19">
        <v>46</v>
      </c>
      <c r="D1493" s="3" t="s">
        <v>496</v>
      </c>
      <c r="E1493" s="3" t="s">
        <v>24</v>
      </c>
      <c r="F1493" s="23">
        <v>217486</v>
      </c>
      <c r="G1493" s="15">
        <v>2016</v>
      </c>
      <c r="H1493" s="15">
        <f>Table_7[[#This Row],[Listing Price (USD)]]/10000</f>
        <v>21.7486</v>
      </c>
      <c r="I1493" s="28">
        <f>Table_7[[#This Row],[Length 
(ft)]]</f>
        <v>46</v>
      </c>
      <c r="J1493" s="28">
        <f>2020-Table_7[[#This Row],[Year]]</f>
        <v>4</v>
      </c>
      <c r="K1493">
        <v>1896755301518.1399</v>
      </c>
      <c r="L1493">
        <v>31911.0357890017</v>
      </c>
      <c r="M1493">
        <v>-0.13770757391656999</v>
      </c>
      <c r="N1493">
        <v>-9.0399534112288507</v>
      </c>
      <c r="O1493">
        <v>41.17</v>
      </c>
      <c r="P1493">
        <v>1222.002</v>
      </c>
      <c r="Q1493">
        <v>53</v>
      </c>
      <c r="R1493">
        <v>13.78</v>
      </c>
    </row>
    <row r="1494" spans="1:18" x14ac:dyDescent="0.25">
      <c r="A1494" s="1" t="s">
        <v>128</v>
      </c>
      <c r="B1494" s="2" t="s">
        <v>137</v>
      </c>
      <c r="C1494" s="19">
        <v>46</v>
      </c>
      <c r="D1494" s="3" t="s">
        <v>496</v>
      </c>
      <c r="E1494" s="3" t="s">
        <v>31</v>
      </c>
      <c r="F1494" s="23">
        <v>230792</v>
      </c>
      <c r="G1494" s="15">
        <v>2017</v>
      </c>
      <c r="H1494" s="15">
        <f>Table_7[[#This Row],[Listing Price (USD)]]/10000</f>
        <v>23.0792</v>
      </c>
      <c r="I1494" s="28">
        <f>Table_7[[#This Row],[Length 
(ft)]]</f>
        <v>46</v>
      </c>
      <c r="J1494" s="28">
        <f>2020-Table_7[[#This Row],[Year]]</f>
        <v>3</v>
      </c>
      <c r="K1494">
        <v>57472012426.685303</v>
      </c>
      <c r="L1494">
        <v>14198.753959474399</v>
      </c>
      <c r="M1494">
        <v>0.15481137456202801</v>
      </c>
      <c r="N1494">
        <v>-8.5803430210621805</v>
      </c>
      <c r="O1494">
        <v>41.17</v>
      </c>
      <c r="P1494">
        <v>1222.002</v>
      </c>
      <c r="Q1494">
        <v>53</v>
      </c>
      <c r="R1494">
        <v>13.78</v>
      </c>
    </row>
    <row r="1495" spans="1:18" x14ac:dyDescent="0.25">
      <c r="A1495" s="1" t="s">
        <v>128</v>
      </c>
      <c r="B1495" s="2" t="s">
        <v>137</v>
      </c>
      <c r="C1495" s="19">
        <v>46</v>
      </c>
      <c r="D1495" s="3" t="s">
        <v>496</v>
      </c>
      <c r="E1495" s="3" t="s">
        <v>31</v>
      </c>
      <c r="F1495" s="23">
        <v>241786</v>
      </c>
      <c r="G1495" s="15">
        <v>2016</v>
      </c>
      <c r="H1495" s="15">
        <f>Table_7[[#This Row],[Listing Price (USD)]]/10000</f>
        <v>24.178599999999999</v>
      </c>
      <c r="I1495" s="28">
        <f>Table_7[[#This Row],[Length 
(ft)]]</f>
        <v>46</v>
      </c>
      <c r="J1495" s="28">
        <f>2020-Table_7[[#This Row],[Year]]</f>
        <v>4</v>
      </c>
      <c r="K1495">
        <v>57472012426.685303</v>
      </c>
      <c r="L1495">
        <v>14198.753959474399</v>
      </c>
      <c r="M1495">
        <v>0.15481137456202801</v>
      </c>
      <c r="N1495">
        <v>-8.5803430210621805</v>
      </c>
      <c r="O1495">
        <v>41.17</v>
      </c>
      <c r="P1495">
        <v>1222.002</v>
      </c>
      <c r="Q1495">
        <v>53</v>
      </c>
      <c r="R1495">
        <v>13.78</v>
      </c>
    </row>
    <row r="1496" spans="1:18" x14ac:dyDescent="0.25">
      <c r="A1496" s="1" t="s">
        <v>128</v>
      </c>
      <c r="B1496" s="2" t="s">
        <v>137</v>
      </c>
      <c r="C1496" s="19">
        <v>46</v>
      </c>
      <c r="D1496" s="3" t="s">
        <v>496</v>
      </c>
      <c r="E1496" s="3" t="s">
        <v>18</v>
      </c>
      <c r="F1496" s="23">
        <v>243001</v>
      </c>
      <c r="G1496" s="15">
        <v>2017</v>
      </c>
      <c r="H1496" s="15">
        <f>Table_7[[#This Row],[Listing Price (USD)]]/10000</f>
        <v>24.3001</v>
      </c>
      <c r="I1496" s="28">
        <f>Table_7[[#This Row],[Length 
(ft)]]</f>
        <v>46</v>
      </c>
      <c r="J1496" s="28">
        <f>2020-Table_7[[#This Row],[Year]]</f>
        <v>3</v>
      </c>
      <c r="K1496">
        <v>188925995936.80701</v>
      </c>
      <c r="L1496">
        <v>17658.947301119199</v>
      </c>
      <c r="M1496">
        <v>-1.2479835558140799</v>
      </c>
      <c r="N1496">
        <v>-9.0040436420214593</v>
      </c>
      <c r="O1496">
        <v>41.17</v>
      </c>
      <c r="P1496">
        <v>1222.002</v>
      </c>
      <c r="Q1496">
        <v>53</v>
      </c>
      <c r="R1496">
        <v>13.78</v>
      </c>
    </row>
    <row r="1497" spans="1:18" x14ac:dyDescent="0.25">
      <c r="A1497" s="1" t="s">
        <v>128</v>
      </c>
      <c r="B1497" s="2" t="s">
        <v>137</v>
      </c>
      <c r="C1497" s="19">
        <v>46</v>
      </c>
      <c r="D1497" s="3" t="s">
        <v>496</v>
      </c>
      <c r="E1497" s="3" t="s">
        <v>63</v>
      </c>
      <c r="F1497" s="23">
        <v>255086</v>
      </c>
      <c r="G1497" s="15">
        <v>2018</v>
      </c>
      <c r="H1497" s="15">
        <f>Table_7[[#This Row],[Listing Price (USD)]]/10000</f>
        <v>25.508600000000001</v>
      </c>
      <c r="I1497" s="28">
        <f>Table_7[[#This Row],[Length 
(ft)]]</f>
        <v>46</v>
      </c>
      <c r="J1497" s="28">
        <f>2020-Table_7[[#This Row],[Year]]</f>
        <v>2</v>
      </c>
      <c r="K1497">
        <v>720290000000</v>
      </c>
      <c r="L1497">
        <v>13341.6</v>
      </c>
      <c r="M1497">
        <v>13</v>
      </c>
      <c r="N1497">
        <v>-3</v>
      </c>
      <c r="O1497">
        <v>41.17</v>
      </c>
      <c r="P1497">
        <v>1222.002</v>
      </c>
      <c r="Q1497">
        <v>53</v>
      </c>
      <c r="R1497">
        <v>13.78</v>
      </c>
    </row>
    <row r="1498" spans="1:18" x14ac:dyDescent="0.25">
      <c r="A1498" s="1" t="s">
        <v>128</v>
      </c>
      <c r="B1498" s="2" t="s">
        <v>137</v>
      </c>
      <c r="C1498" s="19">
        <v>46</v>
      </c>
      <c r="D1498" s="3" t="s">
        <v>496</v>
      </c>
      <c r="E1498" s="3" t="s">
        <v>3</v>
      </c>
      <c r="F1498" s="23">
        <v>279380</v>
      </c>
      <c r="G1498" s="15">
        <v>2016</v>
      </c>
      <c r="H1498" s="15">
        <f>Table_7[[#This Row],[Listing Price (USD)]]/10000</f>
        <v>27.937999999999999</v>
      </c>
      <c r="I1498" s="28">
        <f>Table_7[[#This Row],[Length 
(ft)]]</f>
        <v>46</v>
      </c>
      <c r="J1498" s="28">
        <f>2020-Table_7[[#This Row],[Year]]</f>
        <v>4</v>
      </c>
      <c r="K1498">
        <v>2639008701648.2598</v>
      </c>
      <c r="L1498">
        <v>39055.282928075401</v>
      </c>
      <c r="M1498">
        <v>0.47649885272508302</v>
      </c>
      <c r="N1498">
        <v>-7.7845864916787102</v>
      </c>
      <c r="O1498">
        <v>41.17</v>
      </c>
      <c r="P1498">
        <v>1222.002</v>
      </c>
      <c r="Q1498">
        <v>53</v>
      </c>
      <c r="R1498">
        <v>13.78</v>
      </c>
    </row>
    <row r="1499" spans="1:18" x14ac:dyDescent="0.25">
      <c r="A1499" s="1" t="s">
        <v>128</v>
      </c>
      <c r="B1499" s="2" t="s">
        <v>137</v>
      </c>
      <c r="C1499" s="19">
        <v>46</v>
      </c>
      <c r="D1499" s="3" t="s">
        <v>496</v>
      </c>
      <c r="E1499" s="3" t="s">
        <v>9</v>
      </c>
      <c r="F1499" s="23">
        <v>291527</v>
      </c>
      <c r="G1499" s="15">
        <v>2017</v>
      </c>
      <c r="H1499" s="15">
        <f>Table_7[[#This Row],[Listing Price (USD)]]/10000</f>
        <v>29.152699999999999</v>
      </c>
      <c r="I1499" s="28">
        <f>Table_7[[#This Row],[Length 
(ft)]]</f>
        <v>46</v>
      </c>
      <c r="J1499" s="28">
        <f>2020-Table_7[[#This Row],[Year]]</f>
        <v>3</v>
      </c>
      <c r="K1499">
        <v>1276962685648.25</v>
      </c>
      <c r="L1499">
        <v>26959.675436732599</v>
      </c>
      <c r="M1499">
        <v>-0.32275301729970501</v>
      </c>
      <c r="N1499">
        <v>-11.3254383222864</v>
      </c>
      <c r="O1499">
        <v>41.17</v>
      </c>
      <c r="P1499">
        <v>1222.002</v>
      </c>
      <c r="Q1499">
        <v>53</v>
      </c>
      <c r="R1499">
        <v>13.78</v>
      </c>
    </row>
    <row r="1500" spans="1:18" x14ac:dyDescent="0.25">
      <c r="A1500" s="1" t="s">
        <v>128</v>
      </c>
      <c r="B1500" s="2" t="s">
        <v>137</v>
      </c>
      <c r="C1500" s="19">
        <v>46</v>
      </c>
      <c r="D1500" s="3" t="s">
        <v>496</v>
      </c>
      <c r="E1500" s="3" t="s">
        <v>9</v>
      </c>
      <c r="F1500" s="23">
        <v>291527</v>
      </c>
      <c r="G1500" s="15">
        <v>2016</v>
      </c>
      <c r="H1500" s="15">
        <f>Table_7[[#This Row],[Listing Price (USD)]]/10000</f>
        <v>29.152699999999999</v>
      </c>
      <c r="I1500" s="28">
        <f>Table_7[[#This Row],[Length 
(ft)]]</f>
        <v>46</v>
      </c>
      <c r="J1500" s="28">
        <f>2020-Table_7[[#This Row],[Year]]</f>
        <v>4</v>
      </c>
      <c r="K1500">
        <v>1276962685648.25</v>
      </c>
      <c r="L1500">
        <v>26959.675436732599</v>
      </c>
      <c r="M1500">
        <v>-0.32275301729970501</v>
      </c>
      <c r="N1500">
        <v>-11.3254383222864</v>
      </c>
      <c r="O1500">
        <v>41.17</v>
      </c>
      <c r="P1500">
        <v>1222.002</v>
      </c>
      <c r="Q1500">
        <v>53</v>
      </c>
      <c r="R1500">
        <v>13.78</v>
      </c>
    </row>
    <row r="1501" spans="1:18" x14ac:dyDescent="0.25">
      <c r="A1501" s="1" t="s">
        <v>128</v>
      </c>
      <c r="B1501" s="2" t="s">
        <v>137</v>
      </c>
      <c r="C1501" s="19">
        <v>46</v>
      </c>
      <c r="D1501" s="3" t="s">
        <v>496</v>
      </c>
      <c r="E1501" s="3" t="s">
        <v>31</v>
      </c>
      <c r="F1501" s="23">
        <v>321895</v>
      </c>
      <c r="G1501" s="15">
        <v>2019</v>
      </c>
      <c r="H1501" s="15">
        <f>Table_7[[#This Row],[Listing Price (USD)]]/10000</f>
        <v>32.189500000000002</v>
      </c>
      <c r="I1501" s="28">
        <f>Table_7[[#This Row],[Length 
(ft)]]</f>
        <v>46</v>
      </c>
      <c r="J1501" s="28">
        <f>2020-Table_7[[#This Row],[Year]]</f>
        <v>1</v>
      </c>
      <c r="K1501">
        <v>57472012426.685303</v>
      </c>
      <c r="L1501">
        <v>14198.753959474399</v>
      </c>
      <c r="M1501">
        <v>0.15481137456202801</v>
      </c>
      <c r="N1501">
        <v>-8.5803430210621805</v>
      </c>
      <c r="O1501">
        <v>41.17</v>
      </c>
      <c r="P1501">
        <v>1222.002</v>
      </c>
      <c r="Q1501">
        <v>53</v>
      </c>
      <c r="R1501">
        <v>13.78</v>
      </c>
    </row>
    <row r="1502" spans="1:18" x14ac:dyDescent="0.25">
      <c r="A1502" s="1" t="s">
        <v>128</v>
      </c>
      <c r="B1502" s="2" t="s">
        <v>137</v>
      </c>
      <c r="C1502" s="19">
        <v>46</v>
      </c>
      <c r="D1502" s="3" t="s">
        <v>496</v>
      </c>
      <c r="E1502" s="3" t="s">
        <v>63</v>
      </c>
      <c r="F1502" s="23">
        <v>327968</v>
      </c>
      <c r="G1502" s="15">
        <v>2019</v>
      </c>
      <c r="H1502" s="15">
        <f>Table_7[[#This Row],[Listing Price (USD)]]/10000</f>
        <v>32.796799999999998</v>
      </c>
      <c r="I1502" s="28">
        <f>Table_7[[#This Row],[Length 
(ft)]]</f>
        <v>46</v>
      </c>
      <c r="J1502" s="28">
        <f>2020-Table_7[[#This Row],[Year]]</f>
        <v>1</v>
      </c>
      <c r="K1502">
        <v>720290000017</v>
      </c>
      <c r="L1502">
        <v>13341.6</v>
      </c>
      <c r="M1502">
        <v>13</v>
      </c>
      <c r="N1502">
        <v>-3</v>
      </c>
      <c r="O1502">
        <v>41.17</v>
      </c>
      <c r="P1502">
        <v>1222.002</v>
      </c>
      <c r="Q1502">
        <v>53</v>
      </c>
      <c r="R1502">
        <v>13.78</v>
      </c>
    </row>
    <row r="1503" spans="1:18" x14ac:dyDescent="0.25">
      <c r="A1503" s="1" t="s">
        <v>128</v>
      </c>
      <c r="B1503" s="2" t="s">
        <v>137</v>
      </c>
      <c r="C1503" s="19">
        <v>46</v>
      </c>
      <c r="D1503" s="3" t="s">
        <v>496</v>
      </c>
      <c r="E1503" s="3" t="s">
        <v>539</v>
      </c>
      <c r="F1503" s="23">
        <v>364409</v>
      </c>
      <c r="G1503" s="15">
        <v>2017</v>
      </c>
      <c r="H1503" s="15">
        <f>Table_7[[#This Row],[Listing Price (USD)]]/10000</f>
        <v>36.440899999999999</v>
      </c>
      <c r="I1503" s="28">
        <f>Table_7[[#This Row],[Length 
(ft)]]</f>
        <v>46</v>
      </c>
      <c r="J1503" s="28">
        <f>2020-Table_7[[#This Row],[Year]]</f>
        <v>3</v>
      </c>
      <c r="K1503">
        <v>858367000000</v>
      </c>
      <c r="L1503">
        <v>67137.31</v>
      </c>
      <c r="M1503">
        <v>1.23</v>
      </c>
      <c r="N1503">
        <v>2.9</v>
      </c>
      <c r="O1503">
        <v>41.17</v>
      </c>
      <c r="P1503">
        <v>1222.002</v>
      </c>
      <c r="Q1503">
        <v>53</v>
      </c>
      <c r="R1503">
        <v>13.78</v>
      </c>
    </row>
    <row r="1504" spans="1:18" x14ac:dyDescent="0.25">
      <c r="A1504" s="1" t="s">
        <v>128</v>
      </c>
      <c r="B1504" s="2" t="s">
        <v>137</v>
      </c>
      <c r="C1504" s="19">
        <v>46</v>
      </c>
      <c r="D1504" s="3" t="s">
        <v>496</v>
      </c>
      <c r="E1504" s="3" t="s">
        <v>24</v>
      </c>
      <c r="F1504" s="23">
        <v>372982</v>
      </c>
      <c r="G1504" s="15">
        <v>2018</v>
      </c>
      <c r="H1504" s="15">
        <f>Table_7[[#This Row],[Listing Price (USD)]]/10000</f>
        <v>37.298200000000001</v>
      </c>
      <c r="I1504" s="28">
        <f>Table_7[[#This Row],[Length 
(ft)]]</f>
        <v>46</v>
      </c>
      <c r="J1504" s="28">
        <f>2020-Table_7[[#This Row],[Year]]</f>
        <v>2</v>
      </c>
      <c r="K1504">
        <v>1896755301518.1399</v>
      </c>
      <c r="L1504">
        <v>31911.0357890017</v>
      </c>
      <c r="M1504">
        <v>-0.13770757391656999</v>
      </c>
      <c r="N1504">
        <v>-9.0399534112288507</v>
      </c>
      <c r="O1504">
        <v>41.17</v>
      </c>
      <c r="P1504">
        <v>1222.002</v>
      </c>
      <c r="Q1504">
        <v>53</v>
      </c>
      <c r="R1504">
        <v>13.78</v>
      </c>
    </row>
    <row r="1505" spans="1:18" x14ac:dyDescent="0.25">
      <c r="A1505" s="1" t="s">
        <v>128</v>
      </c>
      <c r="B1505" s="2" t="s">
        <v>137</v>
      </c>
      <c r="C1505" s="19">
        <v>46</v>
      </c>
      <c r="D1505" s="3" t="s">
        <v>496</v>
      </c>
      <c r="E1505" s="3" t="s">
        <v>22</v>
      </c>
      <c r="F1505" s="23">
        <v>399659</v>
      </c>
      <c r="G1505" s="15">
        <v>2018</v>
      </c>
      <c r="H1505" s="15">
        <f>Table_7[[#This Row],[Listing Price (USD)]]/10000</f>
        <v>39.965899999999998</v>
      </c>
      <c r="I1505" s="28">
        <f>Table_7[[#This Row],[Length 
(ft)]]</f>
        <v>46</v>
      </c>
      <c r="J1505" s="28">
        <f>2020-Table_7[[#This Row],[Year]]</f>
        <v>2</v>
      </c>
      <c r="K1505">
        <v>3889668895299.6201</v>
      </c>
      <c r="L1505">
        <v>46772.825350754501</v>
      </c>
      <c r="M1505">
        <v>0.50668988995327402</v>
      </c>
      <c r="N1505">
        <v>-3.6967887053804298</v>
      </c>
      <c r="O1505">
        <v>41.17</v>
      </c>
      <c r="P1505">
        <v>1222.002</v>
      </c>
      <c r="Q1505">
        <v>53</v>
      </c>
      <c r="R1505">
        <v>13.78</v>
      </c>
    </row>
    <row r="1506" spans="1:18" x14ac:dyDescent="0.25">
      <c r="A1506" s="1" t="s">
        <v>128</v>
      </c>
      <c r="B1506" s="2" t="s">
        <v>136</v>
      </c>
      <c r="C1506" s="19">
        <v>46</v>
      </c>
      <c r="D1506" s="3" t="s">
        <v>496</v>
      </c>
      <c r="E1506" s="3" t="s">
        <v>31</v>
      </c>
      <c r="F1506" s="23">
        <v>218524</v>
      </c>
      <c r="G1506" s="15">
        <v>2017</v>
      </c>
      <c r="H1506" s="15">
        <f>Table_7[[#This Row],[Listing Price (USD)]]/10000</f>
        <v>21.852399999999999</v>
      </c>
      <c r="I1506" s="28">
        <f>Table_7[[#This Row],[Length 
(ft)]]</f>
        <v>46</v>
      </c>
      <c r="J1506" s="28">
        <f>2020-Table_7[[#This Row],[Year]]</f>
        <v>3</v>
      </c>
      <c r="K1506">
        <v>57472012426.685303</v>
      </c>
      <c r="L1506">
        <v>14198.753959474399</v>
      </c>
      <c r="M1506">
        <v>0.15481137456202801</v>
      </c>
      <c r="N1506">
        <v>-8.5803430210621805</v>
      </c>
      <c r="O1506">
        <v>41.17</v>
      </c>
      <c r="P1506">
        <v>1222.002</v>
      </c>
      <c r="Q1506">
        <v>53</v>
      </c>
      <c r="R1506">
        <v>13.78</v>
      </c>
    </row>
    <row r="1507" spans="1:18" x14ac:dyDescent="0.25">
      <c r="A1507" s="1" t="s">
        <v>45</v>
      </c>
      <c r="B1507" s="2" t="s">
        <v>58</v>
      </c>
      <c r="C1507" s="19">
        <v>43</v>
      </c>
      <c r="D1507" s="3" t="s">
        <v>496</v>
      </c>
      <c r="E1507" s="3" t="s">
        <v>18</v>
      </c>
      <c r="F1507" s="23">
        <v>91041</v>
      </c>
      <c r="G1507" s="15">
        <v>2007</v>
      </c>
      <c r="H1507" s="15">
        <f>Table_7[[#This Row],[Listing Price (USD)]]/10000</f>
        <v>9.1041000000000007</v>
      </c>
      <c r="I1507" s="28">
        <f>Table_7[[#This Row],[Length 
(ft)]]</f>
        <v>43</v>
      </c>
      <c r="J1507" s="28">
        <f>2020-Table_7[[#This Row],[Year]]</f>
        <v>13</v>
      </c>
      <c r="K1507">
        <v>188925995936.80701</v>
      </c>
      <c r="L1507">
        <v>17658.947301119199</v>
      </c>
      <c r="M1507">
        <v>-1.2479835558140799</v>
      </c>
      <c r="N1507">
        <v>-9.0040436420214593</v>
      </c>
      <c r="O1507">
        <v>40.65</v>
      </c>
      <c r="P1507">
        <v>816.00199999999995</v>
      </c>
      <c r="Q1507">
        <v>53</v>
      </c>
      <c r="R1507">
        <v>14.53</v>
      </c>
    </row>
    <row r="1508" spans="1:18" x14ac:dyDescent="0.25">
      <c r="A1508" s="1" t="s">
        <v>45</v>
      </c>
      <c r="B1508" s="2" t="s">
        <v>60</v>
      </c>
      <c r="C1508" s="19">
        <v>43</v>
      </c>
      <c r="D1508" s="3" t="s">
        <v>496</v>
      </c>
      <c r="E1508" s="3" t="s">
        <v>3</v>
      </c>
      <c r="F1508" s="23">
        <v>95961</v>
      </c>
      <c r="G1508" s="15">
        <v>2005</v>
      </c>
      <c r="H1508" s="15">
        <f>Table_7[[#This Row],[Listing Price (USD)]]/10000</f>
        <v>9.5960999999999999</v>
      </c>
      <c r="I1508" s="28">
        <f>Table_7[[#This Row],[Length 
(ft)]]</f>
        <v>43</v>
      </c>
      <c r="J1508" s="28">
        <f>2020-Table_7[[#This Row],[Year]]</f>
        <v>15</v>
      </c>
      <c r="K1508">
        <v>2639008701648.2598</v>
      </c>
      <c r="L1508">
        <v>39055.282928075401</v>
      </c>
      <c r="M1508">
        <v>0.47649885272508302</v>
      </c>
      <c r="N1508">
        <v>-7.7845864916787102</v>
      </c>
      <c r="O1508">
        <v>40.65</v>
      </c>
      <c r="P1508">
        <v>816.00199999999995</v>
      </c>
      <c r="Q1508">
        <v>53</v>
      </c>
      <c r="R1508">
        <v>14.53</v>
      </c>
    </row>
    <row r="1509" spans="1:18" x14ac:dyDescent="0.25">
      <c r="A1509" s="1" t="s">
        <v>45</v>
      </c>
      <c r="B1509" s="2" t="s">
        <v>60</v>
      </c>
      <c r="C1509" s="19">
        <v>43</v>
      </c>
      <c r="D1509" s="3" t="s">
        <v>496</v>
      </c>
      <c r="E1509" s="3" t="s">
        <v>56</v>
      </c>
      <c r="F1509" s="23">
        <v>95961</v>
      </c>
      <c r="G1509" s="15">
        <v>2006</v>
      </c>
      <c r="H1509" s="15">
        <f>Table_7[[#This Row],[Listing Price (USD)]]/10000</f>
        <v>9.5960999999999999</v>
      </c>
      <c r="I1509" s="28">
        <f>Table_7[[#This Row],[Length 
(ft)]]</f>
        <v>43</v>
      </c>
      <c r="J1509" s="28">
        <f>2020-Table_7[[#This Row],[Year]]</f>
        <v>14</v>
      </c>
      <c r="K1509">
        <v>14933066818.9606</v>
      </c>
      <c r="L1509">
        <v>28977.565567363599</v>
      </c>
      <c r="M1509">
        <v>0.63854495677665302</v>
      </c>
      <c r="N1509">
        <v>-8.3242832319722009</v>
      </c>
      <c r="O1509">
        <v>40.65</v>
      </c>
      <c r="P1509">
        <v>816.00199999999995</v>
      </c>
      <c r="Q1509">
        <v>53</v>
      </c>
      <c r="R1509">
        <v>14.53</v>
      </c>
    </row>
    <row r="1510" spans="1:18" x14ac:dyDescent="0.25">
      <c r="A1510" s="1" t="s">
        <v>45</v>
      </c>
      <c r="B1510" s="2" t="s">
        <v>60</v>
      </c>
      <c r="C1510" s="19">
        <v>43</v>
      </c>
      <c r="D1510" s="3" t="s">
        <v>496</v>
      </c>
      <c r="E1510" s="3" t="s">
        <v>237</v>
      </c>
      <c r="F1510" s="23">
        <v>101792</v>
      </c>
      <c r="G1510" s="15">
        <v>2005</v>
      </c>
      <c r="H1510" s="15">
        <f>Table_7[[#This Row],[Listing Price (USD)]]/10000</f>
        <v>10.1792</v>
      </c>
      <c r="I1510" s="28">
        <f>Table_7[[#This Row],[Length 
(ft)]]</f>
        <v>43</v>
      </c>
      <c r="J1510" s="28">
        <f>2020-Table_7[[#This Row],[Year]]</f>
        <v>15</v>
      </c>
      <c r="K1510">
        <v>229031860520.77701</v>
      </c>
      <c r="L1510">
        <v>22242.406417972001</v>
      </c>
      <c r="M1510">
        <v>-1.2438329957616699E-2</v>
      </c>
      <c r="N1510">
        <v>-8.3005160422115107</v>
      </c>
      <c r="O1510">
        <v>40.65</v>
      </c>
      <c r="P1510">
        <v>816.00199999999995</v>
      </c>
      <c r="Q1510">
        <v>53</v>
      </c>
      <c r="R1510">
        <v>14.53</v>
      </c>
    </row>
    <row r="1511" spans="1:18" x14ac:dyDescent="0.25">
      <c r="A1511" s="1" t="s">
        <v>45</v>
      </c>
      <c r="B1511" s="2" t="s">
        <v>60</v>
      </c>
      <c r="C1511" s="19">
        <v>43</v>
      </c>
      <c r="D1511" s="3" t="s">
        <v>496</v>
      </c>
      <c r="E1511" s="3" t="s">
        <v>3</v>
      </c>
      <c r="F1511" s="23">
        <v>106519</v>
      </c>
      <c r="G1511" s="15">
        <v>2005</v>
      </c>
      <c r="H1511" s="15">
        <f>Table_7[[#This Row],[Listing Price (USD)]]/10000</f>
        <v>10.651899999999999</v>
      </c>
      <c r="I1511" s="28">
        <f>Table_7[[#This Row],[Length 
(ft)]]</f>
        <v>43</v>
      </c>
      <c r="J1511" s="28">
        <f>2020-Table_7[[#This Row],[Year]]</f>
        <v>15</v>
      </c>
      <c r="K1511">
        <v>2639008701648.2598</v>
      </c>
      <c r="L1511">
        <v>39055.282928075401</v>
      </c>
      <c r="M1511">
        <v>0.47649885272508302</v>
      </c>
      <c r="N1511">
        <v>-7.7845864916787102</v>
      </c>
      <c r="O1511">
        <v>40.65</v>
      </c>
      <c r="P1511">
        <v>816.00199999999995</v>
      </c>
      <c r="Q1511">
        <v>53</v>
      </c>
      <c r="R1511">
        <v>14.53</v>
      </c>
    </row>
    <row r="1512" spans="1:18" x14ac:dyDescent="0.25">
      <c r="A1512" s="1" t="s">
        <v>45</v>
      </c>
      <c r="B1512" s="2" t="s">
        <v>60</v>
      </c>
      <c r="C1512" s="19">
        <v>43</v>
      </c>
      <c r="D1512" s="3" t="s">
        <v>496</v>
      </c>
      <c r="E1512" s="3" t="s">
        <v>3</v>
      </c>
      <c r="F1512" s="23">
        <v>108108</v>
      </c>
      <c r="G1512" s="15">
        <v>2005</v>
      </c>
      <c r="H1512" s="15">
        <f>Table_7[[#This Row],[Listing Price (USD)]]/10000</f>
        <v>10.8108</v>
      </c>
      <c r="I1512" s="28">
        <f>Table_7[[#This Row],[Length 
(ft)]]</f>
        <v>43</v>
      </c>
      <c r="J1512" s="28">
        <f>2020-Table_7[[#This Row],[Year]]</f>
        <v>15</v>
      </c>
      <c r="K1512">
        <v>2639008701648.2598</v>
      </c>
      <c r="L1512">
        <v>39055.282928075401</v>
      </c>
      <c r="M1512">
        <v>0.47649885272508302</v>
      </c>
      <c r="N1512">
        <v>-7.7845864916787102</v>
      </c>
      <c r="O1512">
        <v>40.65</v>
      </c>
      <c r="P1512">
        <v>816.00199999999995</v>
      </c>
      <c r="Q1512">
        <v>53</v>
      </c>
      <c r="R1512">
        <v>14.53</v>
      </c>
    </row>
    <row r="1513" spans="1:18" x14ac:dyDescent="0.25">
      <c r="A1513" s="1" t="s">
        <v>45</v>
      </c>
      <c r="B1513" s="2" t="s">
        <v>60</v>
      </c>
      <c r="C1513" s="19">
        <v>43</v>
      </c>
      <c r="D1513" s="3" t="s">
        <v>496</v>
      </c>
      <c r="E1513" s="3" t="s">
        <v>19</v>
      </c>
      <c r="F1513" s="23">
        <v>113246</v>
      </c>
      <c r="G1513" s="15">
        <v>2007</v>
      </c>
      <c r="H1513" s="15">
        <f>Table_7[[#This Row],[Listing Price (USD)]]/10000</f>
        <v>11.3246</v>
      </c>
      <c r="I1513" s="28">
        <f>Table_7[[#This Row],[Length 
(ft)]]</f>
        <v>43</v>
      </c>
      <c r="J1513" s="28">
        <f>2020-Table_7[[#This Row],[Year]]</f>
        <v>13</v>
      </c>
      <c r="K1513">
        <v>4200000000</v>
      </c>
      <c r="L1513">
        <v>39553.199999999997</v>
      </c>
      <c r="M1513">
        <v>4.0999999999999996</v>
      </c>
      <c r="N1513">
        <v>-2.1</v>
      </c>
      <c r="O1513">
        <v>40.65</v>
      </c>
      <c r="P1513">
        <v>816.00199999999995</v>
      </c>
      <c r="Q1513">
        <v>53</v>
      </c>
      <c r="R1513">
        <v>14.53</v>
      </c>
    </row>
    <row r="1514" spans="1:18" x14ac:dyDescent="0.25">
      <c r="A1514" s="1" t="s">
        <v>45</v>
      </c>
      <c r="B1514" s="2" t="s">
        <v>65</v>
      </c>
      <c r="C1514" s="19">
        <v>44</v>
      </c>
      <c r="D1514" s="3" t="s">
        <v>496</v>
      </c>
      <c r="E1514" s="3" t="s">
        <v>24</v>
      </c>
      <c r="F1514" s="23">
        <v>119040</v>
      </c>
      <c r="G1514" s="15">
        <v>2005</v>
      </c>
      <c r="H1514" s="15">
        <f>Table_7[[#This Row],[Listing Price (USD)]]/10000</f>
        <v>11.904</v>
      </c>
      <c r="I1514" s="28">
        <f>Table_7[[#This Row],[Length 
(ft)]]</f>
        <v>44</v>
      </c>
      <c r="J1514" s="28">
        <f>2020-Table_7[[#This Row],[Year]]</f>
        <v>15</v>
      </c>
      <c r="K1514">
        <v>1896755301518.1399</v>
      </c>
      <c r="L1514">
        <v>31911.0357890017</v>
      </c>
      <c r="M1514">
        <v>-0.13770757391656999</v>
      </c>
      <c r="N1514">
        <v>-9.0399534112288507</v>
      </c>
      <c r="O1514">
        <v>37.67</v>
      </c>
      <c r="P1514">
        <v>1032</v>
      </c>
      <c r="Q1514">
        <v>53</v>
      </c>
      <c r="R1514">
        <v>13</v>
      </c>
    </row>
    <row r="1515" spans="1:18" x14ac:dyDescent="0.25">
      <c r="A1515" s="1" t="s">
        <v>45</v>
      </c>
      <c r="B1515" s="3" t="s">
        <v>65</v>
      </c>
      <c r="C1515" s="19">
        <v>44</v>
      </c>
      <c r="D1515" s="3" t="s">
        <v>495</v>
      </c>
      <c r="E1515" s="3" t="s">
        <v>523</v>
      </c>
      <c r="F1515" s="23">
        <v>129900</v>
      </c>
      <c r="G1515" s="15">
        <v>2005</v>
      </c>
      <c r="H1515" s="15">
        <f>Table_7[[#This Row],[Listing Price (USD)]]/10000</f>
        <v>12.99</v>
      </c>
      <c r="I1515" s="28">
        <f>Table_7[[#This Row],[Length 
(ft)]]</f>
        <v>44</v>
      </c>
      <c r="J1515" s="28">
        <f>2020-Table_7[[#This Row],[Year]]</f>
        <v>15</v>
      </c>
      <c r="K1515">
        <v>1775588000000</v>
      </c>
      <c r="L1515">
        <v>60771.06</v>
      </c>
      <c r="M1515">
        <v>1.23</v>
      </c>
      <c r="N1515">
        <v>5.0999999999999996</v>
      </c>
      <c r="O1515">
        <v>37.67</v>
      </c>
      <c r="P1515">
        <v>1032</v>
      </c>
      <c r="Q1515">
        <v>53</v>
      </c>
      <c r="R1515">
        <v>13</v>
      </c>
    </row>
    <row r="1516" spans="1:18" x14ac:dyDescent="0.25">
      <c r="A1516" s="1" t="s">
        <v>45</v>
      </c>
      <c r="B1516" s="2" t="s">
        <v>65</v>
      </c>
      <c r="C1516" s="19">
        <v>44</v>
      </c>
      <c r="D1516" s="3" t="s">
        <v>496</v>
      </c>
      <c r="E1516" s="3" t="s">
        <v>18</v>
      </c>
      <c r="F1516" s="23">
        <v>131187</v>
      </c>
      <c r="G1516" s="15">
        <v>2006</v>
      </c>
      <c r="H1516" s="15">
        <f>Table_7[[#This Row],[Listing Price (USD)]]/10000</f>
        <v>13.1187</v>
      </c>
      <c r="I1516" s="28">
        <f>Table_7[[#This Row],[Length 
(ft)]]</f>
        <v>44</v>
      </c>
      <c r="J1516" s="28">
        <f>2020-Table_7[[#This Row],[Year]]</f>
        <v>14</v>
      </c>
      <c r="K1516">
        <v>188925995936.80701</v>
      </c>
      <c r="L1516">
        <v>17658.947301119199</v>
      </c>
      <c r="M1516">
        <v>-1.2479835558140799</v>
      </c>
      <c r="N1516">
        <v>-9.0040436420214593</v>
      </c>
      <c r="O1516">
        <v>37.67</v>
      </c>
      <c r="P1516">
        <v>1032</v>
      </c>
      <c r="Q1516">
        <v>53</v>
      </c>
      <c r="R1516">
        <v>13</v>
      </c>
    </row>
    <row r="1517" spans="1:18" x14ac:dyDescent="0.25">
      <c r="A1517" s="1" t="s">
        <v>45</v>
      </c>
      <c r="B1517" s="2" t="s">
        <v>65</v>
      </c>
      <c r="C1517" s="19">
        <v>44</v>
      </c>
      <c r="D1517" s="3" t="s">
        <v>496</v>
      </c>
      <c r="E1517" s="3" t="s">
        <v>18</v>
      </c>
      <c r="F1517" s="23">
        <v>131187</v>
      </c>
      <c r="G1517" s="15">
        <v>2005</v>
      </c>
      <c r="H1517" s="15">
        <f>Table_7[[#This Row],[Listing Price (USD)]]/10000</f>
        <v>13.1187</v>
      </c>
      <c r="I1517" s="28">
        <f>Table_7[[#This Row],[Length 
(ft)]]</f>
        <v>44</v>
      </c>
      <c r="J1517" s="28">
        <f>2020-Table_7[[#This Row],[Year]]</f>
        <v>15</v>
      </c>
      <c r="K1517">
        <v>188925995936.80701</v>
      </c>
      <c r="L1517">
        <v>17658.947301119199</v>
      </c>
      <c r="M1517">
        <v>-1.2479835558140799</v>
      </c>
      <c r="N1517">
        <v>-9.0040436420214593</v>
      </c>
      <c r="O1517">
        <v>37.67</v>
      </c>
      <c r="P1517">
        <v>1032</v>
      </c>
      <c r="Q1517">
        <v>53</v>
      </c>
      <c r="R1517">
        <v>13</v>
      </c>
    </row>
    <row r="1518" spans="1:18" x14ac:dyDescent="0.25">
      <c r="A1518" s="1" t="s">
        <v>45</v>
      </c>
      <c r="B1518" s="3" t="s">
        <v>65</v>
      </c>
      <c r="C1518" s="19">
        <v>44</v>
      </c>
      <c r="D1518" s="3" t="s">
        <v>495</v>
      </c>
      <c r="E1518" s="3" t="s">
        <v>500</v>
      </c>
      <c r="F1518" s="23">
        <v>149000</v>
      </c>
      <c r="G1518" s="15">
        <v>2005</v>
      </c>
      <c r="H1518" s="15">
        <f>Table_7[[#This Row],[Listing Price (USD)]]/10000</f>
        <v>14.9</v>
      </c>
      <c r="I1518" s="28">
        <f>Table_7[[#This Row],[Length 
(ft)]]</f>
        <v>44</v>
      </c>
      <c r="J1518" s="28">
        <f>2020-Table_7[[#This Row],[Year]]</f>
        <v>15</v>
      </c>
      <c r="K1518">
        <v>3007188000000</v>
      </c>
      <c r="L1518">
        <v>76131.839999999997</v>
      </c>
      <c r="M1518">
        <v>1.23</v>
      </c>
      <c r="N1518">
        <v>2.7</v>
      </c>
      <c r="O1518">
        <v>37.67</v>
      </c>
      <c r="P1518">
        <v>1032</v>
      </c>
      <c r="Q1518">
        <v>53</v>
      </c>
      <c r="R1518">
        <v>13</v>
      </c>
    </row>
    <row r="1519" spans="1:18" x14ac:dyDescent="0.25">
      <c r="A1519" s="1" t="s">
        <v>45</v>
      </c>
      <c r="B1519" s="3" t="s">
        <v>65</v>
      </c>
      <c r="C1519" s="19">
        <v>44</v>
      </c>
      <c r="D1519" s="3" t="s">
        <v>495</v>
      </c>
      <c r="E1519" s="3" t="s">
        <v>512</v>
      </c>
      <c r="F1519" s="23">
        <v>149000</v>
      </c>
      <c r="G1519" s="15">
        <v>2006</v>
      </c>
      <c r="H1519" s="15">
        <f>Table_7[[#This Row],[Listing Price (USD)]]/10000</f>
        <v>14.9</v>
      </c>
      <c r="I1519" s="28">
        <f>Table_7[[#This Row],[Length 
(ft)]]</f>
        <v>44</v>
      </c>
      <c r="J1519" s="28">
        <f>2020-Table_7[[#This Row],[Year]]</f>
        <v>14</v>
      </c>
      <c r="K1519">
        <v>15842922532.7202</v>
      </c>
      <c r="L1519">
        <v>4255.7429932125397</v>
      </c>
      <c r="M1519">
        <v>5.2024648897533003</v>
      </c>
      <c r="N1519">
        <v>-6.7604398170551896</v>
      </c>
      <c r="O1519">
        <v>37.67</v>
      </c>
      <c r="P1519">
        <v>1032</v>
      </c>
      <c r="Q1519">
        <v>53</v>
      </c>
      <c r="R1519">
        <v>13</v>
      </c>
    </row>
    <row r="1520" spans="1:18" x14ac:dyDescent="0.25">
      <c r="A1520" s="1" t="s">
        <v>45</v>
      </c>
      <c r="B1520" s="2" t="s">
        <v>65</v>
      </c>
      <c r="C1520" s="19">
        <v>44</v>
      </c>
      <c r="D1520" s="3" t="s">
        <v>496</v>
      </c>
      <c r="E1520" s="3" t="s">
        <v>24</v>
      </c>
      <c r="F1520" s="23">
        <v>151837</v>
      </c>
      <c r="G1520" s="15">
        <v>2006</v>
      </c>
      <c r="H1520" s="15">
        <f>Table_7[[#This Row],[Listing Price (USD)]]/10000</f>
        <v>15.1837</v>
      </c>
      <c r="I1520" s="28">
        <f>Table_7[[#This Row],[Length 
(ft)]]</f>
        <v>44</v>
      </c>
      <c r="J1520" s="28">
        <f>2020-Table_7[[#This Row],[Year]]</f>
        <v>14</v>
      </c>
      <c r="K1520">
        <v>1896755301518.1399</v>
      </c>
      <c r="L1520">
        <v>31911.0357890017</v>
      </c>
      <c r="M1520">
        <v>-0.13770757391656999</v>
      </c>
      <c r="N1520">
        <v>-9.0399534112288507</v>
      </c>
      <c r="O1520">
        <v>37.67</v>
      </c>
      <c r="P1520">
        <v>1032</v>
      </c>
      <c r="Q1520">
        <v>53</v>
      </c>
      <c r="R1520">
        <v>13</v>
      </c>
    </row>
    <row r="1521" spans="1:18" x14ac:dyDescent="0.25">
      <c r="A1521" s="1" t="s">
        <v>45</v>
      </c>
      <c r="B1521" s="3" t="s">
        <v>65</v>
      </c>
      <c r="C1521" s="19">
        <v>44</v>
      </c>
      <c r="D1521" s="3" t="s">
        <v>495</v>
      </c>
      <c r="E1521" s="3" t="s">
        <v>518</v>
      </c>
      <c r="F1521" s="23">
        <v>155000</v>
      </c>
      <c r="G1521" s="15">
        <v>2006</v>
      </c>
      <c r="H1521" s="15">
        <f>Table_7[[#This Row],[Listing Price (USD)]]/10000</f>
        <v>15.5</v>
      </c>
      <c r="I1521" s="28">
        <f>Table_7[[#This Row],[Length 
(ft)]]</f>
        <v>44</v>
      </c>
      <c r="J1521" s="28">
        <f>2020-Table_7[[#This Row],[Year]]</f>
        <v>14</v>
      </c>
      <c r="K1521">
        <v>1724759000000</v>
      </c>
      <c r="L1521">
        <v>85575.039999999994</v>
      </c>
      <c r="M1521">
        <v>1.23</v>
      </c>
      <c r="N1521">
        <v>3.8</v>
      </c>
      <c r="O1521">
        <v>37.67</v>
      </c>
      <c r="P1521">
        <v>1032</v>
      </c>
      <c r="Q1521">
        <v>53</v>
      </c>
      <c r="R1521">
        <v>13</v>
      </c>
    </row>
    <row r="1522" spans="1:18" x14ac:dyDescent="0.25">
      <c r="A1522" s="1" t="s">
        <v>45</v>
      </c>
      <c r="B1522" s="3" t="s">
        <v>65</v>
      </c>
      <c r="C1522" s="19">
        <v>44</v>
      </c>
      <c r="D1522" s="3" t="s">
        <v>495</v>
      </c>
      <c r="E1522" s="3" t="s">
        <v>500</v>
      </c>
      <c r="F1522" s="23">
        <v>180000</v>
      </c>
      <c r="G1522" s="15">
        <v>2005</v>
      </c>
      <c r="H1522" s="15">
        <f>Table_7[[#This Row],[Listing Price (USD)]]/10000</f>
        <v>18</v>
      </c>
      <c r="I1522" s="28">
        <f>Table_7[[#This Row],[Length 
(ft)]]</f>
        <v>44</v>
      </c>
      <c r="J1522" s="28">
        <f>2020-Table_7[[#This Row],[Year]]</f>
        <v>15</v>
      </c>
      <c r="K1522">
        <v>3007188000000</v>
      </c>
      <c r="L1522">
        <v>76131.839999999997</v>
      </c>
      <c r="M1522">
        <v>1.23</v>
      </c>
      <c r="N1522">
        <v>2.7</v>
      </c>
      <c r="O1522">
        <v>37.67</v>
      </c>
      <c r="P1522">
        <v>1032</v>
      </c>
      <c r="Q1522">
        <v>53</v>
      </c>
      <c r="R1522">
        <v>13</v>
      </c>
    </row>
    <row r="1523" spans="1:18" x14ac:dyDescent="0.25">
      <c r="A1523" s="1" t="s">
        <v>45</v>
      </c>
      <c r="B1523" s="2" t="s">
        <v>66</v>
      </c>
      <c r="C1523" s="19">
        <v>46</v>
      </c>
      <c r="D1523" s="3" t="s">
        <v>496</v>
      </c>
      <c r="E1523" s="3" t="s">
        <v>31</v>
      </c>
      <c r="F1523" s="23">
        <v>115396</v>
      </c>
      <c r="G1523" s="15">
        <v>2009</v>
      </c>
      <c r="H1523" s="15">
        <f>Table_7[[#This Row],[Listing Price (USD)]]/10000</f>
        <v>11.5396</v>
      </c>
      <c r="I1523" s="28">
        <f>Table_7[[#This Row],[Length 
(ft)]]</f>
        <v>46</v>
      </c>
      <c r="J1523" s="28">
        <f>2020-Table_7[[#This Row],[Year]]</f>
        <v>11</v>
      </c>
      <c r="K1523">
        <v>57472012426.685303</v>
      </c>
      <c r="L1523">
        <v>14198.753959474399</v>
      </c>
      <c r="M1523">
        <v>0.15481137456202801</v>
      </c>
      <c r="N1523">
        <v>-8.5803430210621805</v>
      </c>
      <c r="O1523">
        <v>38.58</v>
      </c>
      <c r="P1523">
        <v>1002.002</v>
      </c>
      <c r="Q1523">
        <v>53</v>
      </c>
      <c r="R1523">
        <v>13.75</v>
      </c>
    </row>
    <row r="1524" spans="1:18" x14ac:dyDescent="0.25">
      <c r="A1524" s="1" t="s">
        <v>45</v>
      </c>
      <c r="B1524" s="2" t="s">
        <v>66</v>
      </c>
      <c r="C1524" s="19">
        <v>46</v>
      </c>
      <c r="D1524" s="3" t="s">
        <v>496</v>
      </c>
      <c r="E1524" s="3" t="s">
        <v>24</v>
      </c>
      <c r="F1524" s="23">
        <v>180990</v>
      </c>
      <c r="G1524" s="15">
        <v>2009</v>
      </c>
      <c r="H1524" s="15">
        <f>Table_7[[#This Row],[Listing Price (USD)]]/10000</f>
        <v>18.099</v>
      </c>
      <c r="I1524" s="28">
        <f>Table_7[[#This Row],[Length 
(ft)]]</f>
        <v>46</v>
      </c>
      <c r="J1524" s="28">
        <f>2020-Table_7[[#This Row],[Year]]</f>
        <v>11</v>
      </c>
      <c r="K1524">
        <v>1896755301518.1399</v>
      </c>
      <c r="L1524">
        <v>31911.0357890017</v>
      </c>
      <c r="M1524">
        <v>-0.13770757391656999</v>
      </c>
      <c r="N1524">
        <v>-9.0399534112288507</v>
      </c>
      <c r="O1524">
        <v>38.58</v>
      </c>
      <c r="P1524">
        <v>1002.002</v>
      </c>
      <c r="Q1524">
        <v>53</v>
      </c>
      <c r="R1524">
        <v>13.75</v>
      </c>
    </row>
    <row r="1525" spans="1:18" x14ac:dyDescent="0.25">
      <c r="A1525" s="1" t="s">
        <v>45</v>
      </c>
      <c r="B1525" s="2" t="s">
        <v>66</v>
      </c>
      <c r="C1525" s="19">
        <v>46</v>
      </c>
      <c r="D1525" s="3" t="s">
        <v>496</v>
      </c>
      <c r="E1525" s="3" t="s">
        <v>3</v>
      </c>
      <c r="F1525" s="23">
        <v>188278</v>
      </c>
      <c r="G1525" s="15">
        <v>2008</v>
      </c>
      <c r="H1525" s="15">
        <f>Table_7[[#This Row],[Listing Price (USD)]]/10000</f>
        <v>18.8278</v>
      </c>
      <c r="I1525" s="28">
        <f>Table_7[[#This Row],[Length 
(ft)]]</f>
        <v>46</v>
      </c>
      <c r="J1525" s="28">
        <f>2020-Table_7[[#This Row],[Year]]</f>
        <v>12</v>
      </c>
      <c r="K1525">
        <v>2639008701648.2598</v>
      </c>
      <c r="L1525">
        <v>39055.282928075401</v>
      </c>
      <c r="M1525">
        <v>0.47649885272508302</v>
      </c>
      <c r="N1525">
        <v>-7.7845864916787102</v>
      </c>
      <c r="O1525">
        <v>38.58</v>
      </c>
      <c r="P1525">
        <v>1002.002</v>
      </c>
      <c r="Q1525">
        <v>53</v>
      </c>
      <c r="R1525">
        <v>13.75</v>
      </c>
    </row>
    <row r="1526" spans="1:18" x14ac:dyDescent="0.25">
      <c r="A1526" s="1" t="s">
        <v>45</v>
      </c>
      <c r="B1526" s="2" t="s">
        <v>66</v>
      </c>
      <c r="C1526" s="19">
        <v>46</v>
      </c>
      <c r="D1526" s="3" t="s">
        <v>496</v>
      </c>
      <c r="E1526" s="3" t="s">
        <v>63</v>
      </c>
      <c r="F1526" s="23">
        <v>194351</v>
      </c>
      <c r="G1526" s="15">
        <v>2011</v>
      </c>
      <c r="H1526" s="15">
        <f>Table_7[[#This Row],[Listing Price (USD)]]/10000</f>
        <v>19.435099999999998</v>
      </c>
      <c r="I1526" s="28">
        <f>Table_7[[#This Row],[Length 
(ft)]]</f>
        <v>46</v>
      </c>
      <c r="J1526" s="28">
        <f>2020-Table_7[[#This Row],[Year]]</f>
        <v>9</v>
      </c>
      <c r="K1526">
        <v>720290000009</v>
      </c>
      <c r="L1526">
        <v>13341.6</v>
      </c>
      <c r="M1526">
        <v>13</v>
      </c>
      <c r="N1526">
        <v>-3</v>
      </c>
      <c r="O1526">
        <v>38.58</v>
      </c>
      <c r="P1526">
        <v>1002.002</v>
      </c>
      <c r="Q1526">
        <v>53</v>
      </c>
      <c r="R1526">
        <v>13.75</v>
      </c>
    </row>
    <row r="1527" spans="1:18" x14ac:dyDescent="0.25">
      <c r="A1527" s="1" t="s">
        <v>378</v>
      </c>
      <c r="B1527" s="3" t="s">
        <v>66</v>
      </c>
      <c r="C1527" s="19">
        <v>45</v>
      </c>
      <c r="D1527" s="3" t="s">
        <v>497</v>
      </c>
      <c r="E1527" s="3" t="s">
        <v>483</v>
      </c>
      <c r="F1527" s="23">
        <v>194422</v>
      </c>
      <c r="G1527" s="15">
        <v>2011</v>
      </c>
      <c r="H1527" s="15">
        <f>Table_7[[#This Row],[Listing Price (USD)]]/10000</f>
        <v>19.4422</v>
      </c>
      <c r="I1527" s="28">
        <f>Table_7[[#This Row],[Length 
(ft)]]</f>
        <v>45</v>
      </c>
      <c r="J1527" s="28">
        <f>2020-Table_7[[#This Row],[Year]]</f>
        <v>9</v>
      </c>
      <c r="K1527">
        <v>4200000000</v>
      </c>
      <c r="L1527">
        <v>39553.199999999997</v>
      </c>
      <c r="M1527">
        <v>2.5</v>
      </c>
      <c r="N1527">
        <v>-2.1</v>
      </c>
      <c r="O1527">
        <v>38.58</v>
      </c>
      <c r="P1527">
        <v>1002.002</v>
      </c>
      <c r="Q1527">
        <v>53</v>
      </c>
      <c r="R1527">
        <v>13.75</v>
      </c>
    </row>
    <row r="1528" spans="1:18" x14ac:dyDescent="0.25">
      <c r="A1528" s="1" t="s">
        <v>45</v>
      </c>
      <c r="B1528" s="2" t="s">
        <v>66</v>
      </c>
      <c r="C1528" s="19">
        <v>46</v>
      </c>
      <c r="D1528" s="3" t="s">
        <v>496</v>
      </c>
      <c r="E1528" s="3" t="s">
        <v>9</v>
      </c>
      <c r="F1528" s="23">
        <v>200433</v>
      </c>
      <c r="G1528" s="15">
        <v>2009</v>
      </c>
      <c r="H1528" s="15">
        <f>Table_7[[#This Row],[Listing Price (USD)]]/10000</f>
        <v>20.043299999999999</v>
      </c>
      <c r="I1528" s="28">
        <f>Table_7[[#This Row],[Length 
(ft)]]</f>
        <v>46</v>
      </c>
      <c r="J1528" s="28">
        <f>2020-Table_7[[#This Row],[Year]]</f>
        <v>11</v>
      </c>
      <c r="K1528">
        <v>1276962685648.25</v>
      </c>
      <c r="L1528">
        <v>26959.675436732599</v>
      </c>
      <c r="M1528">
        <v>-0.32275301729970501</v>
      </c>
      <c r="N1528">
        <v>-11.3254383222864</v>
      </c>
      <c r="O1528">
        <v>38.58</v>
      </c>
      <c r="P1528">
        <v>1002.002</v>
      </c>
      <c r="Q1528">
        <v>53</v>
      </c>
      <c r="R1528">
        <v>13.75</v>
      </c>
    </row>
    <row r="1529" spans="1:18" x14ac:dyDescent="0.25">
      <c r="A1529" s="1" t="s">
        <v>45</v>
      </c>
      <c r="B1529" s="2" t="s">
        <v>66</v>
      </c>
      <c r="C1529" s="19">
        <v>46</v>
      </c>
      <c r="D1529" s="3" t="s">
        <v>496</v>
      </c>
      <c r="E1529" s="3" t="s">
        <v>31</v>
      </c>
      <c r="F1529" s="23">
        <v>206308</v>
      </c>
      <c r="G1529" s="15">
        <v>2008</v>
      </c>
      <c r="H1529" s="15">
        <f>Table_7[[#This Row],[Listing Price (USD)]]/10000</f>
        <v>20.630800000000001</v>
      </c>
      <c r="I1529" s="28">
        <f>Table_7[[#This Row],[Length 
(ft)]]</f>
        <v>46</v>
      </c>
      <c r="J1529" s="28">
        <f>2020-Table_7[[#This Row],[Year]]</f>
        <v>12</v>
      </c>
      <c r="K1529">
        <v>57472012426.685303</v>
      </c>
      <c r="L1529">
        <v>14198.753959474399</v>
      </c>
      <c r="M1529">
        <v>0.15481137456202801</v>
      </c>
      <c r="N1529">
        <v>-8.5803430210621805</v>
      </c>
      <c r="O1529">
        <v>38.58</v>
      </c>
      <c r="P1529">
        <v>1002.002</v>
      </c>
      <c r="Q1529">
        <v>53</v>
      </c>
      <c r="R1529">
        <v>13.75</v>
      </c>
    </row>
    <row r="1530" spans="1:18" x14ac:dyDescent="0.25">
      <c r="A1530" s="1" t="s">
        <v>45</v>
      </c>
      <c r="B1530" s="2" t="s">
        <v>66</v>
      </c>
      <c r="C1530" s="19">
        <v>46</v>
      </c>
      <c r="D1530" s="3" t="s">
        <v>496</v>
      </c>
      <c r="E1530" s="3" t="s">
        <v>24</v>
      </c>
      <c r="F1530" s="23">
        <v>212572</v>
      </c>
      <c r="G1530" s="15">
        <v>2008</v>
      </c>
      <c r="H1530" s="15">
        <f>Table_7[[#This Row],[Listing Price (USD)]]/10000</f>
        <v>21.257200000000001</v>
      </c>
      <c r="I1530" s="28">
        <f>Table_7[[#This Row],[Length 
(ft)]]</f>
        <v>46</v>
      </c>
      <c r="J1530" s="28">
        <f>2020-Table_7[[#This Row],[Year]]</f>
        <v>12</v>
      </c>
      <c r="K1530">
        <v>1896755301518.1399</v>
      </c>
      <c r="L1530">
        <v>31911.0357890017</v>
      </c>
      <c r="M1530">
        <v>-0.13770757391656999</v>
      </c>
      <c r="N1530">
        <v>-9.0399534112288507</v>
      </c>
      <c r="O1530">
        <v>38.58</v>
      </c>
      <c r="P1530">
        <v>1002.002</v>
      </c>
      <c r="Q1530">
        <v>53</v>
      </c>
      <c r="R1530">
        <v>13.75</v>
      </c>
    </row>
    <row r="1531" spans="1:18" x14ac:dyDescent="0.25">
      <c r="A1531" s="1" t="s">
        <v>261</v>
      </c>
      <c r="B1531" s="2" t="s">
        <v>262</v>
      </c>
      <c r="C1531" s="19">
        <v>47</v>
      </c>
      <c r="D1531" s="3" t="s">
        <v>496</v>
      </c>
      <c r="E1531" s="3" t="s">
        <v>18</v>
      </c>
      <c r="F1531" s="23">
        <v>78955</v>
      </c>
      <c r="G1531" s="15">
        <v>2005</v>
      </c>
      <c r="H1531" s="15">
        <f>Table_7[[#This Row],[Listing Price (USD)]]/10000</f>
        <v>7.8955000000000002</v>
      </c>
      <c r="I1531" s="28">
        <f>Table_7[[#This Row],[Length 
(ft)]]</f>
        <v>47</v>
      </c>
      <c r="J1531" s="28">
        <f>2020-Table_7[[#This Row],[Year]]</f>
        <v>15</v>
      </c>
      <c r="K1531">
        <v>188925995936.80701</v>
      </c>
      <c r="L1531">
        <v>17658.947301119199</v>
      </c>
      <c r="M1531">
        <v>-1.2479835558140799</v>
      </c>
      <c r="N1531">
        <v>-9.0040436420214593</v>
      </c>
      <c r="O1531">
        <v>40.909999999999997</v>
      </c>
      <c r="P1531">
        <v>1001.042</v>
      </c>
      <c r="Q1531">
        <v>53</v>
      </c>
      <c r="R1531">
        <v>13.94</v>
      </c>
    </row>
    <row r="1532" spans="1:18" x14ac:dyDescent="0.25">
      <c r="A1532" s="1" t="s">
        <v>261</v>
      </c>
      <c r="B1532" s="2" t="s">
        <v>262</v>
      </c>
      <c r="C1532" s="19">
        <v>47</v>
      </c>
      <c r="D1532" s="3" t="s">
        <v>496</v>
      </c>
      <c r="E1532" s="3" t="s">
        <v>3</v>
      </c>
      <c r="F1532" s="23">
        <v>163991</v>
      </c>
      <c r="G1532" s="15">
        <v>2007</v>
      </c>
      <c r="H1532" s="15">
        <f>Table_7[[#This Row],[Listing Price (USD)]]/10000</f>
        <v>16.399100000000001</v>
      </c>
      <c r="I1532" s="28">
        <f>Table_7[[#This Row],[Length 
(ft)]]</f>
        <v>47</v>
      </c>
      <c r="J1532" s="28">
        <f>2020-Table_7[[#This Row],[Year]]</f>
        <v>13</v>
      </c>
      <c r="K1532">
        <v>2639008701648.2598</v>
      </c>
      <c r="L1532">
        <v>39055.282928075401</v>
      </c>
      <c r="M1532">
        <v>0.47649885272508302</v>
      </c>
      <c r="N1532">
        <v>-7.7845864916787102</v>
      </c>
      <c r="O1532">
        <v>40.909999999999997</v>
      </c>
      <c r="P1532">
        <v>1001.042</v>
      </c>
      <c r="Q1532">
        <v>53</v>
      </c>
      <c r="R1532">
        <v>13.94</v>
      </c>
    </row>
    <row r="1533" spans="1:18" x14ac:dyDescent="0.25">
      <c r="A1533" s="1" t="s">
        <v>45</v>
      </c>
      <c r="B1533" s="3" t="s">
        <v>50</v>
      </c>
      <c r="C1533" s="19">
        <v>40</v>
      </c>
      <c r="D1533" s="3" t="s">
        <v>497</v>
      </c>
      <c r="E1533" s="3" t="s">
        <v>392</v>
      </c>
      <c r="F1533" s="23">
        <v>80000</v>
      </c>
      <c r="G1533" s="15">
        <v>2011</v>
      </c>
      <c r="H1533" s="15">
        <f>Table_7[[#This Row],[Listing Price (USD)]]/10000</f>
        <v>8</v>
      </c>
      <c r="I1533" s="28">
        <f>Table_7[[#This Row],[Length 
(ft)]]</f>
        <v>40</v>
      </c>
      <c r="J1533" s="28">
        <f>2020-Table_7[[#This Row],[Year]]</f>
        <v>9</v>
      </c>
      <c r="K1533">
        <v>1043414814.81481</v>
      </c>
      <c r="L1533">
        <v>8437.5667322870595</v>
      </c>
      <c r="M1533">
        <v>-0.74073259704550098</v>
      </c>
      <c r="N1533">
        <v>-13.7559294530644</v>
      </c>
      <c r="O1533">
        <v>33.96</v>
      </c>
      <c r="P1533">
        <v>681.00199999999995</v>
      </c>
      <c r="Q1533">
        <v>53</v>
      </c>
      <c r="R1533">
        <v>12.83</v>
      </c>
    </row>
    <row r="1534" spans="1:18" x14ac:dyDescent="0.25">
      <c r="A1534" s="1" t="s">
        <v>45</v>
      </c>
      <c r="B1534" s="2" t="s">
        <v>50</v>
      </c>
      <c r="C1534" s="19">
        <v>40</v>
      </c>
      <c r="D1534" s="3" t="s">
        <v>496</v>
      </c>
      <c r="E1534" s="3" t="s">
        <v>31</v>
      </c>
      <c r="F1534" s="23">
        <v>82599</v>
      </c>
      <c r="G1534" s="15">
        <v>2008</v>
      </c>
      <c r="H1534" s="15">
        <f>Table_7[[#This Row],[Listing Price (USD)]]/10000</f>
        <v>8.2599</v>
      </c>
      <c r="I1534" s="28">
        <f>Table_7[[#This Row],[Length 
(ft)]]</f>
        <v>40</v>
      </c>
      <c r="J1534" s="28">
        <f>2020-Table_7[[#This Row],[Year]]</f>
        <v>12</v>
      </c>
      <c r="K1534">
        <v>57472012426.685303</v>
      </c>
      <c r="L1534">
        <v>14198.753959474399</v>
      </c>
      <c r="M1534">
        <v>0.15481137456202801</v>
      </c>
      <c r="N1534">
        <v>-8.5803430210621805</v>
      </c>
      <c r="O1534">
        <v>33.96</v>
      </c>
      <c r="P1534">
        <v>681.00199999999995</v>
      </c>
      <c r="Q1534">
        <v>53</v>
      </c>
      <c r="R1534">
        <v>12.83</v>
      </c>
    </row>
    <row r="1535" spans="1:18" x14ac:dyDescent="0.25">
      <c r="A1535" s="1" t="s">
        <v>45</v>
      </c>
      <c r="B1535" s="2" t="s">
        <v>50</v>
      </c>
      <c r="C1535" s="19">
        <v>40</v>
      </c>
      <c r="D1535" s="3" t="s">
        <v>496</v>
      </c>
      <c r="E1535" s="3" t="s">
        <v>31</v>
      </c>
      <c r="F1535" s="23">
        <v>84786</v>
      </c>
      <c r="G1535" s="15">
        <v>2008</v>
      </c>
      <c r="H1535" s="15">
        <f>Table_7[[#This Row],[Listing Price (USD)]]/10000</f>
        <v>8.4786000000000001</v>
      </c>
      <c r="I1535" s="28">
        <f>Table_7[[#This Row],[Length 
(ft)]]</f>
        <v>40</v>
      </c>
      <c r="J1535" s="28">
        <f>2020-Table_7[[#This Row],[Year]]</f>
        <v>12</v>
      </c>
      <c r="K1535">
        <v>57472012426.685303</v>
      </c>
      <c r="L1535">
        <v>14198.753959474399</v>
      </c>
      <c r="M1535">
        <v>0.15481137456202801</v>
      </c>
      <c r="N1535">
        <v>-8.5803430210621805</v>
      </c>
      <c r="O1535">
        <v>33.96</v>
      </c>
      <c r="P1535">
        <v>681.00199999999995</v>
      </c>
      <c r="Q1535">
        <v>53</v>
      </c>
      <c r="R1535">
        <v>12.83</v>
      </c>
    </row>
    <row r="1536" spans="1:18" x14ac:dyDescent="0.25">
      <c r="A1536" s="1" t="s">
        <v>45</v>
      </c>
      <c r="B1536" s="2" t="s">
        <v>50</v>
      </c>
      <c r="C1536" s="19">
        <v>40</v>
      </c>
      <c r="D1536" s="3" t="s">
        <v>496</v>
      </c>
      <c r="E1536" s="3" t="s">
        <v>18</v>
      </c>
      <c r="F1536" s="23">
        <v>94746</v>
      </c>
      <c r="G1536" s="15">
        <v>2010</v>
      </c>
      <c r="H1536" s="15">
        <f>Table_7[[#This Row],[Listing Price (USD)]]/10000</f>
        <v>9.4746000000000006</v>
      </c>
      <c r="I1536" s="28">
        <f>Table_7[[#This Row],[Length 
(ft)]]</f>
        <v>40</v>
      </c>
      <c r="J1536" s="28">
        <f>2020-Table_7[[#This Row],[Year]]</f>
        <v>10</v>
      </c>
      <c r="K1536">
        <v>188925995936.80701</v>
      </c>
      <c r="L1536">
        <v>17658.947301119199</v>
      </c>
      <c r="M1536">
        <v>-1.2479835558140799</v>
      </c>
      <c r="N1536">
        <v>-9.0040436420214593</v>
      </c>
      <c r="O1536">
        <v>33.96</v>
      </c>
      <c r="P1536">
        <v>681.00199999999995</v>
      </c>
      <c r="Q1536">
        <v>53</v>
      </c>
      <c r="R1536">
        <v>12.83</v>
      </c>
    </row>
    <row r="1537" spans="1:18" x14ac:dyDescent="0.25">
      <c r="A1537" s="1" t="s">
        <v>45</v>
      </c>
      <c r="B1537" s="2" t="s">
        <v>50</v>
      </c>
      <c r="C1537" s="19">
        <v>40</v>
      </c>
      <c r="D1537" s="3" t="s">
        <v>496</v>
      </c>
      <c r="E1537" s="3" t="s">
        <v>18</v>
      </c>
      <c r="F1537" s="23">
        <v>95961</v>
      </c>
      <c r="G1537" s="15">
        <v>2011</v>
      </c>
      <c r="H1537" s="15">
        <f>Table_7[[#This Row],[Listing Price (USD)]]/10000</f>
        <v>9.5960999999999999</v>
      </c>
      <c r="I1537" s="28">
        <f>Table_7[[#This Row],[Length 
(ft)]]</f>
        <v>40</v>
      </c>
      <c r="J1537" s="28">
        <f>2020-Table_7[[#This Row],[Year]]</f>
        <v>9</v>
      </c>
      <c r="K1537">
        <v>188925995936.80701</v>
      </c>
      <c r="L1537">
        <v>17658.947301119199</v>
      </c>
      <c r="M1537">
        <v>-1.2479835558140799</v>
      </c>
      <c r="N1537">
        <v>-9.0040436420214593</v>
      </c>
      <c r="O1537">
        <v>33.96</v>
      </c>
      <c r="P1537">
        <v>681.00199999999995</v>
      </c>
      <c r="Q1537">
        <v>53</v>
      </c>
      <c r="R1537">
        <v>12.83</v>
      </c>
    </row>
    <row r="1538" spans="1:18" x14ac:dyDescent="0.25">
      <c r="A1538" s="1" t="s">
        <v>45</v>
      </c>
      <c r="B1538" s="2" t="s">
        <v>50</v>
      </c>
      <c r="C1538" s="19">
        <v>40</v>
      </c>
      <c r="D1538" s="3" t="s">
        <v>496</v>
      </c>
      <c r="E1538" s="3" t="s">
        <v>18</v>
      </c>
      <c r="F1538" s="23">
        <v>95985</v>
      </c>
      <c r="G1538" s="15">
        <v>2008</v>
      </c>
      <c r="H1538" s="15">
        <f>Table_7[[#This Row],[Listing Price (USD)]]/10000</f>
        <v>9.5984999999999996</v>
      </c>
      <c r="I1538" s="28">
        <f>Table_7[[#This Row],[Length 
(ft)]]</f>
        <v>40</v>
      </c>
      <c r="J1538" s="28">
        <f>2020-Table_7[[#This Row],[Year]]</f>
        <v>12</v>
      </c>
      <c r="K1538">
        <v>188925995936.80701</v>
      </c>
      <c r="L1538">
        <v>17658.947301119199</v>
      </c>
      <c r="M1538">
        <v>-1.2479835558140799</v>
      </c>
      <c r="N1538">
        <v>-9.0040436420214593</v>
      </c>
      <c r="O1538">
        <v>33.96</v>
      </c>
      <c r="P1538">
        <v>681.00199999999995</v>
      </c>
      <c r="Q1538">
        <v>53</v>
      </c>
      <c r="R1538">
        <v>12.83</v>
      </c>
    </row>
    <row r="1539" spans="1:18" x14ac:dyDescent="0.25">
      <c r="A1539" s="1" t="s">
        <v>45</v>
      </c>
      <c r="B1539" s="2" t="s">
        <v>50</v>
      </c>
      <c r="C1539" s="19">
        <v>40</v>
      </c>
      <c r="D1539" s="3" t="s">
        <v>496</v>
      </c>
      <c r="E1539" s="3" t="s">
        <v>18</v>
      </c>
      <c r="F1539" s="23">
        <v>95985</v>
      </c>
      <c r="G1539" s="15">
        <v>2007</v>
      </c>
      <c r="H1539" s="15">
        <f>Table_7[[#This Row],[Listing Price (USD)]]/10000</f>
        <v>9.5984999999999996</v>
      </c>
      <c r="I1539" s="28">
        <f>Table_7[[#This Row],[Length 
(ft)]]</f>
        <v>40</v>
      </c>
      <c r="J1539" s="28">
        <f>2020-Table_7[[#This Row],[Year]]</f>
        <v>13</v>
      </c>
      <c r="K1539">
        <v>188925995936.80701</v>
      </c>
      <c r="L1539">
        <v>17658.947301119199</v>
      </c>
      <c r="M1539">
        <v>-1.2479835558140799</v>
      </c>
      <c r="N1539">
        <v>-9.0040436420214593</v>
      </c>
      <c r="O1539">
        <v>33.96</v>
      </c>
      <c r="P1539">
        <v>681.00199999999995</v>
      </c>
      <c r="Q1539">
        <v>53</v>
      </c>
      <c r="R1539">
        <v>12.83</v>
      </c>
    </row>
    <row r="1540" spans="1:18" x14ac:dyDescent="0.25">
      <c r="A1540" s="1" t="s">
        <v>45</v>
      </c>
      <c r="B1540" s="3" t="s">
        <v>50</v>
      </c>
      <c r="C1540" s="19">
        <v>40</v>
      </c>
      <c r="D1540" s="3" t="s">
        <v>497</v>
      </c>
      <c r="E1540" s="3" t="s">
        <v>370</v>
      </c>
      <c r="F1540" s="23">
        <v>99600</v>
      </c>
      <c r="G1540" s="15">
        <v>2011</v>
      </c>
      <c r="H1540" s="15">
        <f>Table_7[[#This Row],[Listing Price (USD)]]/10000</f>
        <v>9.9600000000000009</v>
      </c>
      <c r="I1540" s="28">
        <f>Table_7[[#This Row],[Length 
(ft)]]</f>
        <v>40</v>
      </c>
      <c r="J1540" s="28">
        <f>2020-Table_7[[#This Row],[Year]]</f>
        <v>9</v>
      </c>
      <c r="K1540">
        <v>500000000</v>
      </c>
      <c r="L1540">
        <v>34200</v>
      </c>
      <c r="M1540">
        <v>1.1000000000000001</v>
      </c>
      <c r="N1540">
        <v>2</v>
      </c>
      <c r="O1540">
        <v>33.96</v>
      </c>
      <c r="P1540">
        <v>681.00199999999995</v>
      </c>
      <c r="Q1540">
        <v>53</v>
      </c>
      <c r="R1540">
        <v>12.83</v>
      </c>
    </row>
    <row r="1541" spans="1:18" x14ac:dyDescent="0.25">
      <c r="A1541" s="1" t="s">
        <v>45</v>
      </c>
      <c r="B1541" s="2" t="s">
        <v>50</v>
      </c>
      <c r="C1541" s="19">
        <v>40</v>
      </c>
      <c r="D1541" s="3" t="s">
        <v>496</v>
      </c>
      <c r="E1541" s="3" t="s">
        <v>31</v>
      </c>
      <c r="F1541" s="23">
        <v>99605</v>
      </c>
      <c r="G1541" s="15">
        <v>2009</v>
      </c>
      <c r="H1541" s="15">
        <f>Table_7[[#This Row],[Listing Price (USD)]]/10000</f>
        <v>9.9604999999999997</v>
      </c>
      <c r="I1541" s="28">
        <f>Table_7[[#This Row],[Length 
(ft)]]</f>
        <v>40</v>
      </c>
      <c r="J1541" s="28">
        <f>2020-Table_7[[#This Row],[Year]]</f>
        <v>11</v>
      </c>
      <c r="K1541">
        <v>57472012426.685303</v>
      </c>
      <c r="L1541">
        <v>14198.753959474399</v>
      </c>
      <c r="M1541">
        <v>0.15481137456202801</v>
      </c>
      <c r="N1541">
        <v>-8.5803430210621805</v>
      </c>
      <c r="O1541">
        <v>33.96</v>
      </c>
      <c r="P1541">
        <v>681.00199999999995</v>
      </c>
      <c r="Q1541">
        <v>53</v>
      </c>
      <c r="R1541">
        <v>12.83</v>
      </c>
    </row>
    <row r="1542" spans="1:18" x14ac:dyDescent="0.25">
      <c r="A1542" s="1" t="s">
        <v>45</v>
      </c>
      <c r="B1542" s="2" t="s">
        <v>50</v>
      </c>
      <c r="C1542" s="19">
        <v>40</v>
      </c>
      <c r="D1542" s="3" t="s">
        <v>496</v>
      </c>
      <c r="E1542" s="3" t="s">
        <v>18</v>
      </c>
      <c r="F1542" s="23">
        <v>100212</v>
      </c>
      <c r="G1542" s="15">
        <v>2010</v>
      </c>
      <c r="H1542" s="15">
        <f>Table_7[[#This Row],[Listing Price (USD)]]/10000</f>
        <v>10.0212</v>
      </c>
      <c r="I1542" s="28">
        <f>Table_7[[#This Row],[Length 
(ft)]]</f>
        <v>40</v>
      </c>
      <c r="J1542" s="28">
        <f>2020-Table_7[[#This Row],[Year]]</f>
        <v>10</v>
      </c>
      <c r="K1542">
        <v>188925995936.80701</v>
      </c>
      <c r="L1542">
        <v>17658.947301119199</v>
      </c>
      <c r="M1542">
        <v>-1.2479835558140799</v>
      </c>
      <c r="N1542">
        <v>-9.0040436420214593</v>
      </c>
      <c r="O1542">
        <v>33.96</v>
      </c>
      <c r="P1542">
        <v>681.00199999999995</v>
      </c>
      <c r="Q1542">
        <v>53</v>
      </c>
      <c r="R1542">
        <v>12.83</v>
      </c>
    </row>
    <row r="1543" spans="1:18" x14ac:dyDescent="0.25">
      <c r="A1543" s="1" t="s">
        <v>45</v>
      </c>
      <c r="B1543" s="2" t="s">
        <v>50</v>
      </c>
      <c r="C1543" s="19">
        <v>40</v>
      </c>
      <c r="D1543" s="3" t="s">
        <v>496</v>
      </c>
      <c r="E1543" s="3" t="s">
        <v>9</v>
      </c>
      <c r="F1543" s="23">
        <v>100820</v>
      </c>
      <c r="G1543" s="15">
        <v>2008</v>
      </c>
      <c r="H1543" s="15">
        <f>Table_7[[#This Row],[Listing Price (USD)]]/10000</f>
        <v>10.082000000000001</v>
      </c>
      <c r="I1543" s="28">
        <f>Table_7[[#This Row],[Length 
(ft)]]</f>
        <v>40</v>
      </c>
      <c r="J1543" s="28">
        <f>2020-Table_7[[#This Row],[Year]]</f>
        <v>12</v>
      </c>
      <c r="K1543">
        <v>1276962685648.25</v>
      </c>
      <c r="L1543">
        <v>26959.675436732599</v>
      </c>
      <c r="M1543">
        <v>-0.32275301729970501</v>
      </c>
      <c r="N1543">
        <v>-11.3254383222864</v>
      </c>
      <c r="O1543">
        <v>33.96</v>
      </c>
      <c r="P1543">
        <v>681.00199999999995</v>
      </c>
      <c r="Q1543">
        <v>53</v>
      </c>
      <c r="R1543">
        <v>12.83</v>
      </c>
    </row>
    <row r="1544" spans="1:18" x14ac:dyDescent="0.25">
      <c r="A1544" s="1" t="s">
        <v>45</v>
      </c>
      <c r="B1544" s="2" t="s">
        <v>50</v>
      </c>
      <c r="C1544" s="19">
        <v>40</v>
      </c>
      <c r="D1544" s="3" t="s">
        <v>496</v>
      </c>
      <c r="E1544" s="3" t="s">
        <v>18</v>
      </c>
      <c r="F1544" s="23">
        <v>102034</v>
      </c>
      <c r="G1544" s="15">
        <v>2010</v>
      </c>
      <c r="H1544" s="15">
        <f>Table_7[[#This Row],[Listing Price (USD)]]/10000</f>
        <v>10.2034</v>
      </c>
      <c r="I1544" s="28">
        <f>Table_7[[#This Row],[Length 
(ft)]]</f>
        <v>40</v>
      </c>
      <c r="J1544" s="28">
        <f>2020-Table_7[[#This Row],[Year]]</f>
        <v>10</v>
      </c>
      <c r="K1544">
        <v>188925995936.80701</v>
      </c>
      <c r="L1544">
        <v>17658.947301119199</v>
      </c>
      <c r="M1544">
        <v>-1.2479835558140799</v>
      </c>
      <c r="N1544">
        <v>-9.0040436420214593</v>
      </c>
      <c r="O1544">
        <v>33.96</v>
      </c>
      <c r="P1544">
        <v>681.00199999999995</v>
      </c>
      <c r="Q1544">
        <v>53</v>
      </c>
      <c r="R1544">
        <v>12.83</v>
      </c>
    </row>
    <row r="1545" spans="1:18" x14ac:dyDescent="0.25">
      <c r="A1545" s="1" t="s">
        <v>45</v>
      </c>
      <c r="B1545" s="2" t="s">
        <v>50</v>
      </c>
      <c r="C1545" s="19">
        <v>40</v>
      </c>
      <c r="D1545" s="3" t="s">
        <v>496</v>
      </c>
      <c r="E1545" s="3" t="s">
        <v>31</v>
      </c>
      <c r="F1545" s="23">
        <v>103275</v>
      </c>
      <c r="G1545" s="15">
        <v>2008</v>
      </c>
      <c r="H1545" s="15">
        <f>Table_7[[#This Row],[Listing Price (USD)]]/10000</f>
        <v>10.327500000000001</v>
      </c>
      <c r="I1545" s="28">
        <f>Table_7[[#This Row],[Length 
(ft)]]</f>
        <v>40</v>
      </c>
      <c r="J1545" s="28">
        <f>2020-Table_7[[#This Row],[Year]]</f>
        <v>12</v>
      </c>
      <c r="K1545">
        <v>57472012426.685303</v>
      </c>
      <c r="L1545">
        <v>14198.753959474399</v>
      </c>
      <c r="M1545">
        <v>0.15481137456202801</v>
      </c>
      <c r="N1545">
        <v>-8.5803430210621805</v>
      </c>
      <c r="O1545">
        <v>33.96</v>
      </c>
      <c r="P1545">
        <v>681.00199999999995</v>
      </c>
      <c r="Q1545">
        <v>53</v>
      </c>
      <c r="R1545">
        <v>12.83</v>
      </c>
    </row>
    <row r="1546" spans="1:18" x14ac:dyDescent="0.25">
      <c r="A1546" s="1" t="s">
        <v>45</v>
      </c>
      <c r="B1546" s="2" t="s">
        <v>50</v>
      </c>
      <c r="C1546" s="19">
        <v>40</v>
      </c>
      <c r="D1546" s="3" t="s">
        <v>496</v>
      </c>
      <c r="E1546" s="3" t="s">
        <v>9</v>
      </c>
      <c r="F1546" s="23">
        <v>106562</v>
      </c>
      <c r="G1546" s="15">
        <v>2007</v>
      </c>
      <c r="H1546" s="15">
        <f>Table_7[[#This Row],[Listing Price (USD)]]/10000</f>
        <v>10.6562</v>
      </c>
      <c r="I1546" s="28">
        <f>Table_7[[#This Row],[Length 
(ft)]]</f>
        <v>40</v>
      </c>
      <c r="J1546" s="28">
        <f>2020-Table_7[[#This Row],[Year]]</f>
        <v>13</v>
      </c>
      <c r="K1546">
        <v>1276962685648.25</v>
      </c>
      <c r="L1546">
        <v>26959.675436732599</v>
      </c>
      <c r="M1546">
        <v>-0.32275301729970501</v>
      </c>
      <c r="N1546">
        <v>-11.3254383222864</v>
      </c>
      <c r="O1546">
        <v>33.96</v>
      </c>
      <c r="P1546">
        <v>681.00199999999995</v>
      </c>
      <c r="Q1546">
        <v>53</v>
      </c>
      <c r="R1546">
        <v>12.83</v>
      </c>
    </row>
    <row r="1547" spans="1:18" x14ac:dyDescent="0.25">
      <c r="A1547" s="1" t="s">
        <v>45</v>
      </c>
      <c r="B1547" s="2" t="s">
        <v>50</v>
      </c>
      <c r="C1547" s="19">
        <v>40</v>
      </c>
      <c r="D1547" s="3" t="s">
        <v>496</v>
      </c>
      <c r="E1547" s="3" t="s">
        <v>18</v>
      </c>
      <c r="F1547" s="23">
        <v>106893</v>
      </c>
      <c r="G1547" s="15">
        <v>2011</v>
      </c>
      <c r="H1547" s="15">
        <f>Table_7[[#This Row],[Listing Price (USD)]]/10000</f>
        <v>10.689299999999999</v>
      </c>
      <c r="I1547" s="28">
        <f>Table_7[[#This Row],[Length 
(ft)]]</f>
        <v>40</v>
      </c>
      <c r="J1547" s="28">
        <f>2020-Table_7[[#This Row],[Year]]</f>
        <v>9</v>
      </c>
      <c r="K1547">
        <v>188925995936.80701</v>
      </c>
      <c r="L1547">
        <v>17658.947301119199</v>
      </c>
      <c r="M1547">
        <v>-1.2479835558140799</v>
      </c>
      <c r="N1547">
        <v>-9.0040436420214593</v>
      </c>
      <c r="O1547">
        <v>33.96</v>
      </c>
      <c r="P1547">
        <v>681.00199999999995</v>
      </c>
      <c r="Q1547">
        <v>53</v>
      </c>
      <c r="R1547">
        <v>12.83</v>
      </c>
    </row>
    <row r="1548" spans="1:18" x14ac:dyDescent="0.25">
      <c r="A1548" s="1" t="s">
        <v>45</v>
      </c>
      <c r="B1548" s="2" t="s">
        <v>50</v>
      </c>
      <c r="C1548" s="19">
        <v>40</v>
      </c>
      <c r="D1548" s="3" t="s">
        <v>496</v>
      </c>
      <c r="E1548" s="3" t="s">
        <v>18</v>
      </c>
      <c r="F1548" s="23">
        <v>108108</v>
      </c>
      <c r="G1548" s="15">
        <v>2011</v>
      </c>
      <c r="H1548" s="15">
        <f>Table_7[[#This Row],[Listing Price (USD)]]/10000</f>
        <v>10.8108</v>
      </c>
      <c r="I1548" s="28">
        <f>Table_7[[#This Row],[Length 
(ft)]]</f>
        <v>40</v>
      </c>
      <c r="J1548" s="28">
        <f>2020-Table_7[[#This Row],[Year]]</f>
        <v>9</v>
      </c>
      <c r="K1548">
        <v>188925995936.80701</v>
      </c>
      <c r="L1548">
        <v>17658.947301119199</v>
      </c>
      <c r="M1548">
        <v>-1.2479835558140799</v>
      </c>
      <c r="N1548">
        <v>-9.0040436420214593</v>
      </c>
      <c r="O1548">
        <v>33.96</v>
      </c>
      <c r="P1548">
        <v>681.00199999999995</v>
      </c>
      <c r="Q1548">
        <v>53</v>
      </c>
      <c r="R1548">
        <v>12.83</v>
      </c>
    </row>
    <row r="1549" spans="1:18" x14ac:dyDescent="0.25">
      <c r="A1549" s="1" t="s">
        <v>45</v>
      </c>
      <c r="B1549" s="2" t="s">
        <v>50</v>
      </c>
      <c r="C1549" s="19">
        <v>40</v>
      </c>
      <c r="D1549" s="3" t="s">
        <v>496</v>
      </c>
      <c r="E1549" s="3" t="s">
        <v>63</v>
      </c>
      <c r="F1549" s="23">
        <v>108135</v>
      </c>
      <c r="G1549" s="15">
        <v>2007</v>
      </c>
      <c r="H1549" s="15">
        <f>Table_7[[#This Row],[Listing Price (USD)]]/10000</f>
        <v>10.813499999999999</v>
      </c>
      <c r="I1549" s="28">
        <f>Table_7[[#This Row],[Length 
(ft)]]</f>
        <v>40</v>
      </c>
      <c r="J1549" s="28">
        <f>2020-Table_7[[#This Row],[Year]]</f>
        <v>13</v>
      </c>
      <c r="K1549">
        <v>720290000000</v>
      </c>
      <c r="L1549">
        <v>13341.6</v>
      </c>
      <c r="M1549">
        <v>13</v>
      </c>
      <c r="N1549">
        <v>-3</v>
      </c>
      <c r="O1549">
        <v>33.96</v>
      </c>
      <c r="P1549">
        <v>681.00199999999995</v>
      </c>
      <c r="Q1549">
        <v>53</v>
      </c>
      <c r="R1549">
        <v>12.83</v>
      </c>
    </row>
    <row r="1550" spans="1:18" x14ac:dyDescent="0.25">
      <c r="A1550" s="1" t="s">
        <v>45</v>
      </c>
      <c r="B1550" s="2" t="s">
        <v>50</v>
      </c>
      <c r="C1550" s="19">
        <v>40</v>
      </c>
      <c r="D1550" s="3" t="s">
        <v>496</v>
      </c>
      <c r="E1550" s="3" t="s">
        <v>24</v>
      </c>
      <c r="F1550" s="23">
        <v>109323</v>
      </c>
      <c r="G1550" s="15">
        <v>2009</v>
      </c>
      <c r="H1550" s="15">
        <f>Table_7[[#This Row],[Listing Price (USD)]]/10000</f>
        <v>10.9323</v>
      </c>
      <c r="I1550" s="28">
        <f>Table_7[[#This Row],[Length 
(ft)]]</f>
        <v>40</v>
      </c>
      <c r="J1550" s="28">
        <f>2020-Table_7[[#This Row],[Year]]</f>
        <v>11</v>
      </c>
      <c r="K1550">
        <v>1896755301518.1399</v>
      </c>
      <c r="L1550">
        <v>31911.0357890017</v>
      </c>
      <c r="M1550">
        <v>-0.13770757391656999</v>
      </c>
      <c r="N1550">
        <v>-9.0399534112288507</v>
      </c>
      <c r="O1550">
        <v>33.96</v>
      </c>
      <c r="P1550">
        <v>681.00199999999995</v>
      </c>
      <c r="Q1550">
        <v>53</v>
      </c>
      <c r="R1550">
        <v>12.83</v>
      </c>
    </row>
    <row r="1551" spans="1:18" x14ac:dyDescent="0.25">
      <c r="A1551" s="1" t="s">
        <v>45</v>
      </c>
      <c r="B1551" s="2" t="s">
        <v>50</v>
      </c>
      <c r="C1551" s="19">
        <v>40</v>
      </c>
      <c r="D1551" s="3" t="s">
        <v>496</v>
      </c>
      <c r="E1551" s="3" t="s">
        <v>24</v>
      </c>
      <c r="F1551" s="23">
        <v>109323</v>
      </c>
      <c r="G1551" s="15">
        <v>2008</v>
      </c>
      <c r="H1551" s="15">
        <f>Table_7[[#This Row],[Listing Price (USD)]]/10000</f>
        <v>10.9323</v>
      </c>
      <c r="I1551" s="28">
        <f>Table_7[[#This Row],[Length 
(ft)]]</f>
        <v>40</v>
      </c>
      <c r="J1551" s="28">
        <f>2020-Table_7[[#This Row],[Year]]</f>
        <v>12</v>
      </c>
      <c r="K1551">
        <v>1896755301518.1399</v>
      </c>
      <c r="L1551">
        <v>31911.0357890017</v>
      </c>
      <c r="M1551">
        <v>-0.13770757391656999</v>
      </c>
      <c r="N1551">
        <v>-9.0399534112288507</v>
      </c>
      <c r="O1551">
        <v>33.96</v>
      </c>
      <c r="P1551">
        <v>681.00199999999995</v>
      </c>
      <c r="Q1551">
        <v>53</v>
      </c>
      <c r="R1551">
        <v>12.83</v>
      </c>
    </row>
    <row r="1552" spans="1:18" x14ac:dyDescent="0.25">
      <c r="A1552" s="1" t="s">
        <v>45</v>
      </c>
      <c r="B1552" s="2" t="s">
        <v>50</v>
      </c>
      <c r="C1552" s="19">
        <v>40</v>
      </c>
      <c r="D1552" s="3" t="s">
        <v>496</v>
      </c>
      <c r="E1552" s="3" t="s">
        <v>18</v>
      </c>
      <c r="F1552" s="23">
        <v>109350</v>
      </c>
      <c r="G1552" s="15">
        <v>2010</v>
      </c>
      <c r="H1552" s="15">
        <f>Table_7[[#This Row],[Listing Price (USD)]]/10000</f>
        <v>10.935</v>
      </c>
      <c r="I1552" s="28">
        <f>Table_7[[#This Row],[Length 
(ft)]]</f>
        <v>40</v>
      </c>
      <c r="J1552" s="28">
        <f>2020-Table_7[[#This Row],[Year]]</f>
        <v>10</v>
      </c>
      <c r="K1552">
        <v>188925995936.80701</v>
      </c>
      <c r="L1552">
        <v>17658.947301119199</v>
      </c>
      <c r="M1552">
        <v>-1.2479835558140799</v>
      </c>
      <c r="N1552">
        <v>-9.0040436420214593</v>
      </c>
      <c r="O1552">
        <v>33.96</v>
      </c>
      <c r="P1552">
        <v>681.00199999999995</v>
      </c>
      <c r="Q1552">
        <v>53</v>
      </c>
      <c r="R1552">
        <v>12.83</v>
      </c>
    </row>
    <row r="1553" spans="1:18" x14ac:dyDescent="0.25">
      <c r="A1553" s="1" t="s">
        <v>45</v>
      </c>
      <c r="B1553" s="3" t="s">
        <v>50</v>
      </c>
      <c r="C1553" s="19">
        <v>40</v>
      </c>
      <c r="D1553" s="3" t="s">
        <v>497</v>
      </c>
      <c r="E1553" s="3" t="s">
        <v>392</v>
      </c>
      <c r="F1553" s="23">
        <v>110000</v>
      </c>
      <c r="G1553" s="15">
        <v>2011</v>
      </c>
      <c r="H1553" s="15">
        <f>Table_7[[#This Row],[Listing Price (USD)]]/10000</f>
        <v>11</v>
      </c>
      <c r="I1553" s="28">
        <f>Table_7[[#This Row],[Length 
(ft)]]</f>
        <v>40</v>
      </c>
      <c r="J1553" s="28">
        <f>2020-Table_7[[#This Row],[Year]]</f>
        <v>9</v>
      </c>
      <c r="K1553">
        <v>1043414814.81481</v>
      </c>
      <c r="L1553">
        <v>8437.5667322870595</v>
      </c>
      <c r="M1553">
        <v>-0.74073259704550098</v>
      </c>
      <c r="N1553">
        <v>-13.7559294530644</v>
      </c>
      <c r="O1553">
        <v>33.96</v>
      </c>
      <c r="P1553">
        <v>681.00199999999995</v>
      </c>
      <c r="Q1553">
        <v>53</v>
      </c>
      <c r="R1553">
        <v>12.83</v>
      </c>
    </row>
    <row r="1554" spans="1:18" x14ac:dyDescent="0.25">
      <c r="A1554" s="1" t="s">
        <v>45</v>
      </c>
      <c r="B1554" s="2" t="s">
        <v>50</v>
      </c>
      <c r="C1554" s="19">
        <v>40</v>
      </c>
      <c r="D1554" s="3" t="s">
        <v>496</v>
      </c>
      <c r="E1554" s="3" t="s">
        <v>18</v>
      </c>
      <c r="F1554" s="23">
        <v>115396</v>
      </c>
      <c r="G1554" s="15">
        <v>2008</v>
      </c>
      <c r="H1554" s="15">
        <f>Table_7[[#This Row],[Listing Price (USD)]]/10000</f>
        <v>11.5396</v>
      </c>
      <c r="I1554" s="28">
        <f>Table_7[[#This Row],[Length 
(ft)]]</f>
        <v>40</v>
      </c>
      <c r="J1554" s="28">
        <f>2020-Table_7[[#This Row],[Year]]</f>
        <v>12</v>
      </c>
      <c r="K1554">
        <v>188925995936.80701</v>
      </c>
      <c r="L1554">
        <v>17658.947301119199</v>
      </c>
      <c r="M1554">
        <v>-1.2479835558140799</v>
      </c>
      <c r="N1554">
        <v>-9.0040436420214593</v>
      </c>
      <c r="O1554">
        <v>33.96</v>
      </c>
      <c r="P1554">
        <v>681.00199999999995</v>
      </c>
      <c r="Q1554">
        <v>53</v>
      </c>
      <c r="R1554">
        <v>12.83</v>
      </c>
    </row>
    <row r="1555" spans="1:18" x14ac:dyDescent="0.25">
      <c r="A1555" s="1" t="s">
        <v>45</v>
      </c>
      <c r="B1555" s="2" t="s">
        <v>50</v>
      </c>
      <c r="C1555" s="19">
        <v>40</v>
      </c>
      <c r="D1555" s="3" t="s">
        <v>496</v>
      </c>
      <c r="E1555" s="3" t="s">
        <v>18</v>
      </c>
      <c r="F1555" s="23">
        <v>120285</v>
      </c>
      <c r="G1555" s="15">
        <v>2011</v>
      </c>
      <c r="H1555" s="15">
        <f>Table_7[[#This Row],[Listing Price (USD)]]/10000</f>
        <v>12.028499999999999</v>
      </c>
      <c r="I1555" s="28">
        <f>Table_7[[#This Row],[Length 
(ft)]]</f>
        <v>40</v>
      </c>
      <c r="J1555" s="28">
        <f>2020-Table_7[[#This Row],[Year]]</f>
        <v>9</v>
      </c>
      <c r="K1555">
        <v>188925995936.80701</v>
      </c>
      <c r="L1555">
        <v>17658.947301119199</v>
      </c>
      <c r="M1555">
        <v>-1.2479835558140799</v>
      </c>
      <c r="N1555">
        <v>-9.0040436420214593</v>
      </c>
      <c r="O1555">
        <v>33.96</v>
      </c>
      <c r="P1555">
        <v>681.00199999999995</v>
      </c>
      <c r="Q1555">
        <v>53</v>
      </c>
      <c r="R1555">
        <v>12.83</v>
      </c>
    </row>
    <row r="1556" spans="1:18" x14ac:dyDescent="0.25">
      <c r="A1556" s="1" t="s">
        <v>45</v>
      </c>
      <c r="B1556" s="2" t="s">
        <v>50</v>
      </c>
      <c r="C1556" s="19">
        <v>40</v>
      </c>
      <c r="D1556" s="3" t="s">
        <v>496</v>
      </c>
      <c r="E1556" s="3" t="s">
        <v>18</v>
      </c>
      <c r="F1556" s="23">
        <v>121470</v>
      </c>
      <c r="G1556" s="15">
        <v>2011</v>
      </c>
      <c r="H1556" s="15">
        <f>Table_7[[#This Row],[Listing Price (USD)]]/10000</f>
        <v>12.147</v>
      </c>
      <c r="I1556" s="28">
        <f>Table_7[[#This Row],[Length 
(ft)]]</f>
        <v>40</v>
      </c>
      <c r="J1556" s="28">
        <f>2020-Table_7[[#This Row],[Year]]</f>
        <v>9</v>
      </c>
      <c r="K1556">
        <v>188925995936.80701</v>
      </c>
      <c r="L1556">
        <v>17658.947301119199</v>
      </c>
      <c r="M1556">
        <v>-1.2479835558140799</v>
      </c>
      <c r="N1556">
        <v>-9.0040436420214593</v>
      </c>
      <c r="O1556">
        <v>33.96</v>
      </c>
      <c r="P1556">
        <v>681.00199999999995</v>
      </c>
      <c r="Q1556">
        <v>53</v>
      </c>
      <c r="R1556">
        <v>12.83</v>
      </c>
    </row>
    <row r="1557" spans="1:18" x14ac:dyDescent="0.25">
      <c r="A1557" s="1" t="s">
        <v>45</v>
      </c>
      <c r="B1557" s="2" t="s">
        <v>50</v>
      </c>
      <c r="C1557" s="19">
        <v>40</v>
      </c>
      <c r="D1557" s="3" t="s">
        <v>496</v>
      </c>
      <c r="E1557" s="3" t="s">
        <v>3</v>
      </c>
      <c r="F1557" s="23">
        <v>123899</v>
      </c>
      <c r="G1557" s="15">
        <v>2008</v>
      </c>
      <c r="H1557" s="15">
        <f>Table_7[[#This Row],[Listing Price (USD)]]/10000</f>
        <v>12.389900000000001</v>
      </c>
      <c r="I1557" s="28">
        <f>Table_7[[#This Row],[Length 
(ft)]]</f>
        <v>40</v>
      </c>
      <c r="J1557" s="28">
        <f>2020-Table_7[[#This Row],[Year]]</f>
        <v>12</v>
      </c>
      <c r="K1557">
        <v>2639008701648.2598</v>
      </c>
      <c r="L1557">
        <v>39055.282928075401</v>
      </c>
      <c r="M1557">
        <v>0.47649885272508302</v>
      </c>
      <c r="N1557">
        <v>-7.7845864916787102</v>
      </c>
      <c r="O1557">
        <v>33.96</v>
      </c>
      <c r="P1557">
        <v>681.00199999999995</v>
      </c>
      <c r="Q1557">
        <v>53</v>
      </c>
      <c r="R1557">
        <v>12.83</v>
      </c>
    </row>
    <row r="1558" spans="1:18" x14ac:dyDescent="0.25">
      <c r="A1558" s="1" t="s">
        <v>45</v>
      </c>
      <c r="B1558" s="3" t="s">
        <v>50</v>
      </c>
      <c r="C1558" s="19">
        <v>40</v>
      </c>
      <c r="D1558" s="3" t="s">
        <v>495</v>
      </c>
      <c r="E1558" s="3" t="s">
        <v>552</v>
      </c>
      <c r="F1558" s="23">
        <v>129900</v>
      </c>
      <c r="G1558" s="15">
        <v>2011</v>
      </c>
      <c r="H1558" s="15">
        <f>Table_7[[#This Row],[Listing Price (USD)]]/10000</f>
        <v>12.99</v>
      </c>
      <c r="I1558" s="28">
        <f>Table_7[[#This Row],[Length 
(ft)]]</f>
        <v>40</v>
      </c>
      <c r="J1558" s="28">
        <f>2020-Table_7[[#This Row],[Year]]</f>
        <v>9</v>
      </c>
      <c r="K1558">
        <v>244882000000</v>
      </c>
      <c r="L1558">
        <v>47728.44</v>
      </c>
      <c r="M1558">
        <v>1.23</v>
      </c>
      <c r="N1558">
        <v>2.5</v>
      </c>
      <c r="O1558">
        <v>33.96</v>
      </c>
      <c r="P1558">
        <v>681.00199999999995</v>
      </c>
      <c r="Q1558">
        <v>53</v>
      </c>
      <c r="R1558">
        <v>12.83</v>
      </c>
    </row>
    <row r="1559" spans="1:18" x14ac:dyDescent="0.25">
      <c r="A1559" s="1" t="s">
        <v>45</v>
      </c>
      <c r="B1559" s="3" t="s">
        <v>50</v>
      </c>
      <c r="C1559" s="19">
        <v>40</v>
      </c>
      <c r="D1559" s="3" t="s">
        <v>495</v>
      </c>
      <c r="E1559" s="3" t="s">
        <v>545</v>
      </c>
      <c r="F1559" s="23">
        <v>139000</v>
      </c>
      <c r="G1559" s="15">
        <v>2008</v>
      </c>
      <c r="H1559" s="15">
        <f>Table_7[[#This Row],[Listing Price (USD)]]/10000</f>
        <v>13.9</v>
      </c>
      <c r="I1559" s="28">
        <f>Table_7[[#This Row],[Length 
(ft)]]</f>
        <v>40</v>
      </c>
      <c r="J1559" s="28">
        <f>2020-Table_7[[#This Row],[Year]]</f>
        <v>12</v>
      </c>
      <c r="K1559">
        <v>515120000000</v>
      </c>
      <c r="L1559">
        <v>51165.75</v>
      </c>
      <c r="M1559">
        <v>1.23</v>
      </c>
      <c r="N1559">
        <v>2.6</v>
      </c>
      <c r="O1559">
        <v>33.96</v>
      </c>
      <c r="P1559">
        <v>681.00199999999995</v>
      </c>
      <c r="Q1559">
        <v>53</v>
      </c>
      <c r="R1559">
        <v>12.83</v>
      </c>
    </row>
    <row r="1560" spans="1:18" x14ac:dyDescent="0.25">
      <c r="A1560" s="1" t="s">
        <v>45</v>
      </c>
      <c r="B1560" s="2" t="s">
        <v>50</v>
      </c>
      <c r="C1560" s="19">
        <v>40</v>
      </c>
      <c r="D1560" s="3" t="s">
        <v>496</v>
      </c>
      <c r="E1560" s="3" t="s">
        <v>9</v>
      </c>
      <c r="F1560" s="23">
        <v>146488</v>
      </c>
      <c r="G1560" s="15">
        <v>2007</v>
      </c>
      <c r="H1560" s="15">
        <f>Table_7[[#This Row],[Listing Price (USD)]]/10000</f>
        <v>14.6488</v>
      </c>
      <c r="I1560" s="28">
        <f>Table_7[[#This Row],[Length 
(ft)]]</f>
        <v>40</v>
      </c>
      <c r="J1560" s="28">
        <f>2020-Table_7[[#This Row],[Year]]</f>
        <v>13</v>
      </c>
      <c r="K1560">
        <v>1276962685648.25</v>
      </c>
      <c r="L1560">
        <v>26959.675436732599</v>
      </c>
      <c r="M1560">
        <v>-0.32275301729970501</v>
      </c>
      <c r="N1560">
        <v>-11.3254383222864</v>
      </c>
      <c r="O1560">
        <v>33.96</v>
      </c>
      <c r="P1560">
        <v>681.00199999999995</v>
      </c>
      <c r="Q1560">
        <v>53</v>
      </c>
      <c r="R1560">
        <v>12.83</v>
      </c>
    </row>
    <row r="1561" spans="1:18" x14ac:dyDescent="0.25">
      <c r="A1561" s="1" t="s">
        <v>45</v>
      </c>
      <c r="B1561" s="3" t="s">
        <v>50</v>
      </c>
      <c r="C1561" s="19">
        <v>40</v>
      </c>
      <c r="D1561" s="3" t="s">
        <v>497</v>
      </c>
      <c r="E1561" s="3" t="s">
        <v>507</v>
      </c>
      <c r="F1561" s="23">
        <v>155000</v>
      </c>
      <c r="G1561" s="15">
        <v>2009</v>
      </c>
      <c r="H1561" s="15">
        <f>Table_7[[#This Row],[Listing Price (USD)]]/10000</f>
        <v>15.5</v>
      </c>
      <c r="I1561" s="28">
        <f>Table_7[[#This Row],[Length 
(ft)]]</f>
        <v>40</v>
      </c>
      <c r="J1561" s="28">
        <f>2020-Table_7[[#This Row],[Year]]</f>
        <v>11</v>
      </c>
      <c r="K1561">
        <v>2610038937.56355</v>
      </c>
      <c r="L1561">
        <v>24487.863560196602</v>
      </c>
      <c r="M1561">
        <v>0.810222564232847</v>
      </c>
      <c r="N1561">
        <v>-18.5890997764476</v>
      </c>
      <c r="O1561">
        <v>33.96</v>
      </c>
      <c r="P1561">
        <v>681.00199999999995</v>
      </c>
      <c r="Q1561">
        <v>53</v>
      </c>
      <c r="R1561">
        <v>12.83</v>
      </c>
    </row>
    <row r="1562" spans="1:18" x14ac:dyDescent="0.25">
      <c r="A1562" s="1" t="s">
        <v>45</v>
      </c>
      <c r="B1562" s="3" t="s">
        <v>50</v>
      </c>
      <c r="C1562" s="19">
        <v>40</v>
      </c>
      <c r="D1562" s="3" t="s">
        <v>495</v>
      </c>
      <c r="E1562" s="3" t="s">
        <v>518</v>
      </c>
      <c r="F1562" s="23">
        <v>155969</v>
      </c>
      <c r="G1562" s="15">
        <v>2008</v>
      </c>
      <c r="H1562" s="15">
        <f>Table_7[[#This Row],[Listing Price (USD)]]/10000</f>
        <v>15.5969</v>
      </c>
      <c r="I1562" s="28">
        <f>Table_7[[#This Row],[Length 
(ft)]]</f>
        <v>40</v>
      </c>
      <c r="J1562" s="28">
        <f>2020-Table_7[[#This Row],[Year]]</f>
        <v>12</v>
      </c>
      <c r="K1562">
        <v>1724759000000</v>
      </c>
      <c r="L1562">
        <v>85575.039999999994</v>
      </c>
      <c r="M1562">
        <v>1.23</v>
      </c>
      <c r="N1562">
        <v>3.8</v>
      </c>
      <c r="O1562">
        <v>33.96</v>
      </c>
      <c r="P1562">
        <v>681.00199999999995</v>
      </c>
      <c r="Q1562">
        <v>53</v>
      </c>
      <c r="R1562">
        <v>12.83</v>
      </c>
    </row>
    <row r="1563" spans="1:18" x14ac:dyDescent="0.25">
      <c r="A1563" s="1" t="s">
        <v>45</v>
      </c>
      <c r="B1563" s="3" t="s">
        <v>50</v>
      </c>
      <c r="C1563" s="19">
        <v>40</v>
      </c>
      <c r="D1563" s="3" t="s">
        <v>495</v>
      </c>
      <c r="E1563" s="3" t="s">
        <v>526</v>
      </c>
      <c r="F1563" s="23">
        <v>159000</v>
      </c>
      <c r="G1563" s="15">
        <v>2008</v>
      </c>
      <c r="H1563" s="15">
        <f>Table_7[[#This Row],[Listing Price (USD)]]/10000</f>
        <v>15.9</v>
      </c>
      <c r="I1563" s="28">
        <f>Table_7[[#This Row],[Length 
(ft)]]</f>
        <v>40</v>
      </c>
      <c r="J1563" s="28">
        <f>2020-Table_7[[#This Row],[Year]]</f>
        <v>12</v>
      </c>
      <c r="K1563">
        <v>4200000000</v>
      </c>
      <c r="L1563">
        <v>39553.199999999997</v>
      </c>
      <c r="M1563">
        <v>4.0999999999999996</v>
      </c>
      <c r="N1563">
        <v>-2.1</v>
      </c>
      <c r="O1563">
        <v>33.96</v>
      </c>
      <c r="P1563">
        <v>681.00199999999995</v>
      </c>
      <c r="Q1563">
        <v>53</v>
      </c>
      <c r="R1563">
        <v>12.83</v>
      </c>
    </row>
    <row r="1564" spans="1:18" x14ac:dyDescent="0.25">
      <c r="A1564" s="1" t="s">
        <v>45</v>
      </c>
      <c r="B1564" s="3" t="s">
        <v>50</v>
      </c>
      <c r="C1564" s="19">
        <v>40</v>
      </c>
      <c r="D1564" s="3" t="s">
        <v>495</v>
      </c>
      <c r="E1564" s="3" t="s">
        <v>515</v>
      </c>
      <c r="F1564" s="23">
        <v>159900</v>
      </c>
      <c r="G1564" s="15">
        <v>2011</v>
      </c>
      <c r="H1564" s="15">
        <f>Table_7[[#This Row],[Listing Price (USD)]]/10000</f>
        <v>15.99</v>
      </c>
      <c r="I1564" s="28">
        <f>Table_7[[#This Row],[Length 
(ft)]]</f>
        <v>40</v>
      </c>
      <c r="J1564" s="28">
        <f>2020-Table_7[[#This Row],[Year]]</f>
        <v>9</v>
      </c>
      <c r="K1564">
        <v>410675000000</v>
      </c>
      <c r="L1564">
        <v>66531.03</v>
      </c>
      <c r="M1564">
        <v>1.23</v>
      </c>
      <c r="N1564">
        <v>1.8</v>
      </c>
      <c r="O1564">
        <v>33.96</v>
      </c>
      <c r="P1564">
        <v>681.00199999999995</v>
      </c>
      <c r="Q1564">
        <v>53</v>
      </c>
      <c r="R1564">
        <v>12.83</v>
      </c>
    </row>
    <row r="1565" spans="1:18" x14ac:dyDescent="0.25">
      <c r="A1565" s="1" t="s">
        <v>45</v>
      </c>
      <c r="B1565" s="3" t="s">
        <v>50</v>
      </c>
      <c r="C1565" s="19">
        <v>40</v>
      </c>
      <c r="D1565" s="3" t="s">
        <v>495</v>
      </c>
      <c r="E1565" s="3" t="s">
        <v>333</v>
      </c>
      <c r="F1565" s="23">
        <v>165000</v>
      </c>
      <c r="G1565" s="15">
        <v>2009</v>
      </c>
      <c r="H1565" s="15">
        <f>Table_7[[#This Row],[Listing Price (USD)]]/10000</f>
        <v>16.5</v>
      </c>
      <c r="I1565" s="28">
        <f>Table_7[[#This Row],[Length 
(ft)]]</f>
        <v>40</v>
      </c>
      <c r="J1565" s="28">
        <f>2020-Table_7[[#This Row],[Year]]</f>
        <v>11</v>
      </c>
      <c r="K1565">
        <v>1106036000000</v>
      </c>
      <c r="L1565">
        <v>51276.72</v>
      </c>
      <c r="M1565">
        <v>1.23</v>
      </c>
      <c r="N1565">
        <v>2.9</v>
      </c>
      <c r="O1565">
        <v>33.96</v>
      </c>
      <c r="P1565">
        <v>681.00199999999995</v>
      </c>
      <c r="Q1565">
        <v>53</v>
      </c>
      <c r="R1565">
        <v>12.83</v>
      </c>
    </row>
    <row r="1566" spans="1:18" x14ac:dyDescent="0.25">
      <c r="A1566" s="1" t="s">
        <v>45</v>
      </c>
      <c r="B1566" s="3" t="s">
        <v>50</v>
      </c>
      <c r="C1566" s="19">
        <v>40</v>
      </c>
      <c r="D1566" s="3" t="s">
        <v>495</v>
      </c>
      <c r="E1566" s="3" t="s">
        <v>518</v>
      </c>
      <c r="F1566" s="23">
        <v>170000</v>
      </c>
      <c r="G1566" s="15">
        <v>2010</v>
      </c>
      <c r="H1566" s="15">
        <f>Table_7[[#This Row],[Listing Price (USD)]]/10000</f>
        <v>17</v>
      </c>
      <c r="I1566" s="28">
        <f>Table_7[[#This Row],[Length 
(ft)]]</f>
        <v>40</v>
      </c>
      <c r="J1566" s="28">
        <f>2020-Table_7[[#This Row],[Year]]</f>
        <v>10</v>
      </c>
      <c r="K1566">
        <v>1724759000000</v>
      </c>
      <c r="L1566">
        <v>85575.039999999994</v>
      </c>
      <c r="M1566">
        <v>1.23</v>
      </c>
      <c r="N1566">
        <v>3.8</v>
      </c>
      <c r="O1566">
        <v>33.96</v>
      </c>
      <c r="P1566">
        <v>681.00199999999995</v>
      </c>
      <c r="Q1566">
        <v>53</v>
      </c>
      <c r="R1566">
        <v>12.83</v>
      </c>
    </row>
    <row r="1567" spans="1:18" x14ac:dyDescent="0.25">
      <c r="A1567" s="1" t="s">
        <v>45</v>
      </c>
      <c r="B1567" s="3" t="s">
        <v>50</v>
      </c>
      <c r="C1567" s="19">
        <v>40</v>
      </c>
      <c r="D1567" s="3" t="s">
        <v>495</v>
      </c>
      <c r="E1567" s="3" t="s">
        <v>518</v>
      </c>
      <c r="F1567" s="23">
        <v>170048</v>
      </c>
      <c r="G1567" s="15">
        <v>2011</v>
      </c>
      <c r="H1567" s="15">
        <f>Table_7[[#This Row],[Listing Price (USD)]]/10000</f>
        <v>17.004799999999999</v>
      </c>
      <c r="I1567" s="28">
        <f>Table_7[[#This Row],[Length 
(ft)]]</f>
        <v>40</v>
      </c>
      <c r="J1567" s="28">
        <f>2020-Table_7[[#This Row],[Year]]</f>
        <v>9</v>
      </c>
      <c r="K1567">
        <v>1724759000000</v>
      </c>
      <c r="L1567">
        <v>85575.039999999994</v>
      </c>
      <c r="M1567">
        <v>1.23</v>
      </c>
      <c r="N1567">
        <v>3.8</v>
      </c>
      <c r="O1567">
        <v>33.96</v>
      </c>
      <c r="P1567">
        <v>681.00199999999995</v>
      </c>
      <c r="Q1567">
        <v>53</v>
      </c>
      <c r="R1567">
        <v>12.83</v>
      </c>
    </row>
    <row r="1568" spans="1:18" x14ac:dyDescent="0.25">
      <c r="A1568" s="1" t="s">
        <v>577</v>
      </c>
      <c r="B1568" s="3" t="s">
        <v>53</v>
      </c>
      <c r="C1568" s="19">
        <v>40</v>
      </c>
      <c r="D1568" s="3" t="s">
        <v>497</v>
      </c>
      <c r="E1568" s="3" t="s">
        <v>508</v>
      </c>
      <c r="F1568" s="23">
        <v>129999</v>
      </c>
      <c r="G1568" s="15">
        <v>2018</v>
      </c>
      <c r="H1568" s="15">
        <f>Table_7[[#This Row],[Listing Price (USD)]]/10000</f>
        <v>12.9999</v>
      </c>
      <c r="I1568" s="28">
        <f>Table_7[[#This Row],[Length 
(ft)]]</f>
        <v>40</v>
      </c>
      <c r="J1568" s="28">
        <f>2020-Table_7[[#This Row],[Year]]</f>
        <v>2</v>
      </c>
      <c r="K1568">
        <v>9700000000</v>
      </c>
      <c r="L1568">
        <v>26659</v>
      </c>
      <c r="M1568">
        <v>-3.5</v>
      </c>
      <c r="N1568">
        <v>-24.2</v>
      </c>
      <c r="O1568">
        <v>37.08</v>
      </c>
      <c r="P1568">
        <v>902.00199999999995</v>
      </c>
      <c r="Q1568">
        <v>53</v>
      </c>
      <c r="R1568">
        <v>13.78</v>
      </c>
    </row>
    <row r="1569" spans="1:18" x14ac:dyDescent="0.25">
      <c r="A1569" s="1" t="s">
        <v>577</v>
      </c>
      <c r="B1569" s="2" t="s">
        <v>53</v>
      </c>
      <c r="C1569" s="19">
        <v>40</v>
      </c>
      <c r="D1569" s="3" t="s">
        <v>496</v>
      </c>
      <c r="E1569" s="3" t="s">
        <v>31</v>
      </c>
      <c r="F1569" s="23">
        <v>132384</v>
      </c>
      <c r="G1569" s="15">
        <v>2013</v>
      </c>
      <c r="H1569" s="15">
        <f>Table_7[[#This Row],[Listing Price (USD)]]/10000</f>
        <v>13.2384</v>
      </c>
      <c r="I1569" s="28">
        <f>Table_7[[#This Row],[Length 
(ft)]]</f>
        <v>40</v>
      </c>
      <c r="J1569" s="28">
        <f>2020-Table_7[[#This Row],[Year]]</f>
        <v>7</v>
      </c>
      <c r="K1569">
        <v>57472012426.685303</v>
      </c>
      <c r="L1569">
        <v>14198.753959474399</v>
      </c>
      <c r="M1569">
        <v>0.15481137456202801</v>
      </c>
      <c r="N1569">
        <v>-8.5803430210621805</v>
      </c>
      <c r="O1569">
        <v>37.08</v>
      </c>
      <c r="P1569">
        <v>902.00199999999995</v>
      </c>
      <c r="Q1569">
        <v>53</v>
      </c>
      <c r="R1569">
        <v>13.78</v>
      </c>
    </row>
    <row r="1570" spans="1:18" x14ac:dyDescent="0.25">
      <c r="A1570" s="1" t="s">
        <v>577</v>
      </c>
      <c r="B1570" s="3" t="s">
        <v>53</v>
      </c>
      <c r="C1570" s="19">
        <v>40</v>
      </c>
      <c r="D1570" s="3" t="s">
        <v>497</v>
      </c>
      <c r="E1570" s="3" t="s">
        <v>370</v>
      </c>
      <c r="F1570" s="23">
        <v>139000</v>
      </c>
      <c r="G1570" s="15">
        <v>2015</v>
      </c>
      <c r="H1570" s="15">
        <f>Table_7[[#This Row],[Listing Price (USD)]]/10000</f>
        <v>13.9</v>
      </c>
      <c r="I1570" s="28">
        <f>Table_7[[#This Row],[Length 
(ft)]]</f>
        <v>40</v>
      </c>
      <c r="J1570" s="28">
        <f>2020-Table_7[[#This Row],[Year]]</f>
        <v>5</v>
      </c>
      <c r="K1570">
        <v>500000000</v>
      </c>
      <c r="L1570">
        <v>34200</v>
      </c>
      <c r="M1570">
        <v>1.1000000000000001</v>
      </c>
      <c r="N1570">
        <v>2</v>
      </c>
      <c r="O1570">
        <v>37.08</v>
      </c>
      <c r="P1570">
        <v>902.00199999999995</v>
      </c>
      <c r="Q1570">
        <v>53</v>
      </c>
      <c r="R1570">
        <v>13.78</v>
      </c>
    </row>
    <row r="1571" spans="1:18" x14ac:dyDescent="0.25">
      <c r="A1571" s="1" t="s">
        <v>577</v>
      </c>
      <c r="B1571" s="3" t="s">
        <v>53</v>
      </c>
      <c r="C1571" s="19">
        <v>40</v>
      </c>
      <c r="D1571" s="3" t="s">
        <v>497</v>
      </c>
      <c r="E1571" s="3" t="s">
        <v>483</v>
      </c>
      <c r="F1571" s="23">
        <v>139000</v>
      </c>
      <c r="G1571" s="15">
        <v>2012</v>
      </c>
      <c r="H1571" s="15">
        <f>Table_7[[#This Row],[Listing Price (USD)]]/10000</f>
        <v>13.9</v>
      </c>
      <c r="I1571" s="28">
        <f>Table_7[[#This Row],[Length 
(ft)]]</f>
        <v>40</v>
      </c>
      <c r="J1571" s="28">
        <f>2020-Table_7[[#This Row],[Year]]</f>
        <v>8</v>
      </c>
      <c r="K1571">
        <v>4200000000</v>
      </c>
      <c r="L1571">
        <v>39553.199999999997</v>
      </c>
      <c r="M1571">
        <v>2.5</v>
      </c>
      <c r="N1571">
        <v>-2.1</v>
      </c>
      <c r="O1571">
        <v>37.08</v>
      </c>
      <c r="P1571">
        <v>902.00199999999995</v>
      </c>
      <c r="Q1571">
        <v>53</v>
      </c>
      <c r="R1571">
        <v>13.78</v>
      </c>
    </row>
    <row r="1572" spans="1:18" x14ac:dyDescent="0.25">
      <c r="A1572" s="1" t="s">
        <v>577</v>
      </c>
      <c r="B1572" s="2" t="s">
        <v>53</v>
      </c>
      <c r="C1572" s="19">
        <v>40</v>
      </c>
      <c r="D1572" s="3" t="s">
        <v>496</v>
      </c>
      <c r="E1572" s="3" t="s">
        <v>3</v>
      </c>
      <c r="F1572" s="23">
        <v>145801</v>
      </c>
      <c r="G1572" s="15">
        <v>2012</v>
      </c>
      <c r="H1572" s="15">
        <f>Table_7[[#This Row],[Listing Price (USD)]]/10000</f>
        <v>14.5801</v>
      </c>
      <c r="I1572" s="28">
        <f>Table_7[[#This Row],[Length 
(ft)]]</f>
        <v>40</v>
      </c>
      <c r="J1572" s="28">
        <f>2020-Table_7[[#This Row],[Year]]</f>
        <v>8</v>
      </c>
      <c r="K1572">
        <v>2639008701648.2598</v>
      </c>
      <c r="L1572">
        <v>39055.282928075401</v>
      </c>
      <c r="M1572">
        <v>0.47649885272508302</v>
      </c>
      <c r="N1572">
        <v>-7.7845864916787102</v>
      </c>
      <c r="O1572">
        <v>37.08</v>
      </c>
      <c r="P1572">
        <v>902.00199999999995</v>
      </c>
      <c r="Q1572">
        <v>53</v>
      </c>
      <c r="R1572">
        <v>13.78</v>
      </c>
    </row>
    <row r="1573" spans="1:18" x14ac:dyDescent="0.25">
      <c r="A1573" s="1" t="s">
        <v>45</v>
      </c>
      <c r="B1573" s="3" t="s">
        <v>53</v>
      </c>
      <c r="C1573" s="19">
        <v>40</v>
      </c>
      <c r="D1573" s="3" t="s">
        <v>497</v>
      </c>
      <c r="E1573" s="3" t="s">
        <v>370</v>
      </c>
      <c r="F1573" s="23">
        <v>149000</v>
      </c>
      <c r="G1573" s="15">
        <v>2016</v>
      </c>
      <c r="H1573" s="15">
        <f>Table_7[[#This Row],[Listing Price (USD)]]/10000</f>
        <v>14.9</v>
      </c>
      <c r="I1573" s="28">
        <f>Table_7[[#This Row],[Length 
(ft)]]</f>
        <v>40</v>
      </c>
      <c r="J1573" s="28">
        <f>2020-Table_7[[#This Row],[Year]]</f>
        <v>4</v>
      </c>
      <c r="K1573">
        <v>500000000</v>
      </c>
      <c r="L1573">
        <v>34200</v>
      </c>
      <c r="M1573">
        <v>1.1000000000000001</v>
      </c>
      <c r="N1573">
        <v>2</v>
      </c>
      <c r="O1573">
        <v>37.08</v>
      </c>
      <c r="P1573">
        <v>902.00199999999995</v>
      </c>
      <c r="Q1573">
        <v>53</v>
      </c>
      <c r="R1573">
        <v>13.78</v>
      </c>
    </row>
    <row r="1574" spans="1:18" x14ac:dyDescent="0.25">
      <c r="A1574" s="1" t="s">
        <v>577</v>
      </c>
      <c r="B1574" s="3" t="s">
        <v>53</v>
      </c>
      <c r="C1574" s="19">
        <v>40</v>
      </c>
      <c r="D1574" s="3" t="s">
        <v>497</v>
      </c>
      <c r="E1574" s="3" t="s">
        <v>370</v>
      </c>
      <c r="F1574" s="23">
        <v>155000</v>
      </c>
      <c r="G1574" s="15">
        <v>2015</v>
      </c>
      <c r="H1574" s="15">
        <f>Table_7[[#This Row],[Listing Price (USD)]]/10000</f>
        <v>15.5</v>
      </c>
      <c r="I1574" s="28">
        <f>Table_7[[#This Row],[Length 
(ft)]]</f>
        <v>40</v>
      </c>
      <c r="J1574" s="28">
        <f>2020-Table_7[[#This Row],[Year]]</f>
        <v>5</v>
      </c>
      <c r="K1574">
        <v>500000000</v>
      </c>
      <c r="L1574">
        <v>34200</v>
      </c>
      <c r="M1574">
        <v>1.1000000000000001</v>
      </c>
      <c r="N1574">
        <v>2</v>
      </c>
      <c r="O1574">
        <v>37.08</v>
      </c>
      <c r="P1574">
        <v>902.00199999999995</v>
      </c>
      <c r="Q1574">
        <v>53</v>
      </c>
      <c r="R1574">
        <v>13.78</v>
      </c>
    </row>
    <row r="1575" spans="1:18" x14ac:dyDescent="0.25">
      <c r="A1575" s="1" t="s">
        <v>577</v>
      </c>
      <c r="B1575" s="3" t="s">
        <v>53</v>
      </c>
      <c r="C1575" s="19">
        <v>40</v>
      </c>
      <c r="D1575" s="3" t="s">
        <v>497</v>
      </c>
      <c r="E1575" s="3" t="s">
        <v>370</v>
      </c>
      <c r="F1575" s="23">
        <v>159000</v>
      </c>
      <c r="G1575" s="15">
        <v>2016</v>
      </c>
      <c r="H1575" s="15">
        <f>Table_7[[#This Row],[Listing Price (USD)]]/10000</f>
        <v>15.9</v>
      </c>
      <c r="I1575" s="28">
        <f>Table_7[[#This Row],[Length 
(ft)]]</f>
        <v>40</v>
      </c>
      <c r="J1575" s="28">
        <f>2020-Table_7[[#This Row],[Year]]</f>
        <v>4</v>
      </c>
      <c r="K1575">
        <v>500000000</v>
      </c>
      <c r="L1575">
        <v>34200</v>
      </c>
      <c r="M1575">
        <v>1.1000000000000001</v>
      </c>
      <c r="N1575">
        <v>2</v>
      </c>
      <c r="O1575">
        <v>37.08</v>
      </c>
      <c r="P1575">
        <v>902.00199999999995</v>
      </c>
      <c r="Q1575">
        <v>53</v>
      </c>
      <c r="R1575">
        <v>13.78</v>
      </c>
    </row>
    <row r="1576" spans="1:18" x14ac:dyDescent="0.25">
      <c r="A1576" s="1" t="s">
        <v>577</v>
      </c>
      <c r="B1576" s="3" t="s">
        <v>53</v>
      </c>
      <c r="C1576" s="19">
        <v>40</v>
      </c>
      <c r="D1576" s="3" t="s">
        <v>497</v>
      </c>
      <c r="E1576" s="3" t="s">
        <v>370</v>
      </c>
      <c r="F1576" s="23">
        <v>159995</v>
      </c>
      <c r="G1576" s="15">
        <v>2017</v>
      </c>
      <c r="H1576" s="15">
        <f>Table_7[[#This Row],[Listing Price (USD)]]/10000</f>
        <v>15.999499999999999</v>
      </c>
      <c r="I1576" s="28">
        <f>Table_7[[#This Row],[Length 
(ft)]]</f>
        <v>40</v>
      </c>
      <c r="J1576" s="28">
        <f>2020-Table_7[[#This Row],[Year]]</f>
        <v>3</v>
      </c>
      <c r="K1576">
        <v>500000000</v>
      </c>
      <c r="L1576">
        <v>34200</v>
      </c>
      <c r="M1576">
        <v>1.1000000000000001</v>
      </c>
      <c r="N1576">
        <v>2</v>
      </c>
      <c r="O1576">
        <v>37.08</v>
      </c>
      <c r="P1576">
        <v>902.00199999999995</v>
      </c>
      <c r="Q1576">
        <v>53</v>
      </c>
      <c r="R1576">
        <v>13.78</v>
      </c>
    </row>
    <row r="1577" spans="1:18" x14ac:dyDescent="0.25">
      <c r="A1577" s="1" t="s">
        <v>577</v>
      </c>
      <c r="B1577" s="2" t="s">
        <v>53</v>
      </c>
      <c r="C1577" s="19">
        <v>40</v>
      </c>
      <c r="D1577" s="3" t="s">
        <v>496</v>
      </c>
      <c r="E1577" s="3" t="s">
        <v>9</v>
      </c>
      <c r="F1577" s="23">
        <v>163863</v>
      </c>
      <c r="G1577" s="15">
        <v>2012</v>
      </c>
      <c r="H1577" s="15">
        <f>Table_7[[#This Row],[Listing Price (USD)]]/10000</f>
        <v>16.386299999999999</v>
      </c>
      <c r="I1577" s="28">
        <f>Table_7[[#This Row],[Length 
(ft)]]</f>
        <v>40</v>
      </c>
      <c r="J1577" s="28">
        <f>2020-Table_7[[#This Row],[Year]]</f>
        <v>8</v>
      </c>
      <c r="K1577">
        <v>1276962685648.25</v>
      </c>
      <c r="L1577">
        <v>26959.675436732599</v>
      </c>
      <c r="M1577">
        <v>-0.32275301729970501</v>
      </c>
      <c r="N1577">
        <v>-11.3254383222864</v>
      </c>
      <c r="O1577">
        <v>37.08</v>
      </c>
      <c r="P1577">
        <v>902.00199999999995</v>
      </c>
      <c r="Q1577">
        <v>53</v>
      </c>
      <c r="R1577">
        <v>13.78</v>
      </c>
    </row>
    <row r="1578" spans="1:18" x14ac:dyDescent="0.25">
      <c r="A1578" s="1" t="s">
        <v>577</v>
      </c>
      <c r="B1578" s="3" t="s">
        <v>53</v>
      </c>
      <c r="C1578" s="19">
        <v>40</v>
      </c>
      <c r="D1578" s="3" t="s">
        <v>497</v>
      </c>
      <c r="E1578" s="3" t="s">
        <v>508</v>
      </c>
      <c r="F1578" s="23">
        <v>169999</v>
      </c>
      <c r="G1578" s="15">
        <v>2018</v>
      </c>
      <c r="H1578" s="15">
        <f>Table_7[[#This Row],[Listing Price (USD)]]/10000</f>
        <v>16.9999</v>
      </c>
      <c r="I1578" s="28">
        <f>Table_7[[#This Row],[Length 
(ft)]]</f>
        <v>40</v>
      </c>
      <c r="J1578" s="28">
        <f>2020-Table_7[[#This Row],[Year]]</f>
        <v>2</v>
      </c>
      <c r="K1578">
        <v>9700000000</v>
      </c>
      <c r="L1578">
        <v>26659</v>
      </c>
      <c r="M1578">
        <v>-3.5</v>
      </c>
      <c r="N1578">
        <v>-24.2</v>
      </c>
      <c r="O1578">
        <v>37.08</v>
      </c>
      <c r="P1578">
        <v>902.00199999999995</v>
      </c>
      <c r="Q1578">
        <v>53</v>
      </c>
      <c r="R1578">
        <v>13.78</v>
      </c>
    </row>
    <row r="1579" spans="1:18" x14ac:dyDescent="0.25">
      <c r="A1579" s="1" t="s">
        <v>577</v>
      </c>
      <c r="B1579" s="3" t="s">
        <v>53</v>
      </c>
      <c r="C1579" s="19">
        <v>40</v>
      </c>
      <c r="D1579" s="3" t="s">
        <v>495</v>
      </c>
      <c r="E1579" s="3" t="s">
        <v>552</v>
      </c>
      <c r="F1579" s="23">
        <v>174900</v>
      </c>
      <c r="G1579" s="15">
        <v>2014</v>
      </c>
      <c r="H1579" s="15">
        <f>Table_7[[#This Row],[Listing Price (USD)]]/10000</f>
        <v>17.489999999999998</v>
      </c>
      <c r="I1579" s="28">
        <f>Table_7[[#This Row],[Length 
(ft)]]</f>
        <v>40</v>
      </c>
      <c r="J1579" s="28">
        <f>2020-Table_7[[#This Row],[Year]]</f>
        <v>6</v>
      </c>
      <c r="K1579">
        <v>244882000000</v>
      </c>
      <c r="L1579">
        <v>47728.44</v>
      </c>
      <c r="M1579">
        <v>1.23</v>
      </c>
      <c r="N1579">
        <v>2.5</v>
      </c>
      <c r="O1579">
        <v>37.08</v>
      </c>
      <c r="P1579">
        <v>902.00199999999995</v>
      </c>
      <c r="Q1579">
        <v>53</v>
      </c>
      <c r="R1579">
        <v>13.78</v>
      </c>
    </row>
    <row r="1580" spans="1:18" x14ac:dyDescent="0.25">
      <c r="A1580" s="1" t="s">
        <v>577</v>
      </c>
      <c r="B1580" s="3" t="s">
        <v>53</v>
      </c>
      <c r="C1580" s="19">
        <v>40</v>
      </c>
      <c r="D1580" s="3" t="s">
        <v>495</v>
      </c>
      <c r="E1580" s="3" t="s">
        <v>518</v>
      </c>
      <c r="F1580" s="23">
        <v>199500</v>
      </c>
      <c r="G1580" s="15">
        <v>2012</v>
      </c>
      <c r="H1580" s="15">
        <f>Table_7[[#This Row],[Listing Price (USD)]]/10000</f>
        <v>19.95</v>
      </c>
      <c r="I1580" s="28">
        <f>Table_7[[#This Row],[Length 
(ft)]]</f>
        <v>40</v>
      </c>
      <c r="J1580" s="28">
        <f>2020-Table_7[[#This Row],[Year]]</f>
        <v>8</v>
      </c>
      <c r="K1580">
        <v>1724759000000</v>
      </c>
      <c r="L1580">
        <v>85575.039999999994</v>
      </c>
      <c r="M1580">
        <v>1.23</v>
      </c>
      <c r="N1580">
        <v>3.8</v>
      </c>
      <c r="O1580">
        <v>37.08</v>
      </c>
      <c r="P1580">
        <v>902.00199999999995</v>
      </c>
      <c r="Q1580">
        <v>53</v>
      </c>
      <c r="R1580">
        <v>13.78</v>
      </c>
    </row>
    <row r="1581" spans="1:18" x14ac:dyDescent="0.25">
      <c r="A1581" s="1" t="s">
        <v>577</v>
      </c>
      <c r="B1581" s="2" t="s">
        <v>53</v>
      </c>
      <c r="C1581" s="19">
        <v>40</v>
      </c>
      <c r="D1581" s="3" t="s">
        <v>496</v>
      </c>
      <c r="E1581" s="3" t="s">
        <v>31</v>
      </c>
      <c r="F1581" s="23">
        <v>205284</v>
      </c>
      <c r="G1581" s="15">
        <v>2015</v>
      </c>
      <c r="H1581" s="15">
        <f>Table_7[[#This Row],[Listing Price (USD)]]/10000</f>
        <v>20.528400000000001</v>
      </c>
      <c r="I1581" s="28">
        <f>Table_7[[#This Row],[Length 
(ft)]]</f>
        <v>40</v>
      </c>
      <c r="J1581" s="28">
        <f>2020-Table_7[[#This Row],[Year]]</f>
        <v>5</v>
      </c>
      <c r="K1581">
        <v>57472012426.685303</v>
      </c>
      <c r="L1581">
        <v>14198.753959474399</v>
      </c>
      <c r="M1581">
        <v>0.15481137456202801</v>
      </c>
      <c r="N1581">
        <v>-8.5803430210621805</v>
      </c>
      <c r="O1581">
        <v>37.08</v>
      </c>
      <c r="P1581">
        <v>902.00199999999995</v>
      </c>
      <c r="Q1581">
        <v>53</v>
      </c>
      <c r="R1581">
        <v>13.78</v>
      </c>
    </row>
    <row r="1582" spans="1:18" x14ac:dyDescent="0.25">
      <c r="A1582" s="1" t="s">
        <v>577</v>
      </c>
      <c r="B1582" s="3" t="s">
        <v>53</v>
      </c>
      <c r="C1582" s="19">
        <v>40</v>
      </c>
      <c r="D1582" s="3" t="s">
        <v>495</v>
      </c>
      <c r="E1582" s="3" t="s">
        <v>333</v>
      </c>
      <c r="F1582" s="23">
        <v>210000</v>
      </c>
      <c r="G1582" s="15">
        <v>2013</v>
      </c>
      <c r="H1582" s="15">
        <f>Table_7[[#This Row],[Listing Price (USD)]]/10000</f>
        <v>21</v>
      </c>
      <c r="I1582" s="28">
        <f>Table_7[[#This Row],[Length 
(ft)]]</f>
        <v>40</v>
      </c>
      <c r="J1582" s="28">
        <f>2020-Table_7[[#This Row],[Year]]</f>
        <v>7</v>
      </c>
      <c r="K1582">
        <v>1106036000000</v>
      </c>
      <c r="L1582">
        <v>51276.72</v>
      </c>
      <c r="M1582">
        <v>1.23</v>
      </c>
      <c r="N1582">
        <v>2.9</v>
      </c>
      <c r="O1582">
        <v>37.08</v>
      </c>
      <c r="P1582">
        <v>902.00199999999995</v>
      </c>
      <c r="Q1582">
        <v>53</v>
      </c>
      <c r="R1582">
        <v>13.78</v>
      </c>
    </row>
    <row r="1583" spans="1:18" x14ac:dyDescent="0.25">
      <c r="A1583" s="1" t="s">
        <v>577</v>
      </c>
      <c r="B1583" s="3" t="s">
        <v>53</v>
      </c>
      <c r="C1583" s="19">
        <v>40</v>
      </c>
      <c r="D1583" s="3" t="s">
        <v>495</v>
      </c>
      <c r="E1583" s="3" t="s">
        <v>518</v>
      </c>
      <c r="F1583" s="23">
        <v>219000</v>
      </c>
      <c r="G1583" s="15">
        <v>2013</v>
      </c>
      <c r="H1583" s="15">
        <f>Table_7[[#This Row],[Listing Price (USD)]]/10000</f>
        <v>21.9</v>
      </c>
      <c r="I1583" s="28">
        <f>Table_7[[#This Row],[Length 
(ft)]]</f>
        <v>40</v>
      </c>
      <c r="J1583" s="28">
        <f>2020-Table_7[[#This Row],[Year]]</f>
        <v>7</v>
      </c>
      <c r="K1583">
        <v>1724759000000</v>
      </c>
      <c r="L1583">
        <v>85575.039999999994</v>
      </c>
      <c r="M1583">
        <v>1.23</v>
      </c>
      <c r="N1583">
        <v>3.8</v>
      </c>
      <c r="O1583">
        <v>37.08</v>
      </c>
      <c r="P1583">
        <v>902.00199999999995</v>
      </c>
      <c r="Q1583">
        <v>53</v>
      </c>
      <c r="R1583">
        <v>13.78</v>
      </c>
    </row>
    <row r="1584" spans="1:18" x14ac:dyDescent="0.25">
      <c r="A1584" s="1" t="s">
        <v>577</v>
      </c>
      <c r="B1584" s="3" t="s">
        <v>53</v>
      </c>
      <c r="C1584" s="19">
        <v>40</v>
      </c>
      <c r="D1584" s="3" t="s">
        <v>495</v>
      </c>
      <c r="E1584" s="3" t="s">
        <v>554</v>
      </c>
      <c r="F1584" s="23">
        <v>219000</v>
      </c>
      <c r="G1584" s="15">
        <v>2015</v>
      </c>
      <c r="H1584" s="15">
        <f>Table_7[[#This Row],[Listing Price (USD)]]/10000</f>
        <v>21.9</v>
      </c>
      <c r="I1584" s="28">
        <f>Table_7[[#This Row],[Length 
(ft)]]</f>
        <v>40</v>
      </c>
      <c r="J1584" s="28">
        <f>2020-Table_7[[#This Row],[Year]]</f>
        <v>5</v>
      </c>
      <c r="K1584">
        <v>4200000000</v>
      </c>
      <c r="L1584">
        <v>39553.199999999997</v>
      </c>
      <c r="M1584">
        <v>4.0999999999999996</v>
      </c>
      <c r="N1584">
        <v>-2.1</v>
      </c>
      <c r="O1584">
        <v>37.08</v>
      </c>
      <c r="P1584">
        <v>902.00199999999995</v>
      </c>
      <c r="Q1584">
        <v>53</v>
      </c>
      <c r="R1584">
        <v>13.78</v>
      </c>
    </row>
    <row r="1585" spans="1:18" x14ac:dyDescent="0.25">
      <c r="A1585" s="1" t="s">
        <v>577</v>
      </c>
      <c r="B1585" s="3" t="s">
        <v>53</v>
      </c>
      <c r="C1585" s="19">
        <v>40</v>
      </c>
      <c r="D1585" s="3" t="s">
        <v>495</v>
      </c>
      <c r="E1585" s="3" t="s">
        <v>500</v>
      </c>
      <c r="F1585" s="23">
        <v>219500</v>
      </c>
      <c r="G1585" s="15">
        <v>2013</v>
      </c>
      <c r="H1585" s="15">
        <f>Table_7[[#This Row],[Listing Price (USD)]]/10000</f>
        <v>21.95</v>
      </c>
      <c r="I1585" s="28">
        <f>Table_7[[#This Row],[Length 
(ft)]]</f>
        <v>40</v>
      </c>
      <c r="J1585" s="28">
        <f>2020-Table_7[[#This Row],[Year]]</f>
        <v>7</v>
      </c>
      <c r="K1585">
        <v>3007188000000</v>
      </c>
      <c r="L1585">
        <v>76131.839999999997</v>
      </c>
      <c r="M1585">
        <v>1.23</v>
      </c>
      <c r="N1585">
        <v>2.7</v>
      </c>
      <c r="O1585">
        <v>37.08</v>
      </c>
      <c r="P1585">
        <v>902.00199999999995</v>
      </c>
      <c r="Q1585">
        <v>53</v>
      </c>
      <c r="R1585">
        <v>13.78</v>
      </c>
    </row>
    <row r="1586" spans="1:18" x14ac:dyDescent="0.25">
      <c r="A1586" s="1" t="s">
        <v>577</v>
      </c>
      <c r="B1586" s="3" t="s">
        <v>53</v>
      </c>
      <c r="C1586" s="19">
        <v>40</v>
      </c>
      <c r="D1586" s="3" t="s">
        <v>495</v>
      </c>
      <c r="E1586" s="3" t="s">
        <v>515</v>
      </c>
      <c r="F1586" s="23">
        <v>229000</v>
      </c>
      <c r="G1586" s="15">
        <v>2013</v>
      </c>
      <c r="H1586" s="15">
        <f>Table_7[[#This Row],[Listing Price (USD)]]/10000</f>
        <v>22.9</v>
      </c>
      <c r="I1586" s="28">
        <f>Table_7[[#This Row],[Length 
(ft)]]</f>
        <v>40</v>
      </c>
      <c r="J1586" s="28">
        <f>2020-Table_7[[#This Row],[Year]]</f>
        <v>7</v>
      </c>
      <c r="K1586">
        <v>410675000000</v>
      </c>
      <c r="L1586">
        <v>66531.03</v>
      </c>
      <c r="M1586">
        <v>1.23</v>
      </c>
      <c r="N1586">
        <v>1.8</v>
      </c>
      <c r="O1586">
        <v>37.08</v>
      </c>
      <c r="P1586">
        <v>902.00199999999995</v>
      </c>
      <c r="Q1586">
        <v>53</v>
      </c>
      <c r="R1586">
        <v>13.78</v>
      </c>
    </row>
    <row r="1587" spans="1:18" x14ac:dyDescent="0.25">
      <c r="A1587" s="1" t="s">
        <v>577</v>
      </c>
      <c r="B1587" s="3" t="s">
        <v>53</v>
      </c>
      <c r="C1587" s="19">
        <v>40</v>
      </c>
      <c r="D1587" s="3" t="s">
        <v>495</v>
      </c>
      <c r="E1587" s="3" t="s">
        <v>515</v>
      </c>
      <c r="F1587" s="23">
        <v>230000</v>
      </c>
      <c r="G1587" s="15">
        <v>2015</v>
      </c>
      <c r="H1587" s="15">
        <f>Table_7[[#This Row],[Listing Price (USD)]]/10000</f>
        <v>23</v>
      </c>
      <c r="I1587" s="28">
        <f>Table_7[[#This Row],[Length 
(ft)]]</f>
        <v>40</v>
      </c>
      <c r="J1587" s="28">
        <f>2020-Table_7[[#This Row],[Year]]</f>
        <v>5</v>
      </c>
      <c r="K1587">
        <v>410675000000</v>
      </c>
      <c r="L1587">
        <v>66531.03</v>
      </c>
      <c r="M1587">
        <v>1.23</v>
      </c>
      <c r="N1587">
        <v>1.8</v>
      </c>
      <c r="O1587">
        <v>37.08</v>
      </c>
      <c r="P1587">
        <v>902.00199999999995</v>
      </c>
      <c r="Q1587">
        <v>53</v>
      </c>
      <c r="R1587">
        <v>13.78</v>
      </c>
    </row>
    <row r="1588" spans="1:18" x14ac:dyDescent="0.25">
      <c r="A1588" s="1" t="s">
        <v>577</v>
      </c>
      <c r="B1588" s="3" t="s">
        <v>53</v>
      </c>
      <c r="C1588" s="19">
        <v>40</v>
      </c>
      <c r="D1588" s="3" t="s">
        <v>495</v>
      </c>
      <c r="E1588" s="3" t="s">
        <v>548</v>
      </c>
      <c r="F1588" s="23">
        <v>239900</v>
      </c>
      <c r="G1588" s="15">
        <v>2015</v>
      </c>
      <c r="H1588" s="15">
        <f>Table_7[[#This Row],[Listing Price (USD)]]/10000</f>
        <v>23.99</v>
      </c>
      <c r="I1588" s="28">
        <f>Table_7[[#This Row],[Length 
(ft)]]</f>
        <v>40</v>
      </c>
      <c r="J1588" s="28">
        <f>2020-Table_7[[#This Row],[Year]]</f>
        <v>5</v>
      </c>
      <c r="K1588">
        <v>618579000000</v>
      </c>
      <c r="L1588">
        <v>66659.100000000006</v>
      </c>
      <c r="M1588">
        <v>1.23</v>
      </c>
      <c r="N1588">
        <v>1.8</v>
      </c>
      <c r="O1588">
        <v>37.08</v>
      </c>
      <c r="P1588">
        <v>902.00199999999995</v>
      </c>
      <c r="Q1588">
        <v>53</v>
      </c>
      <c r="R1588">
        <v>13.78</v>
      </c>
    </row>
    <row r="1589" spans="1:18" x14ac:dyDescent="0.25">
      <c r="A1589" s="1" t="s">
        <v>577</v>
      </c>
      <c r="B1589" s="3" t="s">
        <v>53</v>
      </c>
      <c r="C1589" s="19">
        <v>40</v>
      </c>
      <c r="D1589" s="3" t="s">
        <v>495</v>
      </c>
      <c r="E1589" s="3" t="s">
        <v>500</v>
      </c>
      <c r="F1589" s="23">
        <v>244900</v>
      </c>
      <c r="G1589" s="15">
        <v>2015</v>
      </c>
      <c r="H1589" s="15">
        <f>Table_7[[#This Row],[Listing Price (USD)]]/10000</f>
        <v>24.49</v>
      </c>
      <c r="I1589" s="28">
        <f>Table_7[[#This Row],[Length 
(ft)]]</f>
        <v>40</v>
      </c>
      <c r="J1589" s="28">
        <f>2020-Table_7[[#This Row],[Year]]</f>
        <v>5</v>
      </c>
      <c r="K1589">
        <v>3007188000000</v>
      </c>
      <c r="L1589">
        <v>76131.839999999997</v>
      </c>
      <c r="M1589">
        <v>1.23</v>
      </c>
      <c r="N1589">
        <v>2.7</v>
      </c>
      <c r="O1589">
        <v>37.08</v>
      </c>
      <c r="P1589">
        <v>902.00199999999995</v>
      </c>
      <c r="Q1589">
        <v>53</v>
      </c>
      <c r="R1589">
        <v>13.78</v>
      </c>
    </row>
    <row r="1590" spans="1:18" x14ac:dyDescent="0.25">
      <c r="A1590" s="1" t="s">
        <v>577</v>
      </c>
      <c r="B1590" s="3" t="s">
        <v>53</v>
      </c>
      <c r="C1590" s="19">
        <v>40</v>
      </c>
      <c r="D1590" s="3" t="s">
        <v>497</v>
      </c>
      <c r="E1590" s="3" t="s">
        <v>483</v>
      </c>
      <c r="F1590" s="23">
        <v>253837</v>
      </c>
      <c r="G1590" s="15">
        <v>2016</v>
      </c>
      <c r="H1590" s="15">
        <f>Table_7[[#This Row],[Listing Price (USD)]]/10000</f>
        <v>25.383700000000001</v>
      </c>
      <c r="I1590" s="28">
        <f>Table_7[[#This Row],[Length 
(ft)]]</f>
        <v>40</v>
      </c>
      <c r="J1590" s="28">
        <f>2020-Table_7[[#This Row],[Year]]</f>
        <v>4</v>
      </c>
      <c r="K1590">
        <v>4200000000</v>
      </c>
      <c r="L1590">
        <v>39553.199999999997</v>
      </c>
      <c r="M1590">
        <v>2.5</v>
      </c>
      <c r="N1590">
        <v>-2.1</v>
      </c>
      <c r="O1590">
        <v>37.08</v>
      </c>
      <c r="P1590">
        <v>902.00199999999995</v>
      </c>
      <c r="Q1590">
        <v>53</v>
      </c>
      <c r="R1590">
        <v>13.78</v>
      </c>
    </row>
    <row r="1591" spans="1:18" x14ac:dyDescent="0.25">
      <c r="A1591" s="1" t="s">
        <v>577</v>
      </c>
      <c r="B1591" s="2" t="s">
        <v>53</v>
      </c>
      <c r="C1591" s="19">
        <v>40</v>
      </c>
      <c r="D1591" s="3" t="s">
        <v>496</v>
      </c>
      <c r="E1591" s="3" t="s">
        <v>9</v>
      </c>
      <c r="F1591" s="23">
        <v>267233</v>
      </c>
      <c r="G1591" s="15">
        <v>2015</v>
      </c>
      <c r="H1591" s="15">
        <f>Table_7[[#This Row],[Listing Price (USD)]]/10000</f>
        <v>26.723299999999998</v>
      </c>
      <c r="I1591" s="28">
        <f>Table_7[[#This Row],[Length 
(ft)]]</f>
        <v>40</v>
      </c>
      <c r="J1591" s="28">
        <f>2020-Table_7[[#This Row],[Year]]</f>
        <v>5</v>
      </c>
      <c r="K1591">
        <v>1276962685648.25</v>
      </c>
      <c r="L1591">
        <v>26959.675436732599</v>
      </c>
      <c r="M1591">
        <v>-0.32275301729970501</v>
      </c>
      <c r="N1591">
        <v>-11.3254383222864</v>
      </c>
      <c r="O1591">
        <v>37.08</v>
      </c>
      <c r="P1591">
        <v>902.00199999999995</v>
      </c>
      <c r="Q1591">
        <v>53</v>
      </c>
      <c r="R1591">
        <v>13.78</v>
      </c>
    </row>
    <row r="1592" spans="1:18" x14ac:dyDescent="0.25">
      <c r="A1592" s="1" t="s">
        <v>45</v>
      </c>
      <c r="B1592" s="3" t="s">
        <v>324</v>
      </c>
      <c r="C1592" s="19">
        <v>40</v>
      </c>
      <c r="D1592" s="3" t="s">
        <v>495</v>
      </c>
      <c r="E1592" s="3" t="s">
        <v>500</v>
      </c>
      <c r="F1592" s="23">
        <v>220000</v>
      </c>
      <c r="G1592" s="15">
        <v>2013</v>
      </c>
      <c r="H1592" s="15">
        <f>Table_7[[#This Row],[Listing Price (USD)]]/10000</f>
        <v>22</v>
      </c>
      <c r="I1592" s="28">
        <f>Table_7[[#This Row],[Length 
(ft)]]</f>
        <v>40</v>
      </c>
      <c r="J1592" s="28">
        <f>2020-Table_7[[#This Row],[Year]]</f>
        <v>7</v>
      </c>
      <c r="K1592">
        <v>3007188000000</v>
      </c>
      <c r="L1592">
        <v>76131.839999999997</v>
      </c>
      <c r="M1592">
        <v>1.23</v>
      </c>
      <c r="N1592">
        <v>2.7</v>
      </c>
      <c r="O1592">
        <v>37.08</v>
      </c>
      <c r="P1592">
        <v>902.00199999999995</v>
      </c>
      <c r="Q1592">
        <v>53</v>
      </c>
      <c r="R1592">
        <v>13.78</v>
      </c>
    </row>
    <row r="1593" spans="1:18" x14ac:dyDescent="0.25">
      <c r="A1593" s="1" t="s">
        <v>45</v>
      </c>
      <c r="B1593" s="3" t="s">
        <v>54</v>
      </c>
      <c r="C1593" s="19">
        <v>40</v>
      </c>
      <c r="D1593" s="3" t="s">
        <v>497</v>
      </c>
      <c r="E1593" s="3" t="s">
        <v>508</v>
      </c>
      <c r="F1593" s="23">
        <v>129999</v>
      </c>
      <c r="G1593" s="15">
        <v>2018</v>
      </c>
      <c r="H1593" s="15">
        <f>Table_7[[#This Row],[Listing Price (USD)]]/10000</f>
        <v>12.9999</v>
      </c>
      <c r="I1593" s="28">
        <f>Table_7[[#This Row],[Length 
(ft)]]</f>
        <v>40</v>
      </c>
      <c r="J1593" s="28">
        <f>2020-Table_7[[#This Row],[Year]]</f>
        <v>2</v>
      </c>
      <c r="K1593">
        <v>9700000000</v>
      </c>
      <c r="L1593">
        <v>26659</v>
      </c>
      <c r="M1593">
        <v>-3.5</v>
      </c>
      <c r="N1593">
        <v>-24.2</v>
      </c>
      <c r="O1593">
        <v>37.299999999999997</v>
      </c>
      <c r="P1593">
        <v>882.64200000000005</v>
      </c>
      <c r="Q1593">
        <v>53</v>
      </c>
      <c r="R1593">
        <v>13.78</v>
      </c>
    </row>
    <row r="1594" spans="1:18" x14ac:dyDescent="0.25">
      <c r="A1594" s="1" t="s">
        <v>45</v>
      </c>
      <c r="B1594" s="3" t="s">
        <v>54</v>
      </c>
      <c r="C1594" s="19">
        <v>40</v>
      </c>
      <c r="D1594" s="3" t="s">
        <v>497</v>
      </c>
      <c r="E1594" s="3" t="s">
        <v>508</v>
      </c>
      <c r="F1594" s="23">
        <v>169999</v>
      </c>
      <c r="G1594" s="15">
        <v>2018</v>
      </c>
      <c r="H1594" s="15">
        <f>Table_7[[#This Row],[Listing Price (USD)]]/10000</f>
        <v>16.9999</v>
      </c>
      <c r="I1594" s="28">
        <f>Table_7[[#This Row],[Length 
(ft)]]</f>
        <v>40</v>
      </c>
      <c r="J1594" s="28">
        <f>2020-Table_7[[#This Row],[Year]]</f>
        <v>2</v>
      </c>
      <c r="K1594">
        <v>9700000000</v>
      </c>
      <c r="L1594">
        <v>26659</v>
      </c>
      <c r="M1594">
        <v>-3.5</v>
      </c>
      <c r="N1594">
        <v>-24.2</v>
      </c>
      <c r="O1594">
        <v>37.299999999999997</v>
      </c>
      <c r="P1594">
        <v>882.64200000000005</v>
      </c>
      <c r="Q1594">
        <v>53</v>
      </c>
      <c r="R1594">
        <v>13.78</v>
      </c>
    </row>
    <row r="1595" spans="1:18" x14ac:dyDescent="0.25">
      <c r="A1595" s="1" t="s">
        <v>45</v>
      </c>
      <c r="B1595" s="2" t="s">
        <v>54</v>
      </c>
      <c r="C1595" s="19">
        <v>40</v>
      </c>
      <c r="D1595" s="3" t="s">
        <v>496</v>
      </c>
      <c r="E1595" s="3" t="s">
        <v>18</v>
      </c>
      <c r="F1595" s="23">
        <v>212543</v>
      </c>
      <c r="G1595" s="15">
        <v>2018</v>
      </c>
      <c r="H1595" s="15">
        <f>Table_7[[#This Row],[Listing Price (USD)]]/10000</f>
        <v>21.254300000000001</v>
      </c>
      <c r="I1595" s="28">
        <f>Table_7[[#This Row],[Length 
(ft)]]</f>
        <v>40</v>
      </c>
      <c r="J1595" s="28">
        <f>2020-Table_7[[#This Row],[Year]]</f>
        <v>2</v>
      </c>
      <c r="K1595">
        <v>188925995936.80701</v>
      </c>
      <c r="L1595">
        <v>17658.947301119199</v>
      </c>
      <c r="M1595">
        <v>-1.2479835558140799</v>
      </c>
      <c r="N1595">
        <v>-9.0040436420214593</v>
      </c>
      <c r="O1595">
        <v>37.299999999999997</v>
      </c>
      <c r="P1595">
        <v>882.64200000000005</v>
      </c>
      <c r="Q1595">
        <v>53</v>
      </c>
      <c r="R1595">
        <v>13.78</v>
      </c>
    </row>
    <row r="1596" spans="1:18" x14ac:dyDescent="0.25">
      <c r="A1596" s="1" t="s">
        <v>45</v>
      </c>
      <c r="B1596" s="2" t="s">
        <v>54</v>
      </c>
      <c r="C1596" s="19">
        <v>40</v>
      </c>
      <c r="D1596" s="3" t="s">
        <v>496</v>
      </c>
      <c r="E1596" s="3" t="s">
        <v>3</v>
      </c>
      <c r="F1596" s="23">
        <v>261160</v>
      </c>
      <c r="G1596" s="15">
        <v>2018</v>
      </c>
      <c r="H1596" s="15">
        <f>Table_7[[#This Row],[Listing Price (USD)]]/10000</f>
        <v>26.116</v>
      </c>
      <c r="I1596" s="28">
        <f>Table_7[[#This Row],[Length 
(ft)]]</f>
        <v>40</v>
      </c>
      <c r="J1596" s="28">
        <f>2020-Table_7[[#This Row],[Year]]</f>
        <v>2</v>
      </c>
      <c r="K1596">
        <v>2639008701648.2598</v>
      </c>
      <c r="L1596">
        <v>39055.282928075401</v>
      </c>
      <c r="M1596">
        <v>0.47649885272508302</v>
      </c>
      <c r="N1596">
        <v>-7.7845864916787102</v>
      </c>
      <c r="O1596">
        <v>37.299999999999997</v>
      </c>
      <c r="P1596">
        <v>882.64200000000005</v>
      </c>
      <c r="Q1596">
        <v>53</v>
      </c>
      <c r="R1596">
        <v>13.78</v>
      </c>
    </row>
    <row r="1597" spans="1:18" x14ac:dyDescent="0.25">
      <c r="A1597" s="1" t="s">
        <v>45</v>
      </c>
      <c r="B1597" s="3" t="s">
        <v>54</v>
      </c>
      <c r="C1597" s="19">
        <v>40</v>
      </c>
      <c r="D1597" s="3" t="s">
        <v>495</v>
      </c>
      <c r="E1597" s="3" t="s">
        <v>543</v>
      </c>
      <c r="F1597" s="23">
        <v>274000</v>
      </c>
      <c r="G1597" s="15">
        <v>2017</v>
      </c>
      <c r="H1597" s="15">
        <f>Table_7[[#This Row],[Listing Price (USD)]]/10000</f>
        <v>27.4</v>
      </c>
      <c r="I1597" s="28">
        <f>Table_7[[#This Row],[Length 
(ft)]]</f>
        <v>40</v>
      </c>
      <c r="J1597" s="28">
        <f>2020-Table_7[[#This Row],[Year]]</f>
        <v>3</v>
      </c>
      <c r="K1597">
        <v>235437000000</v>
      </c>
      <c r="L1597">
        <v>50618.06</v>
      </c>
      <c r="M1597">
        <v>1.23</v>
      </c>
      <c r="N1597">
        <v>3.8</v>
      </c>
      <c r="O1597">
        <v>37.299999999999997</v>
      </c>
      <c r="P1597">
        <v>882.64200000000005</v>
      </c>
      <c r="Q1597">
        <v>53</v>
      </c>
      <c r="R1597">
        <v>13.78</v>
      </c>
    </row>
    <row r="1598" spans="1:18" x14ac:dyDescent="0.25">
      <c r="A1598" s="1" t="s">
        <v>45</v>
      </c>
      <c r="B1598" s="2" t="s">
        <v>71</v>
      </c>
      <c r="C1598" s="19">
        <v>47</v>
      </c>
      <c r="D1598" s="3" t="s">
        <v>496</v>
      </c>
      <c r="E1598" s="3" t="s">
        <v>31</v>
      </c>
      <c r="F1598" s="23">
        <v>302459</v>
      </c>
      <c r="G1598" s="15">
        <v>2019</v>
      </c>
      <c r="H1598" s="15">
        <f>Table_7[[#This Row],[Listing Price (USD)]]/10000</f>
        <v>30.245899999999999</v>
      </c>
      <c r="I1598" s="28">
        <f>Table_7[[#This Row],[Length 
(ft)]]</f>
        <v>47</v>
      </c>
      <c r="J1598" s="28">
        <f>2020-Table_7[[#This Row],[Year]]</f>
        <v>1</v>
      </c>
      <c r="K1598">
        <v>57472012426.685303</v>
      </c>
      <c r="L1598">
        <v>14198.753959474399</v>
      </c>
      <c r="M1598">
        <v>0.15481137456202801</v>
      </c>
      <c r="N1598">
        <v>-8.5803430210621805</v>
      </c>
      <c r="O1598">
        <v>43.44</v>
      </c>
      <c r="P1598">
        <v>953.68200000000002</v>
      </c>
      <c r="Q1598">
        <v>53</v>
      </c>
      <c r="R1598">
        <v>14.76</v>
      </c>
    </row>
    <row r="1599" spans="1:18" x14ac:dyDescent="0.25">
      <c r="A1599" s="1" t="s">
        <v>45</v>
      </c>
      <c r="B1599" s="2" t="s">
        <v>71</v>
      </c>
      <c r="C1599" s="19">
        <v>47</v>
      </c>
      <c r="D1599" s="3" t="s">
        <v>496</v>
      </c>
      <c r="E1599" s="3" t="s">
        <v>63</v>
      </c>
      <c r="F1599" s="23">
        <v>340115</v>
      </c>
      <c r="G1599" s="15">
        <v>2019</v>
      </c>
      <c r="H1599" s="15">
        <f>Table_7[[#This Row],[Listing Price (USD)]]/10000</f>
        <v>34.011499999999998</v>
      </c>
      <c r="I1599" s="28">
        <f>Table_7[[#This Row],[Length 
(ft)]]</f>
        <v>47</v>
      </c>
      <c r="J1599" s="28">
        <f>2020-Table_7[[#This Row],[Year]]</f>
        <v>1</v>
      </c>
      <c r="K1599">
        <v>720290000004</v>
      </c>
      <c r="L1599">
        <v>13341.6</v>
      </c>
      <c r="M1599">
        <v>13</v>
      </c>
      <c r="N1599">
        <v>-3</v>
      </c>
      <c r="O1599">
        <v>43.44</v>
      </c>
      <c r="P1599">
        <v>953.68200000000002</v>
      </c>
      <c r="Q1599">
        <v>53</v>
      </c>
      <c r="R1599">
        <v>14.76</v>
      </c>
    </row>
    <row r="1600" spans="1:18" x14ac:dyDescent="0.25">
      <c r="A1600" s="1" t="s">
        <v>45</v>
      </c>
      <c r="B1600" s="2" t="s">
        <v>71</v>
      </c>
      <c r="C1600" s="19">
        <v>47</v>
      </c>
      <c r="D1600" s="3" t="s">
        <v>496</v>
      </c>
      <c r="E1600" s="3" t="s">
        <v>9</v>
      </c>
      <c r="F1600" s="23">
        <v>467004</v>
      </c>
      <c r="G1600" s="15">
        <v>2019</v>
      </c>
      <c r="H1600" s="15">
        <f>Table_7[[#This Row],[Listing Price (USD)]]/10000</f>
        <v>46.700400000000002</v>
      </c>
      <c r="I1600" s="28">
        <f>Table_7[[#This Row],[Length 
(ft)]]</f>
        <v>47</v>
      </c>
      <c r="J1600" s="28">
        <f>2020-Table_7[[#This Row],[Year]]</f>
        <v>1</v>
      </c>
      <c r="K1600">
        <v>1276962685648.25</v>
      </c>
      <c r="L1600">
        <v>26959.675436732599</v>
      </c>
      <c r="M1600">
        <v>-0.32275301729970501</v>
      </c>
      <c r="N1600">
        <v>-11.3254383222864</v>
      </c>
      <c r="O1600">
        <v>43.44</v>
      </c>
      <c r="P1600">
        <v>953.68200000000002</v>
      </c>
      <c r="Q1600">
        <v>53</v>
      </c>
      <c r="R1600">
        <v>14.76</v>
      </c>
    </row>
    <row r="1601" spans="1:18" x14ac:dyDescent="0.25">
      <c r="A1601" s="1" t="s">
        <v>45</v>
      </c>
      <c r="B1601" s="3" t="s">
        <v>71</v>
      </c>
      <c r="C1601" s="19">
        <v>47</v>
      </c>
      <c r="D1601" s="3" t="s">
        <v>495</v>
      </c>
      <c r="E1601" s="3" t="s">
        <v>518</v>
      </c>
      <c r="F1601" s="23">
        <v>469000</v>
      </c>
      <c r="G1601" s="15">
        <v>2019</v>
      </c>
      <c r="H1601" s="15">
        <f>Table_7[[#This Row],[Listing Price (USD)]]/10000</f>
        <v>46.9</v>
      </c>
      <c r="I1601" s="28">
        <f>Table_7[[#This Row],[Length 
(ft)]]</f>
        <v>47</v>
      </c>
      <c r="J1601" s="28">
        <f>2020-Table_7[[#This Row],[Year]]</f>
        <v>1</v>
      </c>
      <c r="K1601">
        <v>1724759000000</v>
      </c>
      <c r="L1601">
        <v>85575.039999999994</v>
      </c>
      <c r="M1601">
        <v>1.23</v>
      </c>
      <c r="N1601">
        <v>3.8</v>
      </c>
      <c r="O1601">
        <v>43.44</v>
      </c>
      <c r="P1601">
        <v>953.68200000000002</v>
      </c>
      <c r="Q1601">
        <v>53</v>
      </c>
      <c r="R1601">
        <v>14.76</v>
      </c>
    </row>
    <row r="1602" spans="1:18" x14ac:dyDescent="0.25">
      <c r="A1602" s="1" t="s">
        <v>45</v>
      </c>
      <c r="B1602" s="3" t="s">
        <v>376</v>
      </c>
      <c r="C1602" s="19">
        <v>51</v>
      </c>
      <c r="D1602" s="3" t="s">
        <v>497</v>
      </c>
      <c r="E1602" s="3" t="s">
        <v>392</v>
      </c>
      <c r="F1602" s="23">
        <v>139000</v>
      </c>
      <c r="G1602" s="15">
        <v>2006</v>
      </c>
      <c r="H1602" s="15">
        <f>Table_7[[#This Row],[Listing Price (USD)]]/10000</f>
        <v>13.9</v>
      </c>
      <c r="I1602" s="28">
        <f>Table_7[[#This Row],[Length 
(ft)]]</f>
        <v>51</v>
      </c>
      <c r="J1602" s="28">
        <f>2020-Table_7[[#This Row],[Year]]</f>
        <v>14</v>
      </c>
      <c r="K1602">
        <v>1043414814.81481</v>
      </c>
      <c r="L1602">
        <v>8437.5667322870595</v>
      </c>
      <c r="M1602">
        <v>-0.74073259704550098</v>
      </c>
      <c r="N1602">
        <v>-13.7559294530644</v>
      </c>
      <c r="O1602">
        <v>47.64</v>
      </c>
      <c r="P1602">
        <v>1141.002</v>
      </c>
      <c r="Q1602">
        <v>53</v>
      </c>
      <c r="R1602">
        <v>15.75</v>
      </c>
    </row>
    <row r="1603" spans="1:18" x14ac:dyDescent="0.25">
      <c r="A1603" s="1" t="s">
        <v>45</v>
      </c>
      <c r="B1603" s="2" t="s">
        <v>86</v>
      </c>
      <c r="C1603" s="19">
        <v>51</v>
      </c>
      <c r="D1603" s="3" t="s">
        <v>496</v>
      </c>
      <c r="E1603" s="3" t="s">
        <v>3</v>
      </c>
      <c r="F1603" s="23">
        <v>363209</v>
      </c>
      <c r="G1603" s="15">
        <v>2019</v>
      </c>
      <c r="H1603" s="15">
        <f>Table_7[[#This Row],[Listing Price (USD)]]/10000</f>
        <v>36.320900000000002</v>
      </c>
      <c r="I1603" s="28">
        <f>Table_7[[#This Row],[Length 
(ft)]]</f>
        <v>51</v>
      </c>
      <c r="J1603" s="28">
        <f>2020-Table_7[[#This Row],[Year]]</f>
        <v>1</v>
      </c>
      <c r="K1603">
        <v>2639008701648.2598</v>
      </c>
      <c r="L1603">
        <v>39055.282928075401</v>
      </c>
      <c r="M1603">
        <v>0.47649885272508302</v>
      </c>
      <c r="N1603">
        <v>-7.7845864916787102</v>
      </c>
      <c r="O1603">
        <v>47.64</v>
      </c>
      <c r="P1603">
        <v>1141.002</v>
      </c>
      <c r="Q1603">
        <v>53</v>
      </c>
      <c r="R1603">
        <v>15.75</v>
      </c>
    </row>
    <row r="1604" spans="1:18" x14ac:dyDescent="0.25">
      <c r="A1604" s="1" t="s">
        <v>45</v>
      </c>
      <c r="B1604" s="2" t="s">
        <v>86</v>
      </c>
      <c r="C1604" s="19">
        <v>51</v>
      </c>
      <c r="D1604" s="3" t="s">
        <v>496</v>
      </c>
      <c r="E1604" s="3" t="s">
        <v>24</v>
      </c>
      <c r="F1604" s="23">
        <v>394792</v>
      </c>
      <c r="G1604" s="15">
        <v>2018</v>
      </c>
      <c r="H1604" s="15">
        <f>Table_7[[#This Row],[Listing Price (USD)]]/10000</f>
        <v>39.479199999999999</v>
      </c>
      <c r="I1604" s="28">
        <f>Table_7[[#This Row],[Length 
(ft)]]</f>
        <v>51</v>
      </c>
      <c r="J1604" s="28">
        <f>2020-Table_7[[#This Row],[Year]]</f>
        <v>2</v>
      </c>
      <c r="K1604">
        <v>1896755301518.1399</v>
      </c>
      <c r="L1604">
        <v>31911.0357890017</v>
      </c>
      <c r="M1604">
        <v>-0.13770757391656999</v>
      </c>
      <c r="N1604">
        <v>-9.0399534112288507</v>
      </c>
      <c r="O1604">
        <v>47.64</v>
      </c>
      <c r="P1604">
        <v>1141.002</v>
      </c>
      <c r="Q1604">
        <v>53</v>
      </c>
      <c r="R1604">
        <v>15.75</v>
      </c>
    </row>
    <row r="1605" spans="1:18" x14ac:dyDescent="0.25">
      <c r="A1605" s="1" t="s">
        <v>45</v>
      </c>
      <c r="B1605" s="2" t="s">
        <v>86</v>
      </c>
      <c r="C1605" s="19">
        <v>51</v>
      </c>
      <c r="D1605" s="3" t="s">
        <v>496</v>
      </c>
      <c r="E1605" s="3" t="s">
        <v>18</v>
      </c>
      <c r="F1605" s="23">
        <v>400850</v>
      </c>
      <c r="G1605" s="15">
        <v>2019</v>
      </c>
      <c r="H1605" s="15">
        <f>Table_7[[#This Row],[Listing Price (USD)]]/10000</f>
        <v>40.085000000000001</v>
      </c>
      <c r="I1605" s="28">
        <f>Table_7[[#This Row],[Length 
(ft)]]</f>
        <v>51</v>
      </c>
      <c r="J1605" s="28">
        <f>2020-Table_7[[#This Row],[Year]]</f>
        <v>1</v>
      </c>
      <c r="K1605">
        <v>188925995936.80701</v>
      </c>
      <c r="L1605">
        <v>17658.947301119199</v>
      </c>
      <c r="M1605">
        <v>-1.2479835558140799</v>
      </c>
      <c r="N1605">
        <v>-9.0040436420214593</v>
      </c>
      <c r="O1605">
        <v>47.64</v>
      </c>
      <c r="P1605">
        <v>1141.002</v>
      </c>
      <c r="Q1605">
        <v>53</v>
      </c>
      <c r="R1605">
        <v>15.75</v>
      </c>
    </row>
    <row r="1606" spans="1:18" x14ac:dyDescent="0.25">
      <c r="A1606" s="1" t="s">
        <v>45</v>
      </c>
      <c r="B1606" s="2" t="s">
        <v>86</v>
      </c>
      <c r="C1606" s="19">
        <v>51</v>
      </c>
      <c r="D1606" s="3" t="s">
        <v>496</v>
      </c>
      <c r="E1606" s="3" t="s">
        <v>18</v>
      </c>
      <c r="F1606" s="23">
        <v>443382</v>
      </c>
      <c r="G1606" s="15">
        <v>2019</v>
      </c>
      <c r="H1606" s="15">
        <f>Table_7[[#This Row],[Listing Price (USD)]]/10000</f>
        <v>44.338200000000001</v>
      </c>
      <c r="I1606" s="28">
        <f>Table_7[[#This Row],[Length 
(ft)]]</f>
        <v>51</v>
      </c>
      <c r="J1606" s="28">
        <f>2020-Table_7[[#This Row],[Year]]</f>
        <v>1</v>
      </c>
      <c r="K1606">
        <v>188925995936.80701</v>
      </c>
      <c r="L1606">
        <v>17658.947301119199</v>
      </c>
      <c r="M1606">
        <v>-1.2479835558140799</v>
      </c>
      <c r="N1606">
        <v>-9.0040436420214593</v>
      </c>
      <c r="O1606">
        <v>47.64</v>
      </c>
      <c r="P1606">
        <v>1141.002</v>
      </c>
      <c r="Q1606">
        <v>53</v>
      </c>
      <c r="R1606">
        <v>15.75</v>
      </c>
    </row>
    <row r="1607" spans="1:18" x14ac:dyDescent="0.25">
      <c r="A1607" s="1" t="s">
        <v>45</v>
      </c>
      <c r="B1607" s="2" t="s">
        <v>86</v>
      </c>
      <c r="C1607" s="19">
        <v>51</v>
      </c>
      <c r="D1607" s="3" t="s">
        <v>496</v>
      </c>
      <c r="E1607" s="3" t="s">
        <v>24</v>
      </c>
      <c r="F1607" s="23">
        <v>479824</v>
      </c>
      <c r="G1607" s="15">
        <v>2018</v>
      </c>
      <c r="H1607" s="15">
        <f>Table_7[[#This Row],[Listing Price (USD)]]/10000</f>
        <v>47.982399999999998</v>
      </c>
      <c r="I1607" s="28">
        <f>Table_7[[#This Row],[Length 
(ft)]]</f>
        <v>51</v>
      </c>
      <c r="J1607" s="28">
        <f>2020-Table_7[[#This Row],[Year]]</f>
        <v>2</v>
      </c>
      <c r="K1607">
        <v>1896755301518.1399</v>
      </c>
      <c r="L1607">
        <v>31911.0357890017</v>
      </c>
      <c r="M1607">
        <v>-0.13770757391656999</v>
      </c>
      <c r="N1607">
        <v>-9.0399534112288507</v>
      </c>
      <c r="O1607">
        <v>47.64</v>
      </c>
      <c r="P1607">
        <v>1141.002</v>
      </c>
      <c r="Q1607">
        <v>53</v>
      </c>
      <c r="R1607">
        <v>15.75</v>
      </c>
    </row>
    <row r="1608" spans="1:18" x14ac:dyDescent="0.25">
      <c r="A1608" s="1" t="s">
        <v>45</v>
      </c>
      <c r="B1608" s="2" t="s">
        <v>86</v>
      </c>
      <c r="C1608" s="19">
        <v>51</v>
      </c>
      <c r="D1608" s="3" t="s">
        <v>496</v>
      </c>
      <c r="E1608" s="3" t="s">
        <v>3</v>
      </c>
      <c r="F1608" s="23">
        <v>510172</v>
      </c>
      <c r="G1608" s="15">
        <v>2019</v>
      </c>
      <c r="H1608" s="15">
        <f>Table_7[[#This Row],[Listing Price (USD)]]/10000</f>
        <v>51.017200000000003</v>
      </c>
      <c r="I1608" s="28">
        <f>Table_7[[#This Row],[Length 
(ft)]]</f>
        <v>51</v>
      </c>
      <c r="J1608" s="28">
        <f>2020-Table_7[[#This Row],[Year]]</f>
        <v>1</v>
      </c>
      <c r="K1608">
        <v>2639008701648.2598</v>
      </c>
      <c r="L1608">
        <v>39055.282928075401</v>
      </c>
      <c r="M1608">
        <v>0.47649885272508302</v>
      </c>
      <c r="N1608">
        <v>-7.7845864916787102</v>
      </c>
      <c r="O1608">
        <v>47.64</v>
      </c>
      <c r="P1608">
        <v>1141.002</v>
      </c>
      <c r="Q1608">
        <v>53</v>
      </c>
      <c r="R1608">
        <v>15.75</v>
      </c>
    </row>
    <row r="1609" spans="1:18" x14ac:dyDescent="0.25">
      <c r="A1609" s="1" t="s">
        <v>195</v>
      </c>
      <c r="B1609" s="2" t="s">
        <v>202</v>
      </c>
      <c r="C1609" s="19">
        <v>40</v>
      </c>
      <c r="D1609" s="3" t="s">
        <v>496</v>
      </c>
      <c r="E1609" s="3" t="s">
        <v>18</v>
      </c>
      <c r="F1609" s="23">
        <v>84410</v>
      </c>
      <c r="G1609" s="15">
        <v>2011</v>
      </c>
      <c r="H1609" s="15">
        <f>Table_7[[#This Row],[Listing Price (USD)]]/10000</f>
        <v>8.4410000000000007</v>
      </c>
      <c r="I1609" s="28">
        <f>Table_7[[#This Row],[Length 
(ft)]]</f>
        <v>40</v>
      </c>
      <c r="J1609" s="28">
        <f>2020-Table_7[[#This Row],[Year]]</f>
        <v>9</v>
      </c>
      <c r="K1609">
        <v>188925995936.80701</v>
      </c>
      <c r="L1609">
        <v>17658.947301119199</v>
      </c>
      <c r="M1609">
        <v>-1.2479835558140799</v>
      </c>
      <c r="N1609">
        <v>-9.0040436420214593</v>
      </c>
      <c r="O1609">
        <v>36.090000000000003</v>
      </c>
      <c r="P1609">
        <v>773.00199999999995</v>
      </c>
      <c r="Q1609">
        <v>53</v>
      </c>
      <c r="R1609">
        <v>13.09</v>
      </c>
    </row>
    <row r="1610" spans="1:18" x14ac:dyDescent="0.25">
      <c r="A1610" s="1" t="s">
        <v>195</v>
      </c>
      <c r="B1610" s="2" t="s">
        <v>202</v>
      </c>
      <c r="C1610" s="19">
        <v>40</v>
      </c>
      <c r="D1610" s="3" t="s">
        <v>496</v>
      </c>
      <c r="E1610" s="3" t="s">
        <v>18</v>
      </c>
      <c r="F1610" s="23">
        <v>84421</v>
      </c>
      <c r="G1610" s="15">
        <v>2011</v>
      </c>
      <c r="H1610" s="15">
        <f>Table_7[[#This Row],[Listing Price (USD)]]/10000</f>
        <v>8.4420999999999999</v>
      </c>
      <c r="I1610" s="28">
        <f>Table_7[[#This Row],[Length 
(ft)]]</f>
        <v>40</v>
      </c>
      <c r="J1610" s="28">
        <f>2020-Table_7[[#This Row],[Year]]</f>
        <v>9</v>
      </c>
      <c r="K1610">
        <v>188925995936.80701</v>
      </c>
      <c r="L1610">
        <v>17658.947301119199</v>
      </c>
      <c r="M1610">
        <v>-1.2479835558140799</v>
      </c>
      <c r="N1610">
        <v>-9.0040436420214593</v>
      </c>
      <c r="O1610">
        <v>36.090000000000003</v>
      </c>
      <c r="P1610">
        <v>773.00199999999995</v>
      </c>
      <c r="Q1610">
        <v>53</v>
      </c>
      <c r="R1610">
        <v>13.09</v>
      </c>
    </row>
    <row r="1611" spans="1:18" x14ac:dyDescent="0.25">
      <c r="A1611" s="1" t="s">
        <v>195</v>
      </c>
      <c r="B1611" s="2" t="s">
        <v>202</v>
      </c>
      <c r="C1611" s="19">
        <v>40</v>
      </c>
      <c r="D1611" s="3" t="s">
        <v>496</v>
      </c>
      <c r="E1611" s="3" t="s">
        <v>18</v>
      </c>
      <c r="F1611" s="23">
        <v>92912</v>
      </c>
      <c r="G1611" s="15">
        <v>2012</v>
      </c>
      <c r="H1611" s="15">
        <f>Table_7[[#This Row],[Listing Price (USD)]]/10000</f>
        <v>9.2911999999999999</v>
      </c>
      <c r="I1611" s="28">
        <f>Table_7[[#This Row],[Length 
(ft)]]</f>
        <v>40</v>
      </c>
      <c r="J1611" s="28">
        <f>2020-Table_7[[#This Row],[Year]]</f>
        <v>8</v>
      </c>
      <c r="K1611">
        <v>188925995936.80701</v>
      </c>
      <c r="L1611">
        <v>17658.947301119199</v>
      </c>
      <c r="M1611">
        <v>-1.2479835558140799</v>
      </c>
      <c r="N1611">
        <v>-9.0040436420214593</v>
      </c>
      <c r="O1611">
        <v>36.090000000000003</v>
      </c>
      <c r="P1611">
        <v>773.00199999999995</v>
      </c>
      <c r="Q1611">
        <v>53</v>
      </c>
      <c r="R1611">
        <v>13.09</v>
      </c>
    </row>
    <row r="1612" spans="1:18" x14ac:dyDescent="0.25">
      <c r="A1612" s="1" t="s">
        <v>195</v>
      </c>
      <c r="B1612" s="2" t="s">
        <v>202</v>
      </c>
      <c r="C1612" s="19">
        <v>40</v>
      </c>
      <c r="D1612" s="3" t="s">
        <v>496</v>
      </c>
      <c r="E1612" s="3" t="s">
        <v>24</v>
      </c>
      <c r="F1612" s="23">
        <v>95961</v>
      </c>
      <c r="G1612" s="15">
        <v>2013</v>
      </c>
      <c r="H1612" s="15">
        <f>Table_7[[#This Row],[Listing Price (USD)]]/10000</f>
        <v>9.5960999999999999</v>
      </c>
      <c r="I1612" s="28">
        <f>Table_7[[#This Row],[Length 
(ft)]]</f>
        <v>40</v>
      </c>
      <c r="J1612" s="28">
        <f>2020-Table_7[[#This Row],[Year]]</f>
        <v>7</v>
      </c>
      <c r="K1612">
        <v>1896755301518.1399</v>
      </c>
      <c r="L1612">
        <v>31911.0357890017</v>
      </c>
      <c r="M1612">
        <v>-0.13770757391656999</v>
      </c>
      <c r="N1612">
        <v>-9.0399534112288507</v>
      </c>
      <c r="O1612">
        <v>36.090000000000003</v>
      </c>
      <c r="P1612">
        <v>773.00199999999995</v>
      </c>
      <c r="Q1612">
        <v>53</v>
      </c>
      <c r="R1612">
        <v>13.09</v>
      </c>
    </row>
    <row r="1613" spans="1:18" x14ac:dyDescent="0.25">
      <c r="A1613" s="1" t="s">
        <v>195</v>
      </c>
      <c r="B1613" s="2" t="s">
        <v>202</v>
      </c>
      <c r="C1613" s="19">
        <v>40</v>
      </c>
      <c r="D1613" s="3" t="s">
        <v>496</v>
      </c>
      <c r="E1613" s="3" t="s">
        <v>18</v>
      </c>
      <c r="F1613" s="23">
        <v>103275</v>
      </c>
      <c r="G1613" s="15">
        <v>2011</v>
      </c>
      <c r="H1613" s="15">
        <f>Table_7[[#This Row],[Listing Price (USD)]]/10000</f>
        <v>10.327500000000001</v>
      </c>
      <c r="I1613" s="28">
        <f>Table_7[[#This Row],[Length 
(ft)]]</f>
        <v>40</v>
      </c>
      <c r="J1613" s="28">
        <f>2020-Table_7[[#This Row],[Year]]</f>
        <v>9</v>
      </c>
      <c r="K1613">
        <v>188925995936.80701</v>
      </c>
      <c r="L1613">
        <v>17658.947301119199</v>
      </c>
      <c r="M1613">
        <v>-1.2479835558140799</v>
      </c>
      <c r="N1613">
        <v>-9.0040436420214593</v>
      </c>
      <c r="O1613">
        <v>36.090000000000003</v>
      </c>
      <c r="P1613">
        <v>773.00199999999995</v>
      </c>
      <c r="Q1613">
        <v>53</v>
      </c>
      <c r="R1613">
        <v>13.09</v>
      </c>
    </row>
    <row r="1614" spans="1:18" x14ac:dyDescent="0.25">
      <c r="A1614" s="1" t="s">
        <v>195</v>
      </c>
      <c r="B1614" s="2" t="s">
        <v>202</v>
      </c>
      <c r="C1614" s="19">
        <v>40</v>
      </c>
      <c r="D1614" s="3" t="s">
        <v>496</v>
      </c>
      <c r="E1614" s="3" t="s">
        <v>9</v>
      </c>
      <c r="F1614" s="23">
        <v>103275</v>
      </c>
      <c r="G1614" s="15">
        <v>2013</v>
      </c>
      <c r="H1614" s="15">
        <f>Table_7[[#This Row],[Listing Price (USD)]]/10000</f>
        <v>10.327500000000001</v>
      </c>
      <c r="I1614" s="28">
        <f>Table_7[[#This Row],[Length 
(ft)]]</f>
        <v>40</v>
      </c>
      <c r="J1614" s="28">
        <f>2020-Table_7[[#This Row],[Year]]</f>
        <v>7</v>
      </c>
      <c r="K1614">
        <v>1276962685648.25</v>
      </c>
      <c r="L1614">
        <v>26959.675436732599</v>
      </c>
      <c r="M1614">
        <v>-0.32275301729970501</v>
      </c>
      <c r="N1614">
        <v>-11.3254383222864</v>
      </c>
      <c r="O1614">
        <v>36.090000000000003</v>
      </c>
      <c r="P1614">
        <v>773.00199999999995</v>
      </c>
      <c r="Q1614">
        <v>53</v>
      </c>
      <c r="R1614">
        <v>13.09</v>
      </c>
    </row>
    <row r="1615" spans="1:18" x14ac:dyDescent="0.25">
      <c r="A1615" s="1" t="s">
        <v>195</v>
      </c>
      <c r="B1615" s="2" t="s">
        <v>202</v>
      </c>
      <c r="C1615" s="19">
        <v>40</v>
      </c>
      <c r="D1615" s="3" t="s">
        <v>496</v>
      </c>
      <c r="E1615" s="3" t="s">
        <v>18</v>
      </c>
      <c r="F1615" s="23">
        <v>109350</v>
      </c>
      <c r="G1615" s="15">
        <v>2011</v>
      </c>
      <c r="H1615" s="15">
        <f>Table_7[[#This Row],[Listing Price (USD)]]/10000</f>
        <v>10.935</v>
      </c>
      <c r="I1615" s="28">
        <f>Table_7[[#This Row],[Length 
(ft)]]</f>
        <v>40</v>
      </c>
      <c r="J1615" s="28">
        <f>2020-Table_7[[#This Row],[Year]]</f>
        <v>9</v>
      </c>
      <c r="K1615">
        <v>188925995936.80701</v>
      </c>
      <c r="L1615">
        <v>17658.947301119199</v>
      </c>
      <c r="M1615">
        <v>-1.2479835558140799</v>
      </c>
      <c r="N1615">
        <v>-9.0040436420214593</v>
      </c>
      <c r="O1615">
        <v>36.090000000000003</v>
      </c>
      <c r="P1615">
        <v>773.00199999999995</v>
      </c>
      <c r="Q1615">
        <v>53</v>
      </c>
      <c r="R1615">
        <v>13.09</v>
      </c>
    </row>
    <row r="1616" spans="1:18" x14ac:dyDescent="0.25">
      <c r="A1616" s="1" t="s">
        <v>195</v>
      </c>
      <c r="B1616" s="2" t="s">
        <v>202</v>
      </c>
      <c r="C1616" s="19">
        <v>40</v>
      </c>
      <c r="D1616" s="3" t="s">
        <v>496</v>
      </c>
      <c r="E1616" s="3" t="s">
        <v>31</v>
      </c>
      <c r="F1616" s="23">
        <v>112359</v>
      </c>
      <c r="G1616" s="15">
        <v>2014</v>
      </c>
      <c r="H1616" s="15">
        <f>Table_7[[#This Row],[Listing Price (USD)]]/10000</f>
        <v>11.235900000000001</v>
      </c>
      <c r="I1616" s="28">
        <f>Table_7[[#This Row],[Length 
(ft)]]</f>
        <v>40</v>
      </c>
      <c r="J1616" s="28">
        <f>2020-Table_7[[#This Row],[Year]]</f>
        <v>6</v>
      </c>
      <c r="K1616">
        <v>57472012426.685303</v>
      </c>
      <c r="L1616">
        <v>14198.753959474399</v>
      </c>
      <c r="M1616">
        <v>0.15481137456202801</v>
      </c>
      <c r="N1616">
        <v>-8.5803430210621805</v>
      </c>
      <c r="O1616">
        <v>36.090000000000003</v>
      </c>
      <c r="P1616">
        <v>773.00199999999995</v>
      </c>
      <c r="Q1616">
        <v>53</v>
      </c>
      <c r="R1616">
        <v>13.09</v>
      </c>
    </row>
    <row r="1617" spans="1:18" x14ac:dyDescent="0.25">
      <c r="A1617" s="1" t="s">
        <v>195</v>
      </c>
      <c r="B1617" s="2" t="s">
        <v>202</v>
      </c>
      <c r="C1617" s="19">
        <v>40</v>
      </c>
      <c r="D1617" s="3" t="s">
        <v>496</v>
      </c>
      <c r="E1617" s="3" t="s">
        <v>18</v>
      </c>
      <c r="F1617" s="23">
        <v>129235</v>
      </c>
      <c r="G1617" s="15">
        <v>2011</v>
      </c>
      <c r="H1617" s="15">
        <f>Table_7[[#This Row],[Listing Price (USD)]]/10000</f>
        <v>12.923500000000001</v>
      </c>
      <c r="I1617" s="28">
        <f>Table_7[[#This Row],[Length 
(ft)]]</f>
        <v>40</v>
      </c>
      <c r="J1617" s="28">
        <f>2020-Table_7[[#This Row],[Year]]</f>
        <v>9</v>
      </c>
      <c r="K1617">
        <v>188925995936.80701</v>
      </c>
      <c r="L1617">
        <v>17658.947301119199</v>
      </c>
      <c r="M1617">
        <v>-1.2479835558140799</v>
      </c>
      <c r="N1617">
        <v>-9.0040436420214593</v>
      </c>
      <c r="O1617">
        <v>36.090000000000003</v>
      </c>
      <c r="P1617">
        <v>773.00199999999995</v>
      </c>
      <c r="Q1617">
        <v>53</v>
      </c>
      <c r="R1617">
        <v>13.09</v>
      </c>
    </row>
    <row r="1618" spans="1:18" x14ac:dyDescent="0.25">
      <c r="A1618" s="1" t="s">
        <v>195</v>
      </c>
      <c r="B1618" s="2" t="s">
        <v>202</v>
      </c>
      <c r="C1618" s="19">
        <v>40</v>
      </c>
      <c r="D1618" s="3" t="s">
        <v>496</v>
      </c>
      <c r="E1618" s="3" t="s">
        <v>9</v>
      </c>
      <c r="F1618" s="23">
        <v>132436</v>
      </c>
      <c r="G1618" s="15">
        <v>2013</v>
      </c>
      <c r="H1618" s="15">
        <f>Table_7[[#This Row],[Listing Price (USD)]]/10000</f>
        <v>13.243600000000001</v>
      </c>
      <c r="I1618" s="28">
        <f>Table_7[[#This Row],[Length 
(ft)]]</f>
        <v>40</v>
      </c>
      <c r="J1618" s="28">
        <f>2020-Table_7[[#This Row],[Year]]</f>
        <v>7</v>
      </c>
      <c r="K1618">
        <v>1276962685648.25</v>
      </c>
      <c r="L1618">
        <v>26959.675436732599</v>
      </c>
      <c r="M1618">
        <v>-0.32275301729970501</v>
      </c>
      <c r="N1618">
        <v>-11.3254383222864</v>
      </c>
      <c r="O1618">
        <v>36.090000000000003</v>
      </c>
      <c r="P1618">
        <v>773.00199999999995</v>
      </c>
      <c r="Q1618">
        <v>53</v>
      </c>
      <c r="R1618">
        <v>13.09</v>
      </c>
    </row>
    <row r="1619" spans="1:18" x14ac:dyDescent="0.25">
      <c r="A1619" s="1" t="s">
        <v>195</v>
      </c>
      <c r="B1619" s="3" t="s">
        <v>202</v>
      </c>
      <c r="C1619" s="19">
        <v>40</v>
      </c>
      <c r="D1619" s="3" t="s">
        <v>497</v>
      </c>
      <c r="E1619" s="3" t="s">
        <v>522</v>
      </c>
      <c r="F1619" s="23">
        <v>135000</v>
      </c>
      <c r="G1619" s="15">
        <v>2015</v>
      </c>
      <c r="H1619" s="15">
        <f>Table_7[[#This Row],[Listing Price (USD)]]/10000</f>
        <v>13.5</v>
      </c>
      <c r="I1619" s="28">
        <f>Table_7[[#This Row],[Length 
(ft)]]</f>
        <v>40</v>
      </c>
      <c r="J1619" s="28">
        <f>2020-Table_7[[#This Row],[Year]]</f>
        <v>5</v>
      </c>
      <c r="K1619">
        <v>209000000</v>
      </c>
      <c r="L1619">
        <v>11726.77</v>
      </c>
      <c r="M1619">
        <v>3</v>
      </c>
      <c r="N1619">
        <v>-0.7</v>
      </c>
      <c r="O1619">
        <v>36.090000000000003</v>
      </c>
      <c r="P1619">
        <v>773.00199999999995</v>
      </c>
      <c r="Q1619">
        <v>53</v>
      </c>
      <c r="R1619">
        <v>13.09</v>
      </c>
    </row>
    <row r="1620" spans="1:18" x14ac:dyDescent="0.25">
      <c r="A1620" s="1" t="s">
        <v>195</v>
      </c>
      <c r="B1620" s="2" t="s">
        <v>202</v>
      </c>
      <c r="C1620" s="19">
        <v>40</v>
      </c>
      <c r="D1620" s="3" t="s">
        <v>496</v>
      </c>
      <c r="E1620" s="3" t="s">
        <v>31</v>
      </c>
      <c r="F1620" s="23">
        <v>139671</v>
      </c>
      <c r="G1620" s="15">
        <v>2015</v>
      </c>
      <c r="H1620" s="15">
        <f>Table_7[[#This Row],[Listing Price (USD)]]/10000</f>
        <v>13.9671</v>
      </c>
      <c r="I1620" s="28">
        <f>Table_7[[#This Row],[Length 
(ft)]]</f>
        <v>40</v>
      </c>
      <c r="J1620" s="28">
        <f>2020-Table_7[[#This Row],[Year]]</f>
        <v>5</v>
      </c>
      <c r="K1620">
        <v>57472012426.685303</v>
      </c>
      <c r="L1620">
        <v>14198.753959474399</v>
      </c>
      <c r="M1620">
        <v>0.15481137456202801</v>
      </c>
      <c r="N1620">
        <v>-8.5803430210621805</v>
      </c>
      <c r="O1620">
        <v>36.090000000000003</v>
      </c>
      <c r="P1620">
        <v>773.00199999999995</v>
      </c>
      <c r="Q1620">
        <v>53</v>
      </c>
      <c r="R1620">
        <v>13.09</v>
      </c>
    </row>
    <row r="1621" spans="1:18" x14ac:dyDescent="0.25">
      <c r="A1621" s="1" t="s">
        <v>195</v>
      </c>
      <c r="B1621" s="2" t="s">
        <v>202</v>
      </c>
      <c r="C1621" s="19">
        <v>40</v>
      </c>
      <c r="D1621" s="3" t="s">
        <v>496</v>
      </c>
      <c r="E1621" s="3" t="s">
        <v>9</v>
      </c>
      <c r="F1621" s="23">
        <v>139726</v>
      </c>
      <c r="G1621" s="15">
        <v>2015</v>
      </c>
      <c r="H1621" s="15">
        <f>Table_7[[#This Row],[Listing Price (USD)]]/10000</f>
        <v>13.9726</v>
      </c>
      <c r="I1621" s="28">
        <f>Table_7[[#This Row],[Length 
(ft)]]</f>
        <v>40</v>
      </c>
      <c r="J1621" s="28">
        <f>2020-Table_7[[#This Row],[Year]]</f>
        <v>5</v>
      </c>
      <c r="K1621">
        <v>1276962685648.25</v>
      </c>
      <c r="L1621">
        <v>26959.675436732599</v>
      </c>
      <c r="M1621">
        <v>-0.32275301729970501</v>
      </c>
      <c r="N1621">
        <v>-11.3254383222864</v>
      </c>
      <c r="O1621">
        <v>36.090000000000003</v>
      </c>
      <c r="P1621">
        <v>773.00199999999995</v>
      </c>
      <c r="Q1621">
        <v>53</v>
      </c>
      <c r="R1621">
        <v>13.09</v>
      </c>
    </row>
    <row r="1622" spans="1:18" x14ac:dyDescent="0.25">
      <c r="A1622" s="1" t="s">
        <v>195</v>
      </c>
      <c r="B1622" s="2" t="s">
        <v>202</v>
      </c>
      <c r="C1622" s="19">
        <v>40</v>
      </c>
      <c r="D1622" s="3" t="s">
        <v>496</v>
      </c>
      <c r="E1622" s="3" t="s">
        <v>24</v>
      </c>
      <c r="F1622" s="23">
        <v>143334</v>
      </c>
      <c r="G1622" s="15">
        <v>2011</v>
      </c>
      <c r="H1622" s="15">
        <f>Table_7[[#This Row],[Listing Price (USD)]]/10000</f>
        <v>14.333399999999999</v>
      </c>
      <c r="I1622" s="28">
        <f>Table_7[[#This Row],[Length 
(ft)]]</f>
        <v>40</v>
      </c>
      <c r="J1622" s="28">
        <f>2020-Table_7[[#This Row],[Year]]</f>
        <v>9</v>
      </c>
      <c r="K1622">
        <v>1896755301518.1399</v>
      </c>
      <c r="L1622">
        <v>31911.0357890017</v>
      </c>
      <c r="M1622">
        <v>-0.13770757391656999</v>
      </c>
      <c r="N1622">
        <v>-9.0399534112288507</v>
      </c>
      <c r="O1622">
        <v>36.090000000000003</v>
      </c>
      <c r="P1622">
        <v>773.00199999999995</v>
      </c>
      <c r="Q1622">
        <v>53</v>
      </c>
      <c r="R1622">
        <v>13.09</v>
      </c>
    </row>
    <row r="1623" spans="1:18" x14ac:dyDescent="0.25">
      <c r="A1623" s="1" t="s">
        <v>195</v>
      </c>
      <c r="B1623" s="2" t="s">
        <v>202</v>
      </c>
      <c r="C1623" s="19">
        <v>40</v>
      </c>
      <c r="D1623" s="3" t="s">
        <v>496</v>
      </c>
      <c r="E1623" s="3" t="s">
        <v>9</v>
      </c>
      <c r="F1623" s="23">
        <v>144549</v>
      </c>
      <c r="G1623" s="15">
        <v>2015</v>
      </c>
      <c r="H1623" s="15">
        <f>Table_7[[#This Row],[Listing Price (USD)]]/10000</f>
        <v>14.4549</v>
      </c>
      <c r="I1623" s="28">
        <f>Table_7[[#This Row],[Length 
(ft)]]</f>
        <v>40</v>
      </c>
      <c r="J1623" s="28">
        <f>2020-Table_7[[#This Row],[Year]]</f>
        <v>5</v>
      </c>
      <c r="K1623">
        <v>1276962685648.25</v>
      </c>
      <c r="L1623">
        <v>26959.675436732599</v>
      </c>
      <c r="M1623">
        <v>-0.32275301729970501</v>
      </c>
      <c r="N1623">
        <v>-11.3254383222864</v>
      </c>
      <c r="O1623">
        <v>36.090000000000003</v>
      </c>
      <c r="P1623">
        <v>773.00199999999995</v>
      </c>
      <c r="Q1623">
        <v>53</v>
      </c>
      <c r="R1623">
        <v>13.09</v>
      </c>
    </row>
    <row r="1624" spans="1:18" x14ac:dyDescent="0.25">
      <c r="A1624" s="1" t="s">
        <v>195</v>
      </c>
      <c r="B1624" s="2" t="s">
        <v>202</v>
      </c>
      <c r="C1624" s="19">
        <v>40</v>
      </c>
      <c r="D1624" s="3" t="s">
        <v>496</v>
      </c>
      <c r="E1624" s="3" t="s">
        <v>31</v>
      </c>
      <c r="F1624" s="23">
        <v>145156</v>
      </c>
      <c r="G1624" s="15">
        <v>2015</v>
      </c>
      <c r="H1624" s="15">
        <f>Table_7[[#This Row],[Listing Price (USD)]]/10000</f>
        <v>14.515599999999999</v>
      </c>
      <c r="I1624" s="28">
        <f>Table_7[[#This Row],[Length 
(ft)]]</f>
        <v>40</v>
      </c>
      <c r="J1624" s="28">
        <f>2020-Table_7[[#This Row],[Year]]</f>
        <v>5</v>
      </c>
      <c r="K1624">
        <v>57472012426.685303</v>
      </c>
      <c r="L1624">
        <v>14198.753959474399</v>
      </c>
      <c r="M1624">
        <v>0.15481137456202801</v>
      </c>
      <c r="N1624">
        <v>-8.5803430210621805</v>
      </c>
      <c r="O1624">
        <v>36.090000000000003</v>
      </c>
      <c r="P1624">
        <v>773.00199999999995</v>
      </c>
      <c r="Q1624">
        <v>53</v>
      </c>
      <c r="R1624">
        <v>13.09</v>
      </c>
    </row>
    <row r="1625" spans="1:18" x14ac:dyDescent="0.25">
      <c r="A1625" s="1" t="s">
        <v>195</v>
      </c>
      <c r="B1625" s="2" t="s">
        <v>202</v>
      </c>
      <c r="C1625" s="19">
        <v>40</v>
      </c>
      <c r="D1625" s="3" t="s">
        <v>496</v>
      </c>
      <c r="E1625" s="3" t="s">
        <v>31</v>
      </c>
      <c r="F1625" s="23">
        <v>145801</v>
      </c>
      <c r="G1625" s="15">
        <v>2015</v>
      </c>
      <c r="H1625" s="15">
        <f>Table_7[[#This Row],[Listing Price (USD)]]/10000</f>
        <v>14.5801</v>
      </c>
      <c r="I1625" s="28">
        <f>Table_7[[#This Row],[Length 
(ft)]]</f>
        <v>40</v>
      </c>
      <c r="J1625" s="28">
        <f>2020-Table_7[[#This Row],[Year]]</f>
        <v>5</v>
      </c>
      <c r="K1625">
        <v>57472012426.685303</v>
      </c>
      <c r="L1625">
        <v>14198.753959474399</v>
      </c>
      <c r="M1625">
        <v>0.15481137456202801</v>
      </c>
      <c r="N1625">
        <v>-8.5803430210621805</v>
      </c>
      <c r="O1625">
        <v>36.090000000000003</v>
      </c>
      <c r="P1625">
        <v>773.00199999999995</v>
      </c>
      <c r="Q1625">
        <v>53</v>
      </c>
      <c r="R1625">
        <v>13.09</v>
      </c>
    </row>
    <row r="1626" spans="1:18" x14ac:dyDescent="0.25">
      <c r="A1626" s="1" t="s">
        <v>195</v>
      </c>
      <c r="B1626" s="2" t="s">
        <v>202</v>
      </c>
      <c r="C1626" s="19">
        <v>40</v>
      </c>
      <c r="D1626" s="3" t="s">
        <v>496</v>
      </c>
      <c r="E1626" s="3" t="s">
        <v>516</v>
      </c>
      <c r="F1626" s="23">
        <v>156696</v>
      </c>
      <c r="G1626" s="15">
        <v>2011</v>
      </c>
      <c r="H1626" s="15">
        <f>Table_7[[#This Row],[Listing Price (USD)]]/10000</f>
        <v>15.669600000000001</v>
      </c>
      <c r="I1626" s="28">
        <f>Table_7[[#This Row],[Length 
(ft)]]</f>
        <v>40</v>
      </c>
      <c r="J1626" s="28">
        <f>2020-Table_7[[#This Row],[Year]]</f>
        <v>9</v>
      </c>
      <c r="K1626">
        <v>909793466661.48096</v>
      </c>
      <c r="L1626">
        <v>52162.570115040602</v>
      </c>
      <c r="M1626">
        <v>1.2724603778917001</v>
      </c>
      <c r="N1626">
        <v>-3.88608391819609</v>
      </c>
      <c r="O1626">
        <v>36.090000000000003</v>
      </c>
      <c r="P1626">
        <v>773.00199999999995</v>
      </c>
      <c r="Q1626">
        <v>53</v>
      </c>
      <c r="R1626">
        <v>13.09</v>
      </c>
    </row>
    <row r="1627" spans="1:18" x14ac:dyDescent="0.25">
      <c r="A1627" s="1" t="s">
        <v>195</v>
      </c>
      <c r="B1627" s="2" t="s">
        <v>202</v>
      </c>
      <c r="C1627" s="19">
        <v>40</v>
      </c>
      <c r="D1627" s="3" t="s">
        <v>496</v>
      </c>
      <c r="E1627" s="3" t="s">
        <v>18</v>
      </c>
      <c r="F1627" s="23">
        <v>163984</v>
      </c>
      <c r="G1627" s="15">
        <v>2015</v>
      </c>
      <c r="H1627" s="15">
        <f>Table_7[[#This Row],[Listing Price (USD)]]/10000</f>
        <v>16.398399999999999</v>
      </c>
      <c r="I1627" s="28">
        <f>Table_7[[#This Row],[Length 
(ft)]]</f>
        <v>40</v>
      </c>
      <c r="J1627" s="28">
        <f>2020-Table_7[[#This Row],[Year]]</f>
        <v>5</v>
      </c>
      <c r="K1627">
        <v>188925995936.80701</v>
      </c>
      <c r="L1627">
        <v>17658.947301119199</v>
      </c>
      <c r="M1627">
        <v>-1.2479835558140799</v>
      </c>
      <c r="N1627">
        <v>-9.0040436420214593</v>
      </c>
      <c r="O1627">
        <v>36.090000000000003</v>
      </c>
      <c r="P1627">
        <v>773.00199999999995</v>
      </c>
      <c r="Q1627">
        <v>53</v>
      </c>
      <c r="R1627">
        <v>13.09</v>
      </c>
    </row>
    <row r="1628" spans="1:18" x14ac:dyDescent="0.25">
      <c r="A1628" s="1" t="s">
        <v>195</v>
      </c>
      <c r="B1628" s="2" t="s">
        <v>202</v>
      </c>
      <c r="C1628" s="19">
        <v>40</v>
      </c>
      <c r="D1628" s="3" t="s">
        <v>496</v>
      </c>
      <c r="E1628" s="3" t="s">
        <v>19</v>
      </c>
      <c r="F1628" s="23">
        <v>179900</v>
      </c>
      <c r="G1628" s="15">
        <v>2012</v>
      </c>
      <c r="H1628" s="15">
        <f>Table_7[[#This Row],[Listing Price (USD)]]/10000</f>
        <v>17.989999999999998</v>
      </c>
      <c r="I1628" s="28">
        <f>Table_7[[#This Row],[Length 
(ft)]]</f>
        <v>40</v>
      </c>
      <c r="J1628" s="28">
        <f>2020-Table_7[[#This Row],[Year]]</f>
        <v>8</v>
      </c>
      <c r="K1628">
        <v>4200000000</v>
      </c>
      <c r="L1628">
        <v>39553.199999999997</v>
      </c>
      <c r="M1628">
        <v>4.0999999999999996</v>
      </c>
      <c r="N1628">
        <v>-2.1</v>
      </c>
      <c r="O1628">
        <v>36.090000000000003</v>
      </c>
      <c r="P1628">
        <v>773.00199999999995</v>
      </c>
      <c r="Q1628">
        <v>53</v>
      </c>
      <c r="R1628">
        <v>13.09</v>
      </c>
    </row>
    <row r="1629" spans="1:18" x14ac:dyDescent="0.25">
      <c r="A1629" s="1" t="s">
        <v>195</v>
      </c>
      <c r="B1629" s="2" t="s">
        <v>202</v>
      </c>
      <c r="C1629" s="19">
        <v>40</v>
      </c>
      <c r="D1629" s="3" t="s">
        <v>496</v>
      </c>
      <c r="E1629" s="3" t="s">
        <v>19</v>
      </c>
      <c r="F1629" s="23">
        <v>179937</v>
      </c>
      <c r="G1629" s="15">
        <v>2012</v>
      </c>
      <c r="H1629" s="15">
        <f>Table_7[[#This Row],[Listing Price (USD)]]/10000</f>
        <v>17.9937</v>
      </c>
      <c r="I1629" s="28">
        <f>Table_7[[#This Row],[Length 
(ft)]]</f>
        <v>40</v>
      </c>
      <c r="J1629" s="28">
        <f>2020-Table_7[[#This Row],[Year]]</f>
        <v>8</v>
      </c>
      <c r="K1629">
        <v>4200000000</v>
      </c>
      <c r="L1629">
        <v>39553.199999999997</v>
      </c>
      <c r="M1629">
        <v>4.0999999999999996</v>
      </c>
      <c r="N1629">
        <v>-2.1</v>
      </c>
      <c r="O1629">
        <v>36.090000000000003</v>
      </c>
      <c r="P1629">
        <v>773.00199999999995</v>
      </c>
      <c r="Q1629">
        <v>53</v>
      </c>
      <c r="R1629">
        <v>13.09</v>
      </c>
    </row>
    <row r="1630" spans="1:18" x14ac:dyDescent="0.25">
      <c r="A1630" s="1" t="s">
        <v>195</v>
      </c>
      <c r="B1630" s="3" t="s">
        <v>202</v>
      </c>
      <c r="C1630" s="19">
        <v>40</v>
      </c>
      <c r="D1630" s="3" t="s">
        <v>495</v>
      </c>
      <c r="E1630" s="3" t="s">
        <v>518</v>
      </c>
      <c r="F1630" s="23">
        <v>184900</v>
      </c>
      <c r="G1630" s="15">
        <v>2013</v>
      </c>
      <c r="H1630" s="15">
        <f>Table_7[[#This Row],[Listing Price (USD)]]/10000</f>
        <v>18.489999999999998</v>
      </c>
      <c r="I1630" s="28">
        <f>Table_7[[#This Row],[Length 
(ft)]]</f>
        <v>40</v>
      </c>
      <c r="J1630" s="28">
        <f>2020-Table_7[[#This Row],[Year]]</f>
        <v>7</v>
      </c>
      <c r="K1630">
        <v>1724759000000</v>
      </c>
      <c r="L1630">
        <v>85575.039999999994</v>
      </c>
      <c r="M1630">
        <v>1.23</v>
      </c>
      <c r="N1630">
        <v>3.8</v>
      </c>
      <c r="O1630">
        <v>36.090000000000003</v>
      </c>
      <c r="P1630">
        <v>773.00199999999995</v>
      </c>
      <c r="Q1630">
        <v>53</v>
      </c>
      <c r="R1630">
        <v>13.09</v>
      </c>
    </row>
    <row r="1631" spans="1:18" x14ac:dyDescent="0.25">
      <c r="A1631" s="1" t="s">
        <v>195</v>
      </c>
      <c r="B1631" s="3" t="s">
        <v>202</v>
      </c>
      <c r="C1631" s="19">
        <v>40</v>
      </c>
      <c r="D1631" s="3" t="s">
        <v>495</v>
      </c>
      <c r="E1631" s="3" t="s">
        <v>548</v>
      </c>
      <c r="F1631" s="23">
        <v>189000</v>
      </c>
      <c r="G1631" s="15">
        <v>2012</v>
      </c>
      <c r="H1631" s="15">
        <f>Table_7[[#This Row],[Listing Price (USD)]]/10000</f>
        <v>18.899999999999999</v>
      </c>
      <c r="I1631" s="28">
        <f>Table_7[[#This Row],[Length 
(ft)]]</f>
        <v>40</v>
      </c>
      <c r="J1631" s="28">
        <f>2020-Table_7[[#This Row],[Year]]</f>
        <v>8</v>
      </c>
      <c r="K1631">
        <v>618579000000</v>
      </c>
      <c r="L1631">
        <v>66659.100000000006</v>
      </c>
      <c r="M1631">
        <v>1.23</v>
      </c>
      <c r="N1631">
        <v>1.8</v>
      </c>
      <c r="O1631">
        <v>36.090000000000003</v>
      </c>
      <c r="P1631">
        <v>773.00199999999995</v>
      </c>
      <c r="Q1631">
        <v>53</v>
      </c>
      <c r="R1631">
        <v>13.09</v>
      </c>
    </row>
    <row r="1632" spans="1:18" x14ac:dyDescent="0.25">
      <c r="A1632" s="1" t="s">
        <v>195</v>
      </c>
      <c r="B1632" s="3" t="s">
        <v>202</v>
      </c>
      <c r="C1632" s="19">
        <v>40</v>
      </c>
      <c r="D1632" s="3" t="s">
        <v>495</v>
      </c>
      <c r="E1632" s="3" t="s">
        <v>518</v>
      </c>
      <c r="F1632" s="23">
        <v>195124</v>
      </c>
      <c r="G1632" s="15">
        <v>2014</v>
      </c>
      <c r="H1632" s="15">
        <f>Table_7[[#This Row],[Listing Price (USD)]]/10000</f>
        <v>19.5124</v>
      </c>
      <c r="I1632" s="28">
        <f>Table_7[[#This Row],[Length 
(ft)]]</f>
        <v>40</v>
      </c>
      <c r="J1632" s="28">
        <f>2020-Table_7[[#This Row],[Year]]</f>
        <v>6</v>
      </c>
      <c r="K1632">
        <v>1724759000000</v>
      </c>
      <c r="L1632">
        <v>85575.039999999994</v>
      </c>
      <c r="M1632">
        <v>1.23</v>
      </c>
      <c r="N1632">
        <v>3.8</v>
      </c>
      <c r="O1632">
        <v>36.090000000000003</v>
      </c>
      <c r="P1632">
        <v>773.00199999999995</v>
      </c>
      <c r="Q1632">
        <v>53</v>
      </c>
      <c r="R1632">
        <v>13.09</v>
      </c>
    </row>
    <row r="1633" spans="1:18" x14ac:dyDescent="0.25">
      <c r="A1633" s="1" t="s">
        <v>195</v>
      </c>
      <c r="B1633" s="2" t="s">
        <v>202</v>
      </c>
      <c r="C1633" s="19">
        <v>40</v>
      </c>
      <c r="D1633" s="3" t="s">
        <v>496</v>
      </c>
      <c r="E1633" s="3" t="s">
        <v>19</v>
      </c>
      <c r="F1633" s="23">
        <v>210526</v>
      </c>
      <c r="G1633" s="15">
        <v>2015</v>
      </c>
      <c r="H1633" s="15">
        <f>Table_7[[#This Row],[Listing Price (USD)]]/10000</f>
        <v>21.052600000000002</v>
      </c>
      <c r="I1633" s="28">
        <f>Table_7[[#This Row],[Length 
(ft)]]</f>
        <v>40</v>
      </c>
      <c r="J1633" s="28">
        <f>2020-Table_7[[#This Row],[Year]]</f>
        <v>5</v>
      </c>
      <c r="K1633">
        <v>4200000000</v>
      </c>
      <c r="L1633">
        <v>39553.199999999997</v>
      </c>
      <c r="M1633">
        <v>4.0999999999999996</v>
      </c>
      <c r="N1633">
        <v>-2.1</v>
      </c>
      <c r="O1633">
        <v>36.090000000000003</v>
      </c>
      <c r="P1633">
        <v>773.00199999999995</v>
      </c>
      <c r="Q1633">
        <v>53</v>
      </c>
      <c r="R1633">
        <v>13.09</v>
      </c>
    </row>
    <row r="1634" spans="1:18" x14ac:dyDescent="0.25">
      <c r="A1634" s="1" t="s">
        <v>195</v>
      </c>
      <c r="B1634" s="2" t="s">
        <v>202</v>
      </c>
      <c r="C1634" s="19">
        <v>40</v>
      </c>
      <c r="D1634" s="3" t="s">
        <v>496</v>
      </c>
      <c r="E1634" s="3" t="s">
        <v>31</v>
      </c>
      <c r="F1634" s="23">
        <v>236926</v>
      </c>
      <c r="G1634" s="15">
        <v>2019</v>
      </c>
      <c r="H1634" s="15">
        <f>Table_7[[#This Row],[Listing Price (USD)]]/10000</f>
        <v>23.692599999999999</v>
      </c>
      <c r="I1634" s="28">
        <f>Table_7[[#This Row],[Length 
(ft)]]</f>
        <v>40</v>
      </c>
      <c r="J1634" s="28">
        <f>2020-Table_7[[#This Row],[Year]]</f>
        <v>1</v>
      </c>
      <c r="K1634">
        <v>57472012426.685303</v>
      </c>
      <c r="L1634">
        <v>14198.753959474399</v>
      </c>
      <c r="M1634">
        <v>0.15481137456202801</v>
      </c>
      <c r="N1634">
        <v>-8.5803430210621805</v>
      </c>
      <c r="O1634">
        <v>36.090000000000003</v>
      </c>
      <c r="P1634">
        <v>773.00199999999995</v>
      </c>
      <c r="Q1634">
        <v>53</v>
      </c>
      <c r="R1634">
        <v>13.09</v>
      </c>
    </row>
    <row r="1635" spans="1:18" x14ac:dyDescent="0.25">
      <c r="A1635" s="1" t="s">
        <v>195</v>
      </c>
      <c r="B1635" s="2" t="s">
        <v>208</v>
      </c>
      <c r="C1635" s="19">
        <v>41</v>
      </c>
      <c r="D1635" s="3" t="s">
        <v>496</v>
      </c>
      <c r="E1635" s="3" t="s">
        <v>24</v>
      </c>
      <c r="F1635" s="23">
        <v>249013</v>
      </c>
      <c r="G1635" s="15">
        <v>2019</v>
      </c>
      <c r="H1635" s="15">
        <f>Table_7[[#This Row],[Listing Price (USD)]]/10000</f>
        <v>24.901299999999999</v>
      </c>
      <c r="I1635" s="28">
        <f>Table_7[[#This Row],[Length 
(ft)]]</f>
        <v>41</v>
      </c>
      <c r="J1635" s="28">
        <f>2020-Table_7[[#This Row],[Year]]</f>
        <v>1</v>
      </c>
      <c r="K1635">
        <v>1896755301518.1399</v>
      </c>
      <c r="L1635">
        <v>31911.0357890017</v>
      </c>
      <c r="M1635">
        <v>-0.13770757391656999</v>
      </c>
      <c r="N1635">
        <v>-9.0399534112288507</v>
      </c>
      <c r="O1635">
        <v>38.42</v>
      </c>
      <c r="P1635">
        <v>865.00199999999995</v>
      </c>
      <c r="Q1635">
        <v>53</v>
      </c>
      <c r="R1635">
        <v>13.09</v>
      </c>
    </row>
    <row r="1636" spans="1:18" x14ac:dyDescent="0.25">
      <c r="A1636" s="1" t="s">
        <v>195</v>
      </c>
      <c r="B1636" s="2" t="s">
        <v>206</v>
      </c>
      <c r="C1636" s="19">
        <v>41</v>
      </c>
      <c r="D1636" s="3" t="s">
        <v>496</v>
      </c>
      <c r="E1636" s="3" t="s">
        <v>24</v>
      </c>
      <c r="F1636" s="23">
        <v>163984</v>
      </c>
      <c r="G1636" s="15">
        <v>2018</v>
      </c>
      <c r="H1636" s="15">
        <f>Table_7[[#This Row],[Listing Price (USD)]]/10000</f>
        <v>16.398399999999999</v>
      </c>
      <c r="I1636" s="28">
        <f>Table_7[[#This Row],[Length 
(ft)]]</f>
        <v>41</v>
      </c>
      <c r="J1636" s="28">
        <f>2020-Table_7[[#This Row],[Year]]</f>
        <v>2</v>
      </c>
      <c r="K1636">
        <v>1896755301518.1399</v>
      </c>
      <c r="L1636">
        <v>31911.0357890017</v>
      </c>
      <c r="M1636">
        <v>-0.13770757391656999</v>
      </c>
      <c r="N1636">
        <v>-9.0399534112288507</v>
      </c>
      <c r="O1636">
        <v>36.090000000000003</v>
      </c>
      <c r="P1636">
        <v>818.00199999999995</v>
      </c>
      <c r="Q1636">
        <v>53</v>
      </c>
      <c r="R1636">
        <v>13.09</v>
      </c>
    </row>
    <row r="1637" spans="1:18" x14ac:dyDescent="0.25">
      <c r="A1637" s="1" t="s">
        <v>195</v>
      </c>
      <c r="B1637" s="2" t="s">
        <v>206</v>
      </c>
      <c r="C1637" s="19">
        <v>41</v>
      </c>
      <c r="D1637" s="3" t="s">
        <v>496</v>
      </c>
      <c r="E1637" s="3" t="s">
        <v>31</v>
      </c>
      <c r="F1637" s="23">
        <v>166413</v>
      </c>
      <c r="G1637" s="15">
        <v>2018</v>
      </c>
      <c r="H1637" s="15">
        <f>Table_7[[#This Row],[Listing Price (USD)]]/10000</f>
        <v>16.641300000000001</v>
      </c>
      <c r="I1637" s="28">
        <f>Table_7[[#This Row],[Length 
(ft)]]</f>
        <v>41</v>
      </c>
      <c r="J1637" s="28">
        <f>2020-Table_7[[#This Row],[Year]]</f>
        <v>2</v>
      </c>
      <c r="K1637">
        <v>57472012426.685303</v>
      </c>
      <c r="L1637">
        <v>14198.753959474399</v>
      </c>
      <c r="M1637">
        <v>0.15481137456202801</v>
      </c>
      <c r="N1637">
        <v>-8.5803430210621805</v>
      </c>
      <c r="O1637">
        <v>36.090000000000003</v>
      </c>
      <c r="P1637">
        <v>818.00199999999995</v>
      </c>
      <c r="Q1637">
        <v>53</v>
      </c>
      <c r="R1637">
        <v>13.09</v>
      </c>
    </row>
    <row r="1638" spans="1:18" x14ac:dyDescent="0.25">
      <c r="A1638" s="1" t="s">
        <v>195</v>
      </c>
      <c r="B1638" s="2" t="s">
        <v>206</v>
      </c>
      <c r="C1638" s="19">
        <v>41</v>
      </c>
      <c r="D1638" s="3" t="s">
        <v>496</v>
      </c>
      <c r="E1638" s="3" t="s">
        <v>24</v>
      </c>
      <c r="F1638" s="23">
        <v>180990</v>
      </c>
      <c r="G1638" s="15">
        <v>2017</v>
      </c>
      <c r="H1638" s="15">
        <f>Table_7[[#This Row],[Listing Price (USD)]]/10000</f>
        <v>18.099</v>
      </c>
      <c r="I1638" s="28">
        <f>Table_7[[#This Row],[Length 
(ft)]]</f>
        <v>41</v>
      </c>
      <c r="J1638" s="28">
        <f>2020-Table_7[[#This Row],[Year]]</f>
        <v>3</v>
      </c>
      <c r="K1638">
        <v>1896755301518.1399</v>
      </c>
      <c r="L1638">
        <v>31911.0357890017</v>
      </c>
      <c r="M1638">
        <v>-0.13770757391656999</v>
      </c>
      <c r="N1638">
        <v>-9.0399534112288507</v>
      </c>
      <c r="O1638">
        <v>36.090000000000003</v>
      </c>
      <c r="P1638">
        <v>818.00199999999995</v>
      </c>
      <c r="Q1638">
        <v>53</v>
      </c>
      <c r="R1638">
        <v>13.09</v>
      </c>
    </row>
    <row r="1639" spans="1:18" x14ac:dyDescent="0.25">
      <c r="A1639" s="1" t="s">
        <v>195</v>
      </c>
      <c r="B1639" s="3" t="s">
        <v>206</v>
      </c>
      <c r="C1639" s="19">
        <v>41</v>
      </c>
      <c r="D1639" s="3" t="s">
        <v>497</v>
      </c>
      <c r="E1639" s="3" t="s">
        <v>370</v>
      </c>
      <c r="F1639" s="23">
        <v>195000</v>
      </c>
      <c r="G1639" s="15">
        <v>2019</v>
      </c>
      <c r="H1639" s="15">
        <f>Table_7[[#This Row],[Listing Price (USD)]]/10000</f>
        <v>19.5</v>
      </c>
      <c r="I1639" s="28">
        <f>Table_7[[#This Row],[Length 
(ft)]]</f>
        <v>41</v>
      </c>
      <c r="J1639" s="28">
        <f>2020-Table_7[[#This Row],[Year]]</f>
        <v>1</v>
      </c>
      <c r="K1639">
        <v>500000000</v>
      </c>
      <c r="L1639">
        <v>34200</v>
      </c>
      <c r="M1639">
        <v>1.1000000000000001</v>
      </c>
      <c r="N1639">
        <v>2</v>
      </c>
      <c r="O1639">
        <v>36.090000000000003</v>
      </c>
      <c r="P1639">
        <v>818.00199999999995</v>
      </c>
      <c r="Q1639">
        <v>53</v>
      </c>
      <c r="R1639">
        <v>13.09</v>
      </c>
    </row>
    <row r="1640" spans="1:18" x14ac:dyDescent="0.25">
      <c r="A1640" s="1" t="s">
        <v>195</v>
      </c>
      <c r="B1640" s="2" t="s">
        <v>206</v>
      </c>
      <c r="C1640" s="19">
        <v>41</v>
      </c>
      <c r="D1640" s="3" t="s">
        <v>496</v>
      </c>
      <c r="E1640" s="3" t="s">
        <v>63</v>
      </c>
      <c r="F1640" s="23">
        <v>199889</v>
      </c>
      <c r="G1640" s="15">
        <v>2016</v>
      </c>
      <c r="H1640" s="15">
        <f>Table_7[[#This Row],[Listing Price (USD)]]/10000</f>
        <v>19.988900000000001</v>
      </c>
      <c r="I1640" s="28">
        <f>Table_7[[#This Row],[Length 
(ft)]]</f>
        <v>41</v>
      </c>
      <c r="J1640" s="28">
        <f>2020-Table_7[[#This Row],[Year]]</f>
        <v>4</v>
      </c>
      <c r="K1640">
        <v>720290000027</v>
      </c>
      <c r="L1640">
        <v>13341.6</v>
      </c>
      <c r="M1640">
        <v>13</v>
      </c>
      <c r="N1640">
        <v>-3</v>
      </c>
      <c r="O1640">
        <v>36.090000000000003</v>
      </c>
      <c r="P1640">
        <v>818.00199999999995</v>
      </c>
      <c r="Q1640">
        <v>53</v>
      </c>
      <c r="R1640">
        <v>13.09</v>
      </c>
    </row>
    <row r="1641" spans="1:18" x14ac:dyDescent="0.25">
      <c r="A1641" s="1" t="s">
        <v>195</v>
      </c>
      <c r="B1641" s="2" t="s">
        <v>206</v>
      </c>
      <c r="C1641" s="19">
        <v>41</v>
      </c>
      <c r="D1641" s="3" t="s">
        <v>496</v>
      </c>
      <c r="E1641" s="3" t="s">
        <v>3</v>
      </c>
      <c r="F1641" s="23">
        <v>205284</v>
      </c>
      <c r="G1641" s="15">
        <v>2016</v>
      </c>
      <c r="H1641" s="15">
        <f>Table_7[[#This Row],[Listing Price (USD)]]/10000</f>
        <v>20.528400000000001</v>
      </c>
      <c r="I1641" s="28">
        <f>Table_7[[#This Row],[Length 
(ft)]]</f>
        <v>41</v>
      </c>
      <c r="J1641" s="28">
        <f>2020-Table_7[[#This Row],[Year]]</f>
        <v>4</v>
      </c>
      <c r="K1641">
        <v>2639008701648.2598</v>
      </c>
      <c r="L1641">
        <v>39055.282928075401</v>
      </c>
      <c r="M1641">
        <v>0.47649885272508302</v>
      </c>
      <c r="N1641">
        <v>-7.7845864916787102</v>
      </c>
      <c r="O1641">
        <v>36.090000000000003</v>
      </c>
      <c r="P1641">
        <v>818.00199999999995</v>
      </c>
      <c r="Q1641">
        <v>53</v>
      </c>
      <c r="R1641">
        <v>13.09</v>
      </c>
    </row>
    <row r="1642" spans="1:18" x14ac:dyDescent="0.25">
      <c r="A1642" s="1" t="s">
        <v>195</v>
      </c>
      <c r="B1642" s="2" t="s">
        <v>206</v>
      </c>
      <c r="C1642" s="19">
        <v>41</v>
      </c>
      <c r="D1642" s="3" t="s">
        <v>496</v>
      </c>
      <c r="E1642" s="3" t="s">
        <v>3</v>
      </c>
      <c r="F1642" s="23">
        <v>216216</v>
      </c>
      <c r="G1642" s="15">
        <v>2018</v>
      </c>
      <c r="H1642" s="15">
        <f>Table_7[[#This Row],[Listing Price (USD)]]/10000</f>
        <v>21.621600000000001</v>
      </c>
      <c r="I1642" s="28">
        <f>Table_7[[#This Row],[Length 
(ft)]]</f>
        <v>41</v>
      </c>
      <c r="J1642" s="28">
        <f>2020-Table_7[[#This Row],[Year]]</f>
        <v>2</v>
      </c>
      <c r="K1642">
        <v>2639008701648.2598</v>
      </c>
      <c r="L1642">
        <v>39055.282928075401</v>
      </c>
      <c r="M1642">
        <v>0.47649885272508302</v>
      </c>
      <c r="N1642">
        <v>-7.7845864916787102</v>
      </c>
      <c r="O1642">
        <v>36.090000000000003</v>
      </c>
      <c r="P1642">
        <v>818.00199999999995</v>
      </c>
      <c r="Q1642">
        <v>53</v>
      </c>
      <c r="R1642">
        <v>13.09</v>
      </c>
    </row>
    <row r="1643" spans="1:18" x14ac:dyDescent="0.25">
      <c r="A1643" s="1" t="s">
        <v>195</v>
      </c>
      <c r="B1643" s="3" t="s">
        <v>206</v>
      </c>
      <c r="C1643" s="19">
        <v>41</v>
      </c>
      <c r="D1643" s="3" t="s">
        <v>495</v>
      </c>
      <c r="E1643" s="3" t="s">
        <v>518</v>
      </c>
      <c r="F1643" s="23">
        <v>220000</v>
      </c>
      <c r="G1643" s="15">
        <v>2016</v>
      </c>
      <c r="H1643" s="15">
        <f>Table_7[[#This Row],[Listing Price (USD)]]/10000</f>
        <v>22</v>
      </c>
      <c r="I1643" s="28">
        <f>Table_7[[#This Row],[Length 
(ft)]]</f>
        <v>41</v>
      </c>
      <c r="J1643" s="28">
        <f>2020-Table_7[[#This Row],[Year]]</f>
        <v>4</v>
      </c>
      <c r="K1643">
        <v>1724759000000</v>
      </c>
      <c r="L1643">
        <v>85575.039999999994</v>
      </c>
      <c r="M1643">
        <v>1.23</v>
      </c>
      <c r="N1643">
        <v>3.8</v>
      </c>
      <c r="O1643">
        <v>36.090000000000003</v>
      </c>
      <c r="P1643">
        <v>818.00199999999995</v>
      </c>
      <c r="Q1643">
        <v>53</v>
      </c>
      <c r="R1643">
        <v>13.09</v>
      </c>
    </row>
    <row r="1644" spans="1:18" x14ac:dyDescent="0.25">
      <c r="A1644" s="1" t="s">
        <v>195</v>
      </c>
      <c r="B1644" s="2" t="s">
        <v>206</v>
      </c>
      <c r="C1644" s="19">
        <v>41</v>
      </c>
      <c r="D1644" s="3" t="s">
        <v>496</v>
      </c>
      <c r="E1644" s="3" t="s">
        <v>18</v>
      </c>
      <c r="F1644" s="23">
        <v>223829</v>
      </c>
      <c r="G1644" s="15">
        <v>2018</v>
      </c>
      <c r="H1644" s="15">
        <f>Table_7[[#This Row],[Listing Price (USD)]]/10000</f>
        <v>22.382899999999999</v>
      </c>
      <c r="I1644" s="28">
        <f>Table_7[[#This Row],[Length 
(ft)]]</f>
        <v>41</v>
      </c>
      <c r="J1644" s="28">
        <f>2020-Table_7[[#This Row],[Year]]</f>
        <v>2</v>
      </c>
      <c r="K1644">
        <v>188925995936.80701</v>
      </c>
      <c r="L1644">
        <v>17658.947301119199</v>
      </c>
      <c r="M1644">
        <v>-1.2479835558140799</v>
      </c>
      <c r="N1644">
        <v>-9.0040436420214593</v>
      </c>
      <c r="O1644">
        <v>36.090000000000003</v>
      </c>
      <c r="P1644">
        <v>818.00199999999995</v>
      </c>
      <c r="Q1644">
        <v>53</v>
      </c>
      <c r="R1644">
        <v>13.09</v>
      </c>
    </row>
    <row r="1645" spans="1:18" x14ac:dyDescent="0.25">
      <c r="A1645" s="1" t="s">
        <v>195</v>
      </c>
      <c r="B1645" s="2" t="s">
        <v>206</v>
      </c>
      <c r="C1645" s="19">
        <v>41</v>
      </c>
      <c r="D1645" s="3" t="s">
        <v>496</v>
      </c>
      <c r="E1645" s="3" t="s">
        <v>19</v>
      </c>
      <c r="F1645" s="23">
        <v>226487</v>
      </c>
      <c r="G1645" s="15">
        <v>2017</v>
      </c>
      <c r="H1645" s="15">
        <f>Table_7[[#This Row],[Listing Price (USD)]]/10000</f>
        <v>22.648700000000002</v>
      </c>
      <c r="I1645" s="28">
        <f>Table_7[[#This Row],[Length 
(ft)]]</f>
        <v>41</v>
      </c>
      <c r="J1645" s="28">
        <f>2020-Table_7[[#This Row],[Year]]</f>
        <v>3</v>
      </c>
      <c r="K1645">
        <v>4200000000</v>
      </c>
      <c r="L1645">
        <v>39553.199999999997</v>
      </c>
      <c r="M1645">
        <v>4.0999999999999996</v>
      </c>
      <c r="N1645">
        <v>-2.1</v>
      </c>
      <c r="O1645">
        <v>36.090000000000003</v>
      </c>
      <c r="P1645">
        <v>818.00199999999995</v>
      </c>
      <c r="Q1645">
        <v>53</v>
      </c>
      <c r="R1645">
        <v>13.09</v>
      </c>
    </row>
    <row r="1646" spans="1:18" x14ac:dyDescent="0.25">
      <c r="A1646" s="1" t="s">
        <v>195</v>
      </c>
      <c r="B1646" s="3" t="s">
        <v>206</v>
      </c>
      <c r="C1646" s="19">
        <v>41</v>
      </c>
      <c r="D1646" s="3" t="s">
        <v>495</v>
      </c>
      <c r="E1646" s="3" t="s">
        <v>523</v>
      </c>
      <c r="F1646" s="23">
        <v>259000</v>
      </c>
      <c r="G1646" s="15">
        <v>2017</v>
      </c>
      <c r="H1646" s="15">
        <f>Table_7[[#This Row],[Listing Price (USD)]]/10000</f>
        <v>25.9</v>
      </c>
      <c r="I1646" s="28">
        <f>Table_7[[#This Row],[Length 
(ft)]]</f>
        <v>41</v>
      </c>
      <c r="J1646" s="28">
        <f>2020-Table_7[[#This Row],[Year]]</f>
        <v>3</v>
      </c>
      <c r="K1646">
        <v>1775588000000</v>
      </c>
      <c r="L1646">
        <v>60771.06</v>
      </c>
      <c r="M1646">
        <v>1.23</v>
      </c>
      <c r="N1646">
        <v>5.0999999999999996</v>
      </c>
      <c r="O1646">
        <v>36.090000000000003</v>
      </c>
      <c r="P1646">
        <v>818.00199999999995</v>
      </c>
      <c r="Q1646">
        <v>53</v>
      </c>
      <c r="R1646">
        <v>13.09</v>
      </c>
    </row>
    <row r="1647" spans="1:18" x14ac:dyDescent="0.25">
      <c r="A1647" s="1" t="s">
        <v>195</v>
      </c>
      <c r="B1647" s="3" t="s">
        <v>206</v>
      </c>
      <c r="C1647" s="19">
        <v>41</v>
      </c>
      <c r="D1647" s="3" t="s">
        <v>495</v>
      </c>
      <c r="E1647" s="3" t="s">
        <v>554</v>
      </c>
      <c r="F1647" s="23">
        <v>260000</v>
      </c>
      <c r="G1647" s="15">
        <v>2018</v>
      </c>
      <c r="H1647" s="15">
        <f>Table_7[[#This Row],[Listing Price (USD)]]/10000</f>
        <v>26</v>
      </c>
      <c r="I1647" s="28">
        <f>Table_7[[#This Row],[Length 
(ft)]]</f>
        <v>41</v>
      </c>
      <c r="J1647" s="28">
        <f>2020-Table_7[[#This Row],[Year]]</f>
        <v>2</v>
      </c>
      <c r="K1647">
        <v>4200000000</v>
      </c>
      <c r="L1647">
        <v>39553.199999999997</v>
      </c>
      <c r="M1647">
        <v>4.0999999999999996</v>
      </c>
      <c r="N1647">
        <v>-2.1</v>
      </c>
      <c r="O1647">
        <v>36.090000000000003</v>
      </c>
      <c r="P1647">
        <v>818.00199999999995</v>
      </c>
      <c r="Q1647">
        <v>53</v>
      </c>
      <c r="R1647">
        <v>13.09</v>
      </c>
    </row>
    <row r="1648" spans="1:18" x14ac:dyDescent="0.25">
      <c r="A1648" s="1" t="s">
        <v>195</v>
      </c>
      <c r="B1648" s="3" t="s">
        <v>206</v>
      </c>
      <c r="C1648" s="19">
        <v>41</v>
      </c>
      <c r="D1648" s="3" t="s">
        <v>495</v>
      </c>
      <c r="E1648" s="3" t="s">
        <v>500</v>
      </c>
      <c r="F1648" s="23">
        <v>279900</v>
      </c>
      <c r="G1648" s="15">
        <v>2018</v>
      </c>
      <c r="H1648" s="15">
        <f>Table_7[[#This Row],[Listing Price (USD)]]/10000</f>
        <v>27.99</v>
      </c>
      <c r="I1648" s="28">
        <f>Table_7[[#This Row],[Length 
(ft)]]</f>
        <v>41</v>
      </c>
      <c r="J1648" s="28">
        <f>2020-Table_7[[#This Row],[Year]]</f>
        <v>2</v>
      </c>
      <c r="K1648">
        <v>3007188000000</v>
      </c>
      <c r="L1648">
        <v>76131.839999999997</v>
      </c>
      <c r="M1648">
        <v>1.23</v>
      </c>
      <c r="N1648">
        <v>2.7</v>
      </c>
      <c r="O1648">
        <v>36.090000000000003</v>
      </c>
      <c r="P1648">
        <v>818.00199999999995</v>
      </c>
      <c r="Q1648">
        <v>53</v>
      </c>
      <c r="R1648">
        <v>13.09</v>
      </c>
    </row>
    <row r="1649" spans="1:18" x14ac:dyDescent="0.25">
      <c r="A1649" s="1" t="s">
        <v>195</v>
      </c>
      <c r="B1649" s="3" t="s">
        <v>206</v>
      </c>
      <c r="C1649" s="19">
        <v>41</v>
      </c>
      <c r="D1649" s="3" t="s">
        <v>495</v>
      </c>
      <c r="E1649" s="3" t="s">
        <v>500</v>
      </c>
      <c r="F1649" s="23">
        <v>297000</v>
      </c>
      <c r="G1649" s="15">
        <v>2019</v>
      </c>
      <c r="H1649" s="15">
        <f>Table_7[[#This Row],[Listing Price (USD)]]/10000</f>
        <v>29.7</v>
      </c>
      <c r="I1649" s="28">
        <f>Table_7[[#This Row],[Length 
(ft)]]</f>
        <v>41</v>
      </c>
      <c r="J1649" s="28">
        <f>2020-Table_7[[#This Row],[Year]]</f>
        <v>1</v>
      </c>
      <c r="K1649">
        <v>3007188000000</v>
      </c>
      <c r="L1649">
        <v>76131.839999999997</v>
      </c>
      <c r="M1649">
        <v>1.23</v>
      </c>
      <c r="N1649">
        <v>2.7</v>
      </c>
      <c r="O1649">
        <v>36.090000000000003</v>
      </c>
      <c r="P1649">
        <v>818.00199999999995</v>
      </c>
      <c r="Q1649">
        <v>53</v>
      </c>
      <c r="R1649">
        <v>13.09</v>
      </c>
    </row>
    <row r="1650" spans="1:18" x14ac:dyDescent="0.25">
      <c r="A1650" s="1" t="s">
        <v>195</v>
      </c>
      <c r="B1650" s="3" t="s">
        <v>207</v>
      </c>
      <c r="C1650" s="19">
        <v>40</v>
      </c>
      <c r="D1650" s="3" t="s">
        <v>495</v>
      </c>
      <c r="E1650" s="3" t="s">
        <v>333</v>
      </c>
      <c r="F1650" s="23">
        <v>229000</v>
      </c>
      <c r="G1650" s="15">
        <v>2013</v>
      </c>
      <c r="H1650" s="15">
        <f>Table_7[[#This Row],[Listing Price (USD)]]/10000</f>
        <v>22.9</v>
      </c>
      <c r="I1650" s="28">
        <f>Table_7[[#This Row],[Length 
(ft)]]</f>
        <v>40</v>
      </c>
      <c r="J1650" s="28">
        <f>2020-Table_7[[#This Row],[Year]]</f>
        <v>7</v>
      </c>
      <c r="K1650">
        <v>1106036000000</v>
      </c>
      <c r="L1650">
        <v>51276.72</v>
      </c>
      <c r="M1650">
        <v>1.23</v>
      </c>
      <c r="N1650">
        <v>2.9</v>
      </c>
      <c r="O1650">
        <v>36.08</v>
      </c>
      <c r="P1650">
        <v>802.98199999999997</v>
      </c>
      <c r="Q1650">
        <v>53</v>
      </c>
      <c r="R1650">
        <v>13.08</v>
      </c>
    </row>
    <row r="1651" spans="1:18" x14ac:dyDescent="0.25">
      <c r="A1651" s="1" t="s">
        <v>195</v>
      </c>
      <c r="B1651" s="2" t="s">
        <v>207</v>
      </c>
      <c r="C1651" s="19">
        <v>40</v>
      </c>
      <c r="D1651" s="3" t="s">
        <v>496</v>
      </c>
      <c r="E1651" s="3" t="s">
        <v>19</v>
      </c>
      <c r="F1651" s="23">
        <v>239849</v>
      </c>
      <c r="G1651" s="15">
        <v>2016</v>
      </c>
      <c r="H1651" s="15">
        <f>Table_7[[#This Row],[Listing Price (USD)]]/10000</f>
        <v>23.9849</v>
      </c>
      <c r="I1651" s="28">
        <f>Table_7[[#This Row],[Length 
(ft)]]</f>
        <v>40</v>
      </c>
      <c r="J1651" s="28">
        <f>2020-Table_7[[#This Row],[Year]]</f>
        <v>4</v>
      </c>
      <c r="K1651">
        <v>4200000000</v>
      </c>
      <c r="L1651">
        <v>39553.199999999997</v>
      </c>
      <c r="M1651">
        <v>4.0999999999999996</v>
      </c>
      <c r="N1651">
        <v>-2.1</v>
      </c>
      <c r="O1651">
        <v>36.08</v>
      </c>
      <c r="P1651">
        <v>802.98199999999997</v>
      </c>
      <c r="Q1651">
        <v>53</v>
      </c>
      <c r="R1651">
        <v>13.08</v>
      </c>
    </row>
    <row r="1652" spans="1:18" x14ac:dyDescent="0.25">
      <c r="A1652" s="1" t="s">
        <v>195</v>
      </c>
      <c r="B1652" s="2" t="s">
        <v>213</v>
      </c>
      <c r="C1652" s="19">
        <v>43</v>
      </c>
      <c r="D1652" s="3" t="s">
        <v>496</v>
      </c>
      <c r="E1652" s="3" t="s">
        <v>9</v>
      </c>
      <c r="F1652" s="23">
        <v>120239</v>
      </c>
      <c r="G1652" s="15">
        <v>2011</v>
      </c>
      <c r="H1652" s="15">
        <f>Table_7[[#This Row],[Listing Price (USD)]]/10000</f>
        <v>12.023899999999999</v>
      </c>
      <c r="I1652" s="28">
        <f>Table_7[[#This Row],[Length 
(ft)]]</f>
        <v>43</v>
      </c>
      <c r="J1652" s="28">
        <f>2020-Table_7[[#This Row],[Year]]</f>
        <v>9</v>
      </c>
      <c r="K1652">
        <v>1276962685648.25</v>
      </c>
      <c r="L1652">
        <v>26959.675436732599</v>
      </c>
      <c r="M1652">
        <v>-0.32275301729970501</v>
      </c>
      <c r="N1652">
        <v>-11.3254383222864</v>
      </c>
      <c r="O1652">
        <v>39.369999999999997</v>
      </c>
      <c r="P1652">
        <v>917.00199999999995</v>
      </c>
      <c r="Q1652">
        <v>53</v>
      </c>
      <c r="R1652">
        <v>13.91</v>
      </c>
    </row>
    <row r="1653" spans="1:18" x14ac:dyDescent="0.25">
      <c r="A1653" s="1" t="s">
        <v>195</v>
      </c>
      <c r="B1653" s="2" t="s">
        <v>213</v>
      </c>
      <c r="C1653" s="19">
        <v>43</v>
      </c>
      <c r="D1653" s="3" t="s">
        <v>496</v>
      </c>
      <c r="E1653" s="3" t="s">
        <v>18</v>
      </c>
      <c r="F1653" s="23">
        <v>121453</v>
      </c>
      <c r="G1653" s="15">
        <v>2012</v>
      </c>
      <c r="H1653" s="15">
        <f>Table_7[[#This Row],[Listing Price (USD)]]/10000</f>
        <v>12.145300000000001</v>
      </c>
      <c r="I1653" s="28">
        <f>Table_7[[#This Row],[Length 
(ft)]]</f>
        <v>43</v>
      </c>
      <c r="J1653" s="28">
        <f>2020-Table_7[[#This Row],[Year]]</f>
        <v>8</v>
      </c>
      <c r="K1653">
        <v>188925995936.80701</v>
      </c>
      <c r="L1653">
        <v>17658.947301119199</v>
      </c>
      <c r="M1653">
        <v>-1.2479835558140799</v>
      </c>
      <c r="N1653">
        <v>-9.0040436420214593</v>
      </c>
      <c r="O1653">
        <v>39.369999999999997</v>
      </c>
      <c r="P1653">
        <v>917.00199999999995</v>
      </c>
      <c r="Q1653">
        <v>53</v>
      </c>
      <c r="R1653">
        <v>13.91</v>
      </c>
    </row>
    <row r="1654" spans="1:18" x14ac:dyDescent="0.25">
      <c r="A1654" s="1" t="s">
        <v>195</v>
      </c>
      <c r="B1654" s="3" t="s">
        <v>213</v>
      </c>
      <c r="C1654" s="19">
        <v>43</v>
      </c>
      <c r="D1654" s="3" t="s">
        <v>495</v>
      </c>
      <c r="E1654" s="3" t="s">
        <v>521</v>
      </c>
      <c r="F1654" s="23">
        <v>129500</v>
      </c>
      <c r="G1654" s="15">
        <v>2012</v>
      </c>
      <c r="H1654" s="15">
        <f>Table_7[[#This Row],[Listing Price (USD)]]/10000</f>
        <v>12.95</v>
      </c>
      <c r="I1654" s="28">
        <f>Table_7[[#This Row],[Length 
(ft)]]</f>
        <v>43</v>
      </c>
      <c r="J1654" s="28">
        <f>2020-Table_7[[#This Row],[Year]]</f>
        <v>8</v>
      </c>
      <c r="K1654">
        <v>60556000000</v>
      </c>
      <c r="L1654">
        <v>55240.56</v>
      </c>
      <c r="M1654">
        <v>3</v>
      </c>
      <c r="N1654">
        <v>2.2000000000000002</v>
      </c>
      <c r="O1654">
        <v>39.369999999999997</v>
      </c>
      <c r="P1654">
        <v>917.00199999999995</v>
      </c>
      <c r="Q1654">
        <v>53</v>
      </c>
      <c r="R1654">
        <v>13.91</v>
      </c>
    </row>
    <row r="1655" spans="1:18" x14ac:dyDescent="0.25">
      <c r="A1655" s="1" t="s">
        <v>195</v>
      </c>
      <c r="B1655" s="2" t="s">
        <v>213</v>
      </c>
      <c r="C1655" s="19">
        <v>43</v>
      </c>
      <c r="D1655" s="3" t="s">
        <v>496</v>
      </c>
      <c r="E1655" s="3" t="s">
        <v>31</v>
      </c>
      <c r="F1655" s="23">
        <v>133009</v>
      </c>
      <c r="G1655" s="15">
        <v>2012</v>
      </c>
      <c r="H1655" s="15">
        <f>Table_7[[#This Row],[Listing Price (USD)]]/10000</f>
        <v>13.3009</v>
      </c>
      <c r="I1655" s="28">
        <f>Table_7[[#This Row],[Length 
(ft)]]</f>
        <v>43</v>
      </c>
      <c r="J1655" s="28">
        <f>2020-Table_7[[#This Row],[Year]]</f>
        <v>8</v>
      </c>
      <c r="K1655">
        <v>57472012426.685303</v>
      </c>
      <c r="L1655">
        <v>14198.753959474399</v>
      </c>
      <c r="M1655">
        <v>0.15481137456202801</v>
      </c>
      <c r="N1655">
        <v>-8.5803430210621805</v>
      </c>
      <c r="O1655">
        <v>39.369999999999997</v>
      </c>
      <c r="P1655">
        <v>917.00199999999995</v>
      </c>
      <c r="Q1655">
        <v>53</v>
      </c>
      <c r="R1655">
        <v>13.91</v>
      </c>
    </row>
    <row r="1656" spans="1:18" x14ac:dyDescent="0.25">
      <c r="A1656" s="1" t="s">
        <v>195</v>
      </c>
      <c r="B1656" s="2" t="s">
        <v>213</v>
      </c>
      <c r="C1656" s="19">
        <v>43</v>
      </c>
      <c r="D1656" s="3" t="s">
        <v>496</v>
      </c>
      <c r="E1656" s="3" t="s">
        <v>31</v>
      </c>
      <c r="F1656" s="23">
        <v>133617</v>
      </c>
      <c r="G1656" s="15">
        <v>2013</v>
      </c>
      <c r="H1656" s="15">
        <f>Table_7[[#This Row],[Listing Price (USD)]]/10000</f>
        <v>13.361700000000001</v>
      </c>
      <c r="I1656" s="28">
        <f>Table_7[[#This Row],[Length 
(ft)]]</f>
        <v>43</v>
      </c>
      <c r="J1656" s="28">
        <f>2020-Table_7[[#This Row],[Year]]</f>
        <v>7</v>
      </c>
      <c r="K1656">
        <v>57472012426.685303</v>
      </c>
      <c r="L1656">
        <v>14198.753959474399</v>
      </c>
      <c r="M1656">
        <v>0.15481137456202801</v>
      </c>
      <c r="N1656">
        <v>-8.5803430210621805</v>
      </c>
      <c r="O1656">
        <v>39.369999999999997</v>
      </c>
      <c r="P1656">
        <v>917.00199999999995</v>
      </c>
      <c r="Q1656">
        <v>53</v>
      </c>
      <c r="R1656">
        <v>13.91</v>
      </c>
    </row>
    <row r="1657" spans="1:18" x14ac:dyDescent="0.25">
      <c r="A1657" s="1" t="s">
        <v>195</v>
      </c>
      <c r="B1657" s="2" t="s">
        <v>213</v>
      </c>
      <c r="C1657" s="19">
        <v>43</v>
      </c>
      <c r="D1657" s="3" t="s">
        <v>496</v>
      </c>
      <c r="E1657" s="3" t="s">
        <v>9</v>
      </c>
      <c r="F1657" s="23">
        <v>133617</v>
      </c>
      <c r="G1657" s="15">
        <v>2013</v>
      </c>
      <c r="H1657" s="15">
        <f>Table_7[[#This Row],[Listing Price (USD)]]/10000</f>
        <v>13.361700000000001</v>
      </c>
      <c r="I1657" s="28">
        <f>Table_7[[#This Row],[Length 
(ft)]]</f>
        <v>43</v>
      </c>
      <c r="J1657" s="28">
        <f>2020-Table_7[[#This Row],[Year]]</f>
        <v>7</v>
      </c>
      <c r="K1657">
        <v>1276962685648.25</v>
      </c>
      <c r="L1657">
        <v>26959.675436732599</v>
      </c>
      <c r="M1657">
        <v>-0.32275301729970501</v>
      </c>
      <c r="N1657">
        <v>-11.3254383222864</v>
      </c>
      <c r="O1657">
        <v>39.369999999999997</v>
      </c>
      <c r="P1657">
        <v>917.00199999999995</v>
      </c>
      <c r="Q1657">
        <v>53</v>
      </c>
      <c r="R1657">
        <v>13.91</v>
      </c>
    </row>
    <row r="1658" spans="1:18" x14ac:dyDescent="0.25">
      <c r="A1658" s="1" t="s">
        <v>195</v>
      </c>
      <c r="B1658" s="2" t="s">
        <v>213</v>
      </c>
      <c r="C1658" s="19">
        <v>43</v>
      </c>
      <c r="D1658" s="3" t="s">
        <v>496</v>
      </c>
      <c r="E1658" s="3" t="s">
        <v>31</v>
      </c>
      <c r="F1658" s="23">
        <v>139671</v>
      </c>
      <c r="G1658" s="15">
        <v>2013</v>
      </c>
      <c r="H1658" s="15">
        <f>Table_7[[#This Row],[Listing Price (USD)]]/10000</f>
        <v>13.9671</v>
      </c>
      <c r="I1658" s="28">
        <f>Table_7[[#This Row],[Length 
(ft)]]</f>
        <v>43</v>
      </c>
      <c r="J1658" s="28">
        <f>2020-Table_7[[#This Row],[Year]]</f>
        <v>7</v>
      </c>
      <c r="K1658">
        <v>57472012426.685303</v>
      </c>
      <c r="L1658">
        <v>14198.753959474399</v>
      </c>
      <c r="M1658">
        <v>0.15481137456202801</v>
      </c>
      <c r="N1658">
        <v>-8.5803430210621805</v>
      </c>
      <c r="O1658">
        <v>39.369999999999997</v>
      </c>
      <c r="P1658">
        <v>917.00199999999995</v>
      </c>
      <c r="Q1658">
        <v>53</v>
      </c>
      <c r="R1658">
        <v>13.91</v>
      </c>
    </row>
    <row r="1659" spans="1:18" x14ac:dyDescent="0.25">
      <c r="A1659" s="1" t="s">
        <v>195</v>
      </c>
      <c r="B1659" s="2" t="s">
        <v>213</v>
      </c>
      <c r="C1659" s="19">
        <v>43</v>
      </c>
      <c r="D1659" s="3" t="s">
        <v>496</v>
      </c>
      <c r="E1659" s="3" t="s">
        <v>31</v>
      </c>
      <c r="F1659" s="23">
        <v>139671</v>
      </c>
      <c r="G1659" s="15">
        <v>2012</v>
      </c>
      <c r="H1659" s="15">
        <f>Table_7[[#This Row],[Listing Price (USD)]]/10000</f>
        <v>13.9671</v>
      </c>
      <c r="I1659" s="28">
        <f>Table_7[[#This Row],[Length 
(ft)]]</f>
        <v>43</v>
      </c>
      <c r="J1659" s="28">
        <f>2020-Table_7[[#This Row],[Year]]</f>
        <v>8</v>
      </c>
      <c r="K1659">
        <v>57472012426.685303</v>
      </c>
      <c r="L1659">
        <v>14198.753959474399</v>
      </c>
      <c r="M1659">
        <v>0.15481137456202801</v>
      </c>
      <c r="N1659">
        <v>-8.5803430210621805</v>
      </c>
      <c r="O1659">
        <v>39.369999999999997</v>
      </c>
      <c r="P1659">
        <v>917.00199999999995</v>
      </c>
      <c r="Q1659">
        <v>53</v>
      </c>
      <c r="R1659">
        <v>13.91</v>
      </c>
    </row>
    <row r="1660" spans="1:18" x14ac:dyDescent="0.25">
      <c r="A1660" s="1" t="s">
        <v>195</v>
      </c>
      <c r="B1660" s="2" t="s">
        <v>213</v>
      </c>
      <c r="C1660" s="19">
        <v>43</v>
      </c>
      <c r="D1660" s="3" t="s">
        <v>496</v>
      </c>
      <c r="E1660" s="3" t="s">
        <v>18</v>
      </c>
      <c r="F1660" s="23">
        <v>145764</v>
      </c>
      <c r="G1660" s="15">
        <v>2014</v>
      </c>
      <c r="H1660" s="15">
        <f>Table_7[[#This Row],[Listing Price (USD)]]/10000</f>
        <v>14.5764</v>
      </c>
      <c r="I1660" s="28">
        <f>Table_7[[#This Row],[Length 
(ft)]]</f>
        <v>43</v>
      </c>
      <c r="J1660" s="28">
        <f>2020-Table_7[[#This Row],[Year]]</f>
        <v>6</v>
      </c>
      <c r="K1660">
        <v>188925995936.80701</v>
      </c>
      <c r="L1660">
        <v>17658.947301119199</v>
      </c>
      <c r="M1660">
        <v>-1.2479835558140799</v>
      </c>
      <c r="N1660">
        <v>-9.0040436420214593</v>
      </c>
      <c r="O1660">
        <v>39.369999999999997</v>
      </c>
      <c r="P1660">
        <v>917.00199999999995</v>
      </c>
      <c r="Q1660">
        <v>53</v>
      </c>
      <c r="R1660">
        <v>13.91</v>
      </c>
    </row>
    <row r="1661" spans="1:18" x14ac:dyDescent="0.25">
      <c r="A1661" s="1" t="s">
        <v>195</v>
      </c>
      <c r="B1661" s="2" t="s">
        <v>213</v>
      </c>
      <c r="C1661" s="19">
        <v>43</v>
      </c>
      <c r="D1661" s="3" t="s">
        <v>496</v>
      </c>
      <c r="E1661" s="3" t="s">
        <v>24</v>
      </c>
      <c r="F1661" s="23">
        <v>145764</v>
      </c>
      <c r="G1661" s="15">
        <v>2012</v>
      </c>
      <c r="H1661" s="15">
        <f>Table_7[[#This Row],[Listing Price (USD)]]/10000</f>
        <v>14.5764</v>
      </c>
      <c r="I1661" s="28">
        <f>Table_7[[#This Row],[Length 
(ft)]]</f>
        <v>43</v>
      </c>
      <c r="J1661" s="28">
        <f>2020-Table_7[[#This Row],[Year]]</f>
        <v>8</v>
      </c>
      <c r="K1661">
        <v>1896755301518.1399</v>
      </c>
      <c r="L1661">
        <v>31911.0357890017</v>
      </c>
      <c r="M1661">
        <v>-0.13770757391656999</v>
      </c>
      <c r="N1661">
        <v>-9.0399534112288507</v>
      </c>
      <c r="O1661">
        <v>39.369999999999997</v>
      </c>
      <c r="P1661">
        <v>917.00199999999995</v>
      </c>
      <c r="Q1661">
        <v>53</v>
      </c>
      <c r="R1661">
        <v>13.91</v>
      </c>
    </row>
    <row r="1662" spans="1:18" x14ac:dyDescent="0.25">
      <c r="A1662" s="1" t="s">
        <v>195</v>
      </c>
      <c r="B1662" s="2" t="s">
        <v>213</v>
      </c>
      <c r="C1662" s="19">
        <v>43</v>
      </c>
      <c r="D1662" s="3" t="s">
        <v>496</v>
      </c>
      <c r="E1662" s="3" t="s">
        <v>9</v>
      </c>
      <c r="F1662" s="23">
        <v>146958</v>
      </c>
      <c r="G1662" s="15">
        <v>2011</v>
      </c>
      <c r="H1662" s="15">
        <f>Table_7[[#This Row],[Listing Price (USD)]]/10000</f>
        <v>14.6958</v>
      </c>
      <c r="I1662" s="28">
        <f>Table_7[[#This Row],[Length 
(ft)]]</f>
        <v>43</v>
      </c>
      <c r="J1662" s="28">
        <f>2020-Table_7[[#This Row],[Year]]</f>
        <v>9</v>
      </c>
      <c r="K1662">
        <v>1276962685648.25</v>
      </c>
      <c r="L1662">
        <v>26959.675436732599</v>
      </c>
      <c r="M1662">
        <v>-0.32275301729970501</v>
      </c>
      <c r="N1662">
        <v>-11.3254383222864</v>
      </c>
      <c r="O1662">
        <v>39.369999999999997</v>
      </c>
      <c r="P1662">
        <v>917.00199999999995</v>
      </c>
      <c r="Q1662">
        <v>53</v>
      </c>
      <c r="R1662">
        <v>13.91</v>
      </c>
    </row>
    <row r="1663" spans="1:18" x14ac:dyDescent="0.25">
      <c r="A1663" s="1" t="s">
        <v>195</v>
      </c>
      <c r="B1663" s="2" t="s">
        <v>213</v>
      </c>
      <c r="C1663" s="19">
        <v>43</v>
      </c>
      <c r="D1663" s="3" t="s">
        <v>496</v>
      </c>
      <c r="E1663" s="3" t="s">
        <v>9</v>
      </c>
      <c r="F1663" s="23">
        <v>157889</v>
      </c>
      <c r="G1663" s="15">
        <v>2014</v>
      </c>
      <c r="H1663" s="15">
        <f>Table_7[[#This Row],[Listing Price (USD)]]/10000</f>
        <v>15.7889</v>
      </c>
      <c r="I1663" s="28">
        <f>Table_7[[#This Row],[Length 
(ft)]]</f>
        <v>43</v>
      </c>
      <c r="J1663" s="28">
        <f>2020-Table_7[[#This Row],[Year]]</f>
        <v>6</v>
      </c>
      <c r="K1663">
        <v>1276962685648.25</v>
      </c>
      <c r="L1663">
        <v>26959.675436732599</v>
      </c>
      <c r="M1663">
        <v>-0.32275301729970501</v>
      </c>
      <c r="N1663">
        <v>-11.3254383222864</v>
      </c>
      <c r="O1663">
        <v>39.369999999999997</v>
      </c>
      <c r="P1663">
        <v>917.00199999999995</v>
      </c>
      <c r="Q1663">
        <v>53</v>
      </c>
      <c r="R1663">
        <v>13.91</v>
      </c>
    </row>
    <row r="1664" spans="1:18" x14ac:dyDescent="0.25">
      <c r="A1664" s="1" t="s">
        <v>195</v>
      </c>
      <c r="B1664" s="2" t="s">
        <v>213</v>
      </c>
      <c r="C1664" s="19">
        <v>43</v>
      </c>
      <c r="D1664" s="3" t="s">
        <v>496</v>
      </c>
      <c r="E1664" s="3" t="s">
        <v>22</v>
      </c>
      <c r="F1664" s="23">
        <v>162747</v>
      </c>
      <c r="G1664" s="15">
        <v>2013</v>
      </c>
      <c r="H1664" s="15">
        <f>Table_7[[#This Row],[Listing Price (USD)]]/10000</f>
        <v>16.274699999999999</v>
      </c>
      <c r="I1664" s="28">
        <f>Table_7[[#This Row],[Length 
(ft)]]</f>
        <v>43</v>
      </c>
      <c r="J1664" s="28">
        <f>2020-Table_7[[#This Row],[Year]]</f>
        <v>7</v>
      </c>
      <c r="K1664">
        <v>3889668895299.6201</v>
      </c>
      <c r="L1664">
        <v>46772.825350754501</v>
      </c>
      <c r="M1664">
        <v>0.50668988995327402</v>
      </c>
      <c r="N1664">
        <v>-3.6967887053804298</v>
      </c>
      <c r="O1664">
        <v>39.369999999999997</v>
      </c>
      <c r="P1664">
        <v>917.00199999999995</v>
      </c>
      <c r="Q1664">
        <v>53</v>
      </c>
      <c r="R1664">
        <v>13.91</v>
      </c>
    </row>
    <row r="1665" spans="1:18" x14ac:dyDescent="0.25">
      <c r="A1665" s="1" t="s">
        <v>195</v>
      </c>
      <c r="B1665" s="2" t="s">
        <v>213</v>
      </c>
      <c r="C1665" s="19">
        <v>43</v>
      </c>
      <c r="D1665" s="3" t="s">
        <v>496</v>
      </c>
      <c r="E1665" s="3" t="s">
        <v>22</v>
      </c>
      <c r="F1665" s="23">
        <v>168820</v>
      </c>
      <c r="G1665" s="15">
        <v>2012</v>
      </c>
      <c r="H1665" s="15">
        <f>Table_7[[#This Row],[Listing Price (USD)]]/10000</f>
        <v>16.882000000000001</v>
      </c>
      <c r="I1665" s="28">
        <f>Table_7[[#This Row],[Length 
(ft)]]</f>
        <v>43</v>
      </c>
      <c r="J1665" s="28">
        <f>2020-Table_7[[#This Row],[Year]]</f>
        <v>8</v>
      </c>
      <c r="K1665">
        <v>3889668895299.6201</v>
      </c>
      <c r="L1665">
        <v>46772.825350754501</v>
      </c>
      <c r="M1665">
        <v>0.50668988995327402</v>
      </c>
      <c r="N1665">
        <v>-3.6967887053804298</v>
      </c>
      <c r="O1665">
        <v>39.369999999999997</v>
      </c>
      <c r="P1665">
        <v>917.00199999999995</v>
      </c>
      <c r="Q1665">
        <v>53</v>
      </c>
      <c r="R1665">
        <v>13.91</v>
      </c>
    </row>
    <row r="1666" spans="1:18" x14ac:dyDescent="0.25">
      <c r="A1666" s="1" t="s">
        <v>195</v>
      </c>
      <c r="B1666" s="2" t="s">
        <v>213</v>
      </c>
      <c r="C1666" s="19">
        <v>43</v>
      </c>
      <c r="D1666" s="3" t="s">
        <v>496</v>
      </c>
      <c r="E1666" s="3" t="s">
        <v>18</v>
      </c>
      <c r="F1666" s="23">
        <v>170034</v>
      </c>
      <c r="G1666" s="15">
        <v>2012</v>
      </c>
      <c r="H1666" s="15">
        <f>Table_7[[#This Row],[Listing Price (USD)]]/10000</f>
        <v>17.003399999999999</v>
      </c>
      <c r="I1666" s="28">
        <f>Table_7[[#This Row],[Length 
(ft)]]</f>
        <v>43</v>
      </c>
      <c r="J1666" s="28">
        <f>2020-Table_7[[#This Row],[Year]]</f>
        <v>8</v>
      </c>
      <c r="K1666">
        <v>188925995936.80701</v>
      </c>
      <c r="L1666">
        <v>17658.947301119199</v>
      </c>
      <c r="M1666">
        <v>-1.2479835558140799</v>
      </c>
      <c r="N1666">
        <v>-9.0040436420214593</v>
      </c>
      <c r="O1666">
        <v>39.369999999999997</v>
      </c>
      <c r="P1666">
        <v>917.00199999999995</v>
      </c>
      <c r="Q1666">
        <v>53</v>
      </c>
      <c r="R1666">
        <v>13.91</v>
      </c>
    </row>
    <row r="1667" spans="1:18" x14ac:dyDescent="0.25">
      <c r="A1667" s="1" t="s">
        <v>195</v>
      </c>
      <c r="B1667" s="2" t="s">
        <v>213</v>
      </c>
      <c r="C1667" s="19">
        <v>43</v>
      </c>
      <c r="D1667" s="3" t="s">
        <v>496</v>
      </c>
      <c r="E1667" s="3" t="s">
        <v>18</v>
      </c>
      <c r="F1667" s="23">
        <v>172463</v>
      </c>
      <c r="G1667" s="15">
        <v>2013</v>
      </c>
      <c r="H1667" s="15">
        <f>Table_7[[#This Row],[Listing Price (USD)]]/10000</f>
        <v>17.246300000000002</v>
      </c>
      <c r="I1667" s="28">
        <f>Table_7[[#This Row],[Length 
(ft)]]</f>
        <v>43</v>
      </c>
      <c r="J1667" s="28">
        <f>2020-Table_7[[#This Row],[Year]]</f>
        <v>7</v>
      </c>
      <c r="K1667">
        <v>188925995936.80701</v>
      </c>
      <c r="L1667">
        <v>17658.947301119199</v>
      </c>
      <c r="M1667">
        <v>-1.2479835558140799</v>
      </c>
      <c r="N1667">
        <v>-9.0040436420214593</v>
      </c>
      <c r="O1667">
        <v>39.369999999999997</v>
      </c>
      <c r="P1667">
        <v>917.00199999999995</v>
      </c>
      <c r="Q1667">
        <v>53</v>
      </c>
      <c r="R1667">
        <v>13.91</v>
      </c>
    </row>
    <row r="1668" spans="1:18" x14ac:dyDescent="0.25">
      <c r="A1668" s="1" t="s">
        <v>195</v>
      </c>
      <c r="B1668" s="2" t="s">
        <v>213</v>
      </c>
      <c r="C1668" s="19">
        <v>43</v>
      </c>
      <c r="D1668" s="3" t="s">
        <v>496</v>
      </c>
      <c r="E1668" s="3" t="s">
        <v>18</v>
      </c>
      <c r="F1668" s="23">
        <v>176131</v>
      </c>
      <c r="G1668" s="15">
        <v>2012</v>
      </c>
      <c r="H1668" s="15">
        <f>Table_7[[#This Row],[Listing Price (USD)]]/10000</f>
        <v>17.613099999999999</v>
      </c>
      <c r="I1668" s="28">
        <f>Table_7[[#This Row],[Length 
(ft)]]</f>
        <v>43</v>
      </c>
      <c r="J1668" s="28">
        <f>2020-Table_7[[#This Row],[Year]]</f>
        <v>8</v>
      </c>
      <c r="K1668">
        <v>188925995936.80701</v>
      </c>
      <c r="L1668">
        <v>17658.947301119199</v>
      </c>
      <c r="M1668">
        <v>-1.2479835558140799</v>
      </c>
      <c r="N1668">
        <v>-9.0040436420214593</v>
      </c>
      <c r="O1668">
        <v>39.369999999999997</v>
      </c>
      <c r="P1668">
        <v>917.00199999999995</v>
      </c>
      <c r="Q1668">
        <v>53</v>
      </c>
      <c r="R1668">
        <v>13.91</v>
      </c>
    </row>
    <row r="1669" spans="1:18" x14ac:dyDescent="0.25">
      <c r="A1669" s="1" t="s">
        <v>195</v>
      </c>
      <c r="B1669" s="2" t="s">
        <v>213</v>
      </c>
      <c r="C1669" s="19">
        <v>43</v>
      </c>
      <c r="D1669" s="3" t="s">
        <v>496</v>
      </c>
      <c r="E1669" s="3" t="s">
        <v>9</v>
      </c>
      <c r="F1669" s="23">
        <v>182180</v>
      </c>
      <c r="G1669" s="15">
        <v>2013</v>
      </c>
      <c r="H1669" s="15">
        <f>Table_7[[#This Row],[Listing Price (USD)]]/10000</f>
        <v>18.218</v>
      </c>
      <c r="I1669" s="28">
        <f>Table_7[[#This Row],[Length 
(ft)]]</f>
        <v>43</v>
      </c>
      <c r="J1669" s="28">
        <f>2020-Table_7[[#This Row],[Year]]</f>
        <v>7</v>
      </c>
      <c r="K1669">
        <v>1276962685648.25</v>
      </c>
      <c r="L1669">
        <v>26959.675436732599</v>
      </c>
      <c r="M1669">
        <v>-0.32275301729970501</v>
      </c>
      <c r="N1669">
        <v>-11.3254383222864</v>
      </c>
      <c r="O1669">
        <v>39.369999999999997</v>
      </c>
      <c r="P1669">
        <v>917.00199999999995</v>
      </c>
      <c r="Q1669">
        <v>53</v>
      </c>
      <c r="R1669">
        <v>13.91</v>
      </c>
    </row>
    <row r="1670" spans="1:18" x14ac:dyDescent="0.25">
      <c r="A1670" s="1" t="s">
        <v>195</v>
      </c>
      <c r="B1670" s="3" t="s">
        <v>213</v>
      </c>
      <c r="C1670" s="19">
        <v>43</v>
      </c>
      <c r="D1670" s="3" t="s">
        <v>495</v>
      </c>
      <c r="E1670" s="3" t="s">
        <v>500</v>
      </c>
      <c r="F1670" s="23">
        <v>197777</v>
      </c>
      <c r="G1670" s="15">
        <v>2012</v>
      </c>
      <c r="H1670" s="15">
        <f>Table_7[[#This Row],[Listing Price (USD)]]/10000</f>
        <v>19.777699999999999</v>
      </c>
      <c r="I1670" s="28">
        <f>Table_7[[#This Row],[Length 
(ft)]]</f>
        <v>43</v>
      </c>
      <c r="J1670" s="28">
        <f>2020-Table_7[[#This Row],[Year]]</f>
        <v>8</v>
      </c>
      <c r="K1670">
        <v>3007188000000</v>
      </c>
      <c r="L1670">
        <v>76131.839999999997</v>
      </c>
      <c r="M1670">
        <v>1.23</v>
      </c>
      <c r="N1670">
        <v>2.7</v>
      </c>
      <c r="O1670">
        <v>39.369999999999997</v>
      </c>
      <c r="P1670">
        <v>917.00199999999995</v>
      </c>
      <c r="Q1670">
        <v>53</v>
      </c>
      <c r="R1670">
        <v>13.91</v>
      </c>
    </row>
    <row r="1671" spans="1:18" x14ac:dyDescent="0.25">
      <c r="A1671" s="1" t="s">
        <v>195</v>
      </c>
      <c r="B1671" s="2" t="s">
        <v>213</v>
      </c>
      <c r="C1671" s="19">
        <v>43</v>
      </c>
      <c r="D1671" s="3" t="s">
        <v>496</v>
      </c>
      <c r="E1671" s="3" t="s">
        <v>9</v>
      </c>
      <c r="F1671" s="23">
        <v>200425</v>
      </c>
      <c r="G1671" s="15">
        <v>2013</v>
      </c>
      <c r="H1671" s="15">
        <f>Table_7[[#This Row],[Listing Price (USD)]]/10000</f>
        <v>20.0425</v>
      </c>
      <c r="I1671" s="28">
        <f>Table_7[[#This Row],[Length 
(ft)]]</f>
        <v>43</v>
      </c>
      <c r="J1671" s="28">
        <f>2020-Table_7[[#This Row],[Year]]</f>
        <v>7</v>
      </c>
      <c r="K1671">
        <v>1276962685648.25</v>
      </c>
      <c r="L1671">
        <v>26959.675436732599</v>
      </c>
      <c r="M1671">
        <v>-0.32275301729970501</v>
      </c>
      <c r="N1671">
        <v>-11.3254383222864</v>
      </c>
      <c r="O1671">
        <v>39.369999999999997</v>
      </c>
      <c r="P1671">
        <v>917.00199999999995</v>
      </c>
      <c r="Q1671">
        <v>53</v>
      </c>
      <c r="R1671">
        <v>13.91</v>
      </c>
    </row>
    <row r="1672" spans="1:18" x14ac:dyDescent="0.25">
      <c r="A1672" s="1" t="s">
        <v>195</v>
      </c>
      <c r="B1672" s="2" t="s">
        <v>213</v>
      </c>
      <c r="C1672" s="19">
        <v>43</v>
      </c>
      <c r="D1672" s="3" t="s">
        <v>496</v>
      </c>
      <c r="E1672" s="3" t="s">
        <v>3</v>
      </c>
      <c r="F1672" s="23">
        <v>205041</v>
      </c>
      <c r="G1672" s="15">
        <v>2014</v>
      </c>
      <c r="H1672" s="15">
        <f>Table_7[[#This Row],[Listing Price (USD)]]/10000</f>
        <v>20.504100000000001</v>
      </c>
      <c r="I1672" s="28">
        <f>Table_7[[#This Row],[Length 
(ft)]]</f>
        <v>43</v>
      </c>
      <c r="J1672" s="28">
        <f>2020-Table_7[[#This Row],[Year]]</f>
        <v>6</v>
      </c>
      <c r="K1672">
        <v>2639008701648.2598</v>
      </c>
      <c r="L1672">
        <v>39055.282928075401</v>
      </c>
      <c r="M1672">
        <v>0.47649885272508302</v>
      </c>
      <c r="N1672">
        <v>-7.7845864916787102</v>
      </c>
      <c r="O1672">
        <v>39.369999999999997</v>
      </c>
      <c r="P1672">
        <v>917.00199999999995</v>
      </c>
      <c r="Q1672">
        <v>53</v>
      </c>
      <c r="R1672">
        <v>13.91</v>
      </c>
    </row>
    <row r="1673" spans="1:18" x14ac:dyDescent="0.25">
      <c r="A1673" s="1" t="s">
        <v>195</v>
      </c>
      <c r="B1673" s="2" t="s">
        <v>213</v>
      </c>
      <c r="C1673" s="19">
        <v>43</v>
      </c>
      <c r="D1673" s="3" t="s">
        <v>496</v>
      </c>
      <c r="E1673" s="3" t="s">
        <v>24</v>
      </c>
      <c r="F1673" s="23">
        <v>206470</v>
      </c>
      <c r="G1673" s="15">
        <v>2013</v>
      </c>
      <c r="H1673" s="15">
        <f>Table_7[[#This Row],[Listing Price (USD)]]/10000</f>
        <v>20.646999999999998</v>
      </c>
      <c r="I1673" s="28">
        <f>Table_7[[#This Row],[Length 
(ft)]]</f>
        <v>43</v>
      </c>
      <c r="J1673" s="28">
        <f>2020-Table_7[[#This Row],[Year]]</f>
        <v>7</v>
      </c>
      <c r="K1673">
        <v>1896755301518.1399</v>
      </c>
      <c r="L1673">
        <v>31911.0357890017</v>
      </c>
      <c r="M1673">
        <v>-0.13770757391656999</v>
      </c>
      <c r="N1673">
        <v>-9.0399534112288507</v>
      </c>
      <c r="O1673">
        <v>39.369999999999997</v>
      </c>
      <c r="P1673">
        <v>917.00199999999995</v>
      </c>
      <c r="Q1673">
        <v>53</v>
      </c>
      <c r="R1673">
        <v>13.91</v>
      </c>
    </row>
    <row r="1674" spans="1:18" x14ac:dyDescent="0.25">
      <c r="A1674" s="1" t="s">
        <v>195</v>
      </c>
      <c r="B1674" s="2" t="s">
        <v>213</v>
      </c>
      <c r="C1674" s="19">
        <v>43</v>
      </c>
      <c r="D1674" s="3" t="s">
        <v>496</v>
      </c>
      <c r="E1674" s="3" t="s">
        <v>3</v>
      </c>
      <c r="F1674" s="23">
        <v>217401</v>
      </c>
      <c r="G1674" s="15">
        <v>2015</v>
      </c>
      <c r="H1674" s="15">
        <f>Table_7[[#This Row],[Listing Price (USD)]]/10000</f>
        <v>21.740100000000002</v>
      </c>
      <c r="I1674" s="28">
        <f>Table_7[[#This Row],[Length 
(ft)]]</f>
        <v>43</v>
      </c>
      <c r="J1674" s="28">
        <f>2020-Table_7[[#This Row],[Year]]</f>
        <v>5</v>
      </c>
      <c r="K1674">
        <v>2639008701648.2598</v>
      </c>
      <c r="L1674">
        <v>39055.282928075401</v>
      </c>
      <c r="M1674">
        <v>0.47649885272508302</v>
      </c>
      <c r="N1674">
        <v>-7.7845864916787102</v>
      </c>
      <c r="O1674">
        <v>39.369999999999997</v>
      </c>
      <c r="P1674">
        <v>917.00199999999995</v>
      </c>
      <c r="Q1674">
        <v>53</v>
      </c>
      <c r="R1674">
        <v>13.91</v>
      </c>
    </row>
    <row r="1675" spans="1:18" x14ac:dyDescent="0.25">
      <c r="A1675" s="1" t="s">
        <v>195</v>
      </c>
      <c r="B1675" s="2" t="s">
        <v>213</v>
      </c>
      <c r="C1675" s="19">
        <v>43</v>
      </c>
      <c r="D1675" s="3" t="s">
        <v>496</v>
      </c>
      <c r="E1675" s="3" t="s">
        <v>18</v>
      </c>
      <c r="F1675" s="23">
        <v>230792</v>
      </c>
      <c r="G1675" s="15">
        <v>2014</v>
      </c>
      <c r="H1675" s="15">
        <f>Table_7[[#This Row],[Listing Price (USD)]]/10000</f>
        <v>23.0792</v>
      </c>
      <c r="I1675" s="28">
        <f>Table_7[[#This Row],[Length 
(ft)]]</f>
        <v>43</v>
      </c>
      <c r="J1675" s="28">
        <f>2020-Table_7[[#This Row],[Year]]</f>
        <v>6</v>
      </c>
      <c r="K1675">
        <v>188925995936.80701</v>
      </c>
      <c r="L1675">
        <v>17658.947301119199</v>
      </c>
      <c r="M1675">
        <v>-1.2479835558140799</v>
      </c>
      <c r="N1675">
        <v>-9.0040436420214593</v>
      </c>
      <c r="O1675">
        <v>39.369999999999997</v>
      </c>
      <c r="P1675">
        <v>917.00199999999995</v>
      </c>
      <c r="Q1675">
        <v>53</v>
      </c>
      <c r="R1675">
        <v>13.91</v>
      </c>
    </row>
    <row r="1676" spans="1:18" x14ac:dyDescent="0.25">
      <c r="A1676" s="1" t="s">
        <v>195</v>
      </c>
      <c r="B1676" s="2" t="s">
        <v>213</v>
      </c>
      <c r="C1676" s="19">
        <v>43</v>
      </c>
      <c r="D1676" s="3" t="s">
        <v>496</v>
      </c>
      <c r="E1676" s="3" t="s">
        <v>9</v>
      </c>
      <c r="F1676" s="23">
        <v>236866</v>
      </c>
      <c r="G1676" s="15">
        <v>2012</v>
      </c>
      <c r="H1676" s="15">
        <f>Table_7[[#This Row],[Listing Price (USD)]]/10000</f>
        <v>23.686599999999999</v>
      </c>
      <c r="I1676" s="28">
        <f>Table_7[[#This Row],[Length 
(ft)]]</f>
        <v>43</v>
      </c>
      <c r="J1676" s="28">
        <f>2020-Table_7[[#This Row],[Year]]</f>
        <v>8</v>
      </c>
      <c r="K1676">
        <v>1276962685648.25</v>
      </c>
      <c r="L1676">
        <v>26959.675436732599</v>
      </c>
      <c r="M1676">
        <v>-0.32275301729970501</v>
      </c>
      <c r="N1676">
        <v>-11.3254383222864</v>
      </c>
      <c r="O1676">
        <v>39.369999999999997</v>
      </c>
      <c r="P1676">
        <v>917.00199999999995</v>
      </c>
      <c r="Q1676">
        <v>53</v>
      </c>
      <c r="R1676">
        <v>13.91</v>
      </c>
    </row>
    <row r="1677" spans="1:18" x14ac:dyDescent="0.25">
      <c r="A1677" s="1" t="s">
        <v>195</v>
      </c>
      <c r="B1677" s="3" t="s">
        <v>213</v>
      </c>
      <c r="C1677" s="19">
        <v>43</v>
      </c>
      <c r="D1677" s="3" t="s">
        <v>495</v>
      </c>
      <c r="E1677" s="3" t="s">
        <v>545</v>
      </c>
      <c r="F1677" s="23">
        <v>275000</v>
      </c>
      <c r="G1677" s="15">
        <v>2014</v>
      </c>
      <c r="H1677" s="15">
        <f>Table_7[[#This Row],[Listing Price (USD)]]/10000</f>
        <v>27.5</v>
      </c>
      <c r="I1677" s="28">
        <f>Table_7[[#This Row],[Length 
(ft)]]</f>
        <v>43</v>
      </c>
      <c r="J1677" s="28">
        <f>2020-Table_7[[#This Row],[Year]]</f>
        <v>6</v>
      </c>
      <c r="K1677">
        <v>515120000000</v>
      </c>
      <c r="L1677">
        <v>51165.75</v>
      </c>
      <c r="M1677">
        <v>1.23</v>
      </c>
      <c r="N1677">
        <v>2.6</v>
      </c>
      <c r="O1677">
        <v>39.369999999999997</v>
      </c>
      <c r="P1677">
        <v>917.00199999999995</v>
      </c>
      <c r="Q1677">
        <v>53</v>
      </c>
      <c r="R1677">
        <v>13.91</v>
      </c>
    </row>
    <row r="1678" spans="1:18" x14ac:dyDescent="0.25">
      <c r="A1678" s="1" t="s">
        <v>195</v>
      </c>
      <c r="B1678" s="3" t="s">
        <v>213</v>
      </c>
      <c r="C1678" s="19">
        <v>43</v>
      </c>
      <c r="D1678" s="3" t="s">
        <v>495</v>
      </c>
      <c r="E1678" s="3" t="s">
        <v>555</v>
      </c>
      <c r="F1678" s="23">
        <v>279900</v>
      </c>
      <c r="G1678" s="15">
        <v>2014</v>
      </c>
      <c r="H1678" s="15">
        <f>Table_7[[#This Row],[Listing Price (USD)]]/10000</f>
        <v>27.99</v>
      </c>
      <c r="I1678" s="28">
        <f>Table_7[[#This Row],[Length 
(ft)]]</f>
        <v>43</v>
      </c>
      <c r="J1678" s="28">
        <f>2020-Table_7[[#This Row],[Year]]</f>
        <v>6</v>
      </c>
      <c r="K1678">
        <v>4200000000</v>
      </c>
      <c r="L1678">
        <v>39553.199999999997</v>
      </c>
      <c r="M1678">
        <v>1.23</v>
      </c>
      <c r="N1678">
        <v>-2.1</v>
      </c>
      <c r="O1678">
        <v>39.369999999999997</v>
      </c>
      <c r="P1678">
        <v>917.00199999999995</v>
      </c>
      <c r="Q1678">
        <v>53</v>
      </c>
      <c r="R1678">
        <v>13.91</v>
      </c>
    </row>
    <row r="1679" spans="1:18" x14ac:dyDescent="0.25">
      <c r="A1679" s="1" t="s">
        <v>195</v>
      </c>
      <c r="B1679" s="3" t="s">
        <v>216</v>
      </c>
      <c r="C1679" s="19">
        <v>44</v>
      </c>
      <c r="D1679" s="3" t="s">
        <v>495</v>
      </c>
      <c r="E1679" s="3" t="s">
        <v>554</v>
      </c>
      <c r="F1679" s="23">
        <v>229000</v>
      </c>
      <c r="G1679" s="15">
        <v>2013</v>
      </c>
      <c r="H1679" s="15">
        <f>Table_7[[#This Row],[Listing Price (USD)]]/10000</f>
        <v>22.9</v>
      </c>
      <c r="I1679" s="28">
        <f>Table_7[[#This Row],[Length 
(ft)]]</f>
        <v>44</v>
      </c>
      <c r="J1679" s="28">
        <f>2020-Table_7[[#This Row],[Year]]</f>
        <v>7</v>
      </c>
      <c r="K1679">
        <v>4200000000</v>
      </c>
      <c r="L1679">
        <v>39553.199999999997</v>
      </c>
      <c r="M1679">
        <v>4.0999999999999996</v>
      </c>
      <c r="N1679">
        <v>-2.1</v>
      </c>
      <c r="O1679">
        <v>39.369999999999997</v>
      </c>
      <c r="P1679">
        <v>835.00199999999995</v>
      </c>
      <c r="Q1679">
        <v>53</v>
      </c>
      <c r="R1679">
        <v>13.91</v>
      </c>
    </row>
    <row r="1680" spans="1:18" x14ac:dyDescent="0.25">
      <c r="A1680" s="1" t="s">
        <v>195</v>
      </c>
      <c r="B1680" s="3" t="s">
        <v>216</v>
      </c>
      <c r="C1680" s="19">
        <v>44</v>
      </c>
      <c r="D1680" s="3" t="s">
        <v>495</v>
      </c>
      <c r="E1680" s="3" t="s">
        <v>543</v>
      </c>
      <c r="F1680" s="23">
        <v>235000</v>
      </c>
      <c r="G1680" s="15">
        <v>2012</v>
      </c>
      <c r="H1680" s="15">
        <f>Table_7[[#This Row],[Listing Price (USD)]]/10000</f>
        <v>23.5</v>
      </c>
      <c r="I1680" s="28">
        <f>Table_7[[#This Row],[Length 
(ft)]]</f>
        <v>44</v>
      </c>
      <c r="J1680" s="28">
        <f>2020-Table_7[[#This Row],[Year]]</f>
        <v>8</v>
      </c>
      <c r="K1680">
        <v>69272000000</v>
      </c>
      <c r="L1680">
        <v>50849.9</v>
      </c>
      <c r="M1680">
        <v>1.23</v>
      </c>
      <c r="N1680">
        <v>2.6</v>
      </c>
      <c r="O1680">
        <v>39.369999999999997</v>
      </c>
      <c r="P1680">
        <v>835.00199999999995</v>
      </c>
      <c r="Q1680">
        <v>53</v>
      </c>
      <c r="R1680">
        <v>13.91</v>
      </c>
    </row>
    <row r="1681" spans="1:18" x14ac:dyDescent="0.25">
      <c r="A1681" s="1" t="s">
        <v>195</v>
      </c>
      <c r="B1681" s="3" t="s">
        <v>216</v>
      </c>
      <c r="C1681" s="19">
        <v>44</v>
      </c>
      <c r="D1681" s="3" t="s">
        <v>495</v>
      </c>
      <c r="E1681" s="3" t="s">
        <v>550</v>
      </c>
      <c r="F1681" s="23">
        <v>249000</v>
      </c>
      <c r="G1681" s="15">
        <v>2012</v>
      </c>
      <c r="H1681" s="15">
        <f>Table_7[[#This Row],[Listing Price (USD)]]/10000</f>
        <v>24.9</v>
      </c>
      <c r="I1681" s="28">
        <f>Table_7[[#This Row],[Length 
(ft)]]</f>
        <v>44</v>
      </c>
      <c r="J1681" s="28">
        <f>2020-Table_7[[#This Row],[Year]]</f>
        <v>8</v>
      </c>
      <c r="K1681">
        <v>677561000000</v>
      </c>
      <c r="L1681">
        <v>57466.28</v>
      </c>
      <c r="M1681">
        <v>1.23</v>
      </c>
      <c r="N1681">
        <v>3.5</v>
      </c>
      <c r="O1681">
        <v>39.369999999999997</v>
      </c>
      <c r="P1681">
        <v>835.00199999999995</v>
      </c>
      <c r="Q1681">
        <v>53</v>
      </c>
      <c r="R1681">
        <v>13.91</v>
      </c>
    </row>
    <row r="1682" spans="1:18" x14ac:dyDescent="0.25">
      <c r="A1682" s="1" t="s">
        <v>195</v>
      </c>
      <c r="B1682" s="2" t="s">
        <v>216</v>
      </c>
      <c r="C1682" s="19">
        <v>44</v>
      </c>
      <c r="D1682" s="3" t="s">
        <v>496</v>
      </c>
      <c r="E1682" s="3" t="s">
        <v>19</v>
      </c>
      <c r="F1682" s="23">
        <v>251808</v>
      </c>
      <c r="G1682" s="15">
        <v>2012</v>
      </c>
      <c r="H1682" s="15">
        <f>Table_7[[#This Row],[Listing Price (USD)]]/10000</f>
        <v>25.180800000000001</v>
      </c>
      <c r="I1682" s="28">
        <f>Table_7[[#This Row],[Length 
(ft)]]</f>
        <v>44</v>
      </c>
      <c r="J1682" s="28">
        <f>2020-Table_7[[#This Row],[Year]]</f>
        <v>8</v>
      </c>
      <c r="K1682">
        <v>4200000000</v>
      </c>
      <c r="L1682">
        <v>39553.199999999997</v>
      </c>
      <c r="M1682">
        <v>4.0999999999999996</v>
      </c>
      <c r="N1682">
        <v>-2.1</v>
      </c>
      <c r="O1682">
        <v>39.369999999999997</v>
      </c>
      <c r="P1682">
        <v>835.00199999999995</v>
      </c>
      <c r="Q1682">
        <v>53</v>
      </c>
      <c r="R1682">
        <v>13.91</v>
      </c>
    </row>
    <row r="1683" spans="1:18" x14ac:dyDescent="0.25">
      <c r="A1683" s="1" t="s">
        <v>195</v>
      </c>
      <c r="B1683" s="2" t="s">
        <v>216</v>
      </c>
      <c r="C1683" s="19">
        <v>44</v>
      </c>
      <c r="D1683" s="3" t="s">
        <v>496</v>
      </c>
      <c r="E1683" s="3" t="s">
        <v>9</v>
      </c>
      <c r="F1683" s="23">
        <v>261160</v>
      </c>
      <c r="G1683" s="15">
        <v>2016</v>
      </c>
      <c r="H1683" s="15">
        <f>Table_7[[#This Row],[Listing Price (USD)]]/10000</f>
        <v>26.116</v>
      </c>
      <c r="I1683" s="28">
        <f>Table_7[[#This Row],[Length 
(ft)]]</f>
        <v>44</v>
      </c>
      <c r="J1683" s="28">
        <f>2020-Table_7[[#This Row],[Year]]</f>
        <v>4</v>
      </c>
      <c r="K1683">
        <v>1276962685648.25</v>
      </c>
      <c r="L1683">
        <v>26959.675436732599</v>
      </c>
      <c r="M1683">
        <v>-0.32275301729970501</v>
      </c>
      <c r="N1683">
        <v>-11.3254383222864</v>
      </c>
      <c r="O1683">
        <v>39.369999999999997</v>
      </c>
      <c r="P1683">
        <v>835.00199999999995</v>
      </c>
      <c r="Q1683">
        <v>53</v>
      </c>
      <c r="R1683">
        <v>13.91</v>
      </c>
    </row>
    <row r="1684" spans="1:18" x14ac:dyDescent="0.25">
      <c r="A1684" s="1" t="s">
        <v>195</v>
      </c>
      <c r="B1684" s="3" t="s">
        <v>216</v>
      </c>
      <c r="C1684" s="19">
        <v>44</v>
      </c>
      <c r="D1684" s="3" t="s">
        <v>495</v>
      </c>
      <c r="E1684" s="3" t="s">
        <v>555</v>
      </c>
      <c r="F1684" s="23">
        <v>269900</v>
      </c>
      <c r="G1684" s="15">
        <v>2014</v>
      </c>
      <c r="H1684" s="15">
        <f>Table_7[[#This Row],[Listing Price (USD)]]/10000</f>
        <v>26.99</v>
      </c>
      <c r="I1684" s="28">
        <f>Table_7[[#This Row],[Length 
(ft)]]</f>
        <v>44</v>
      </c>
      <c r="J1684" s="28">
        <f>2020-Table_7[[#This Row],[Year]]</f>
        <v>6</v>
      </c>
      <c r="K1684">
        <v>4200000000</v>
      </c>
      <c r="L1684">
        <v>39553.199999999997</v>
      </c>
      <c r="M1684">
        <v>1.23</v>
      </c>
      <c r="N1684">
        <v>-2.1</v>
      </c>
      <c r="O1684">
        <v>39.369999999999997</v>
      </c>
      <c r="P1684">
        <v>835.00199999999995</v>
      </c>
      <c r="Q1684">
        <v>53</v>
      </c>
      <c r="R1684">
        <v>13.91</v>
      </c>
    </row>
    <row r="1685" spans="1:18" x14ac:dyDescent="0.25">
      <c r="A1685" s="1" t="s">
        <v>195</v>
      </c>
      <c r="B1685" s="2" t="s">
        <v>216</v>
      </c>
      <c r="C1685" s="19">
        <v>44</v>
      </c>
      <c r="D1685" s="3" t="s">
        <v>496</v>
      </c>
      <c r="E1685" s="3" t="s">
        <v>19</v>
      </c>
      <c r="F1685" s="23">
        <v>293043</v>
      </c>
      <c r="G1685" s="15">
        <v>2016</v>
      </c>
      <c r="H1685" s="15">
        <f>Table_7[[#This Row],[Listing Price (USD)]]/10000</f>
        <v>29.304300000000001</v>
      </c>
      <c r="I1685" s="28">
        <f>Table_7[[#This Row],[Length 
(ft)]]</f>
        <v>44</v>
      </c>
      <c r="J1685" s="28">
        <f>2020-Table_7[[#This Row],[Year]]</f>
        <v>4</v>
      </c>
      <c r="K1685">
        <v>4200000000</v>
      </c>
      <c r="L1685">
        <v>39553.199999999997</v>
      </c>
      <c r="M1685">
        <v>4.0999999999999996</v>
      </c>
      <c r="N1685">
        <v>-2.1</v>
      </c>
      <c r="O1685">
        <v>39.369999999999997</v>
      </c>
      <c r="P1685">
        <v>835.00199999999995</v>
      </c>
      <c r="Q1685">
        <v>53</v>
      </c>
      <c r="R1685">
        <v>13.91</v>
      </c>
    </row>
    <row r="1686" spans="1:18" x14ac:dyDescent="0.25">
      <c r="A1686" s="1" t="s">
        <v>195</v>
      </c>
      <c r="B1686" s="2" t="s">
        <v>216</v>
      </c>
      <c r="C1686" s="19">
        <v>44</v>
      </c>
      <c r="D1686" s="3" t="s">
        <v>496</v>
      </c>
      <c r="E1686" s="3" t="s">
        <v>31</v>
      </c>
      <c r="F1686" s="23">
        <v>297601</v>
      </c>
      <c r="G1686" s="15">
        <v>2014</v>
      </c>
      <c r="H1686" s="15">
        <f>Table_7[[#This Row],[Listing Price (USD)]]/10000</f>
        <v>29.760100000000001</v>
      </c>
      <c r="I1686" s="28">
        <f>Table_7[[#This Row],[Length 
(ft)]]</f>
        <v>44</v>
      </c>
      <c r="J1686" s="28">
        <f>2020-Table_7[[#This Row],[Year]]</f>
        <v>6</v>
      </c>
      <c r="K1686">
        <v>57472012426.685303</v>
      </c>
      <c r="L1686">
        <v>14198.753959474399</v>
      </c>
      <c r="M1686">
        <v>0.15481137456202801</v>
      </c>
      <c r="N1686">
        <v>-8.5803430210621805</v>
      </c>
      <c r="O1686">
        <v>39.369999999999997</v>
      </c>
      <c r="P1686">
        <v>835.00199999999995</v>
      </c>
      <c r="Q1686">
        <v>53</v>
      </c>
      <c r="R1686">
        <v>13.91</v>
      </c>
    </row>
    <row r="1687" spans="1:18" x14ac:dyDescent="0.25">
      <c r="A1687" s="1" t="s">
        <v>195</v>
      </c>
      <c r="B1687" s="2" t="s">
        <v>217</v>
      </c>
      <c r="C1687" s="19">
        <v>44</v>
      </c>
      <c r="D1687" s="3" t="s">
        <v>496</v>
      </c>
      <c r="E1687" s="3" t="s">
        <v>31</v>
      </c>
      <c r="F1687" s="23">
        <v>255052</v>
      </c>
      <c r="G1687" s="15">
        <v>2019</v>
      </c>
      <c r="H1687" s="15">
        <f>Table_7[[#This Row],[Listing Price (USD)]]/10000</f>
        <v>25.505199999999999</v>
      </c>
      <c r="I1687" s="28">
        <f>Table_7[[#This Row],[Length 
(ft)]]</f>
        <v>44</v>
      </c>
      <c r="J1687" s="28">
        <f>2020-Table_7[[#This Row],[Year]]</f>
        <v>1</v>
      </c>
      <c r="K1687">
        <v>57472012426.685303</v>
      </c>
      <c r="L1687">
        <v>14198.753959474399</v>
      </c>
      <c r="M1687">
        <v>0.15481137456202801</v>
      </c>
      <c r="N1687">
        <v>-8.5803430210621805</v>
      </c>
      <c r="O1687">
        <v>39.369999999999997</v>
      </c>
      <c r="P1687">
        <v>842.00199999999995</v>
      </c>
      <c r="Q1687">
        <v>53</v>
      </c>
      <c r="R1687">
        <v>14.07</v>
      </c>
    </row>
    <row r="1688" spans="1:18" x14ac:dyDescent="0.25">
      <c r="A1688" s="1" t="s">
        <v>195</v>
      </c>
      <c r="B1688" s="2" t="s">
        <v>217</v>
      </c>
      <c r="C1688" s="19">
        <v>42</v>
      </c>
      <c r="D1688" s="3" t="s">
        <v>496</v>
      </c>
      <c r="E1688" s="3" t="s">
        <v>18</v>
      </c>
      <c r="F1688" s="23">
        <v>261170</v>
      </c>
      <c r="G1688" s="15">
        <v>2018</v>
      </c>
      <c r="H1688" s="15">
        <f>Table_7[[#This Row],[Listing Price (USD)]]/10000</f>
        <v>26.117000000000001</v>
      </c>
      <c r="I1688" s="28">
        <f>Table_7[[#This Row],[Length 
(ft)]]</f>
        <v>42</v>
      </c>
      <c r="J1688" s="28">
        <f>2020-Table_7[[#This Row],[Year]]</f>
        <v>2</v>
      </c>
      <c r="K1688">
        <v>188925995936.80701</v>
      </c>
      <c r="L1688">
        <v>17658.947301119199</v>
      </c>
      <c r="M1688">
        <v>-1.2479835558140799</v>
      </c>
      <c r="N1688">
        <v>-9.0040436420214593</v>
      </c>
      <c r="O1688">
        <v>39.369999999999997</v>
      </c>
      <c r="P1688">
        <v>842.00199999999995</v>
      </c>
      <c r="Q1688">
        <v>53</v>
      </c>
      <c r="R1688">
        <v>14.07</v>
      </c>
    </row>
    <row r="1689" spans="1:18" x14ac:dyDescent="0.25">
      <c r="A1689" s="1" t="s">
        <v>195</v>
      </c>
      <c r="B1689" s="2" t="s">
        <v>217</v>
      </c>
      <c r="C1689" s="19">
        <v>42</v>
      </c>
      <c r="D1689" s="3" t="s">
        <v>496</v>
      </c>
      <c r="E1689" s="3" t="s">
        <v>24</v>
      </c>
      <c r="F1689" s="23">
        <v>291539</v>
      </c>
      <c r="G1689" s="15">
        <v>2018</v>
      </c>
      <c r="H1689" s="15">
        <f>Table_7[[#This Row],[Listing Price (USD)]]/10000</f>
        <v>29.1539</v>
      </c>
      <c r="I1689" s="28">
        <f>Table_7[[#This Row],[Length 
(ft)]]</f>
        <v>42</v>
      </c>
      <c r="J1689" s="28">
        <f>2020-Table_7[[#This Row],[Year]]</f>
        <v>2</v>
      </c>
      <c r="K1689">
        <v>1896755301518.1399</v>
      </c>
      <c r="L1689">
        <v>31911.0357890017</v>
      </c>
      <c r="M1689">
        <v>-0.13770757391656999</v>
      </c>
      <c r="N1689">
        <v>-9.0399534112288507</v>
      </c>
      <c r="O1689">
        <v>39.369999999999997</v>
      </c>
      <c r="P1689">
        <v>842.00199999999995</v>
      </c>
      <c r="Q1689">
        <v>53</v>
      </c>
      <c r="R1689">
        <v>14.07</v>
      </c>
    </row>
    <row r="1690" spans="1:18" x14ac:dyDescent="0.25">
      <c r="A1690" s="1" t="s">
        <v>195</v>
      </c>
      <c r="B1690" s="2" t="s">
        <v>217</v>
      </c>
      <c r="C1690" s="19">
        <v>42</v>
      </c>
      <c r="D1690" s="3" t="s">
        <v>496</v>
      </c>
      <c r="E1690" s="3" t="s">
        <v>24</v>
      </c>
      <c r="F1690" s="23">
        <v>297560</v>
      </c>
      <c r="G1690" s="15">
        <v>2018</v>
      </c>
      <c r="H1690" s="15">
        <f>Table_7[[#This Row],[Listing Price (USD)]]/10000</f>
        <v>29.756</v>
      </c>
      <c r="I1690" s="28">
        <f>Table_7[[#This Row],[Length 
(ft)]]</f>
        <v>42</v>
      </c>
      <c r="J1690" s="28">
        <f>2020-Table_7[[#This Row],[Year]]</f>
        <v>2</v>
      </c>
      <c r="K1690">
        <v>1896755301518.1399</v>
      </c>
      <c r="L1690">
        <v>31911.0357890017</v>
      </c>
      <c r="M1690">
        <v>-0.13770757391656999</v>
      </c>
      <c r="N1690">
        <v>-9.0399534112288507</v>
      </c>
      <c r="O1690">
        <v>39.369999999999997</v>
      </c>
      <c r="P1690">
        <v>842.00199999999995</v>
      </c>
      <c r="Q1690">
        <v>53</v>
      </c>
      <c r="R1690">
        <v>14.07</v>
      </c>
    </row>
    <row r="1691" spans="1:18" x14ac:dyDescent="0.25">
      <c r="A1691" s="1" t="s">
        <v>195</v>
      </c>
      <c r="B1691" s="3" t="s">
        <v>217</v>
      </c>
      <c r="C1691" s="19">
        <v>42</v>
      </c>
      <c r="D1691" s="3" t="s">
        <v>497</v>
      </c>
      <c r="E1691" s="3" t="s">
        <v>370</v>
      </c>
      <c r="F1691" s="23">
        <v>319782</v>
      </c>
      <c r="G1691" s="15">
        <v>2019</v>
      </c>
      <c r="H1691" s="15">
        <f>Table_7[[#This Row],[Listing Price (USD)]]/10000</f>
        <v>31.978200000000001</v>
      </c>
      <c r="I1691" s="28">
        <f>Table_7[[#This Row],[Length 
(ft)]]</f>
        <v>42</v>
      </c>
      <c r="J1691" s="28">
        <f>2020-Table_7[[#This Row],[Year]]</f>
        <v>1</v>
      </c>
      <c r="K1691">
        <v>500000000</v>
      </c>
      <c r="L1691">
        <v>34200</v>
      </c>
      <c r="M1691">
        <v>1.1000000000000001</v>
      </c>
      <c r="N1691">
        <v>2</v>
      </c>
      <c r="O1691">
        <v>39.369999999999997</v>
      </c>
      <c r="P1691">
        <v>842.00199999999995</v>
      </c>
      <c r="Q1691">
        <v>53</v>
      </c>
      <c r="R1691">
        <v>14.07</v>
      </c>
    </row>
    <row r="1692" spans="1:18" x14ac:dyDescent="0.25">
      <c r="A1692" s="1" t="s">
        <v>195</v>
      </c>
      <c r="B1692" s="2" t="s">
        <v>217</v>
      </c>
      <c r="C1692" s="19">
        <v>42</v>
      </c>
      <c r="D1692" s="3" t="s">
        <v>496</v>
      </c>
      <c r="E1692" s="3" t="s">
        <v>3</v>
      </c>
      <c r="F1692" s="23">
        <v>326709</v>
      </c>
      <c r="G1692" s="15">
        <v>2019</v>
      </c>
      <c r="H1692" s="15">
        <f>Table_7[[#This Row],[Listing Price (USD)]]/10000</f>
        <v>32.670900000000003</v>
      </c>
      <c r="I1692" s="28">
        <f>Table_7[[#This Row],[Length 
(ft)]]</f>
        <v>42</v>
      </c>
      <c r="J1692" s="28">
        <f>2020-Table_7[[#This Row],[Year]]</f>
        <v>1</v>
      </c>
      <c r="K1692">
        <v>2639008701648.2598</v>
      </c>
      <c r="L1692">
        <v>39055.282928075401</v>
      </c>
      <c r="M1692">
        <v>0.47649885272508302</v>
      </c>
      <c r="N1692">
        <v>-7.7845864916787102</v>
      </c>
      <c r="O1692">
        <v>39.369999999999997</v>
      </c>
      <c r="P1692">
        <v>842.00199999999995</v>
      </c>
      <c r="Q1692">
        <v>53</v>
      </c>
      <c r="R1692">
        <v>14.07</v>
      </c>
    </row>
    <row r="1693" spans="1:18" x14ac:dyDescent="0.25">
      <c r="A1693" s="1" t="s">
        <v>195</v>
      </c>
      <c r="B1693" s="2" t="s">
        <v>217</v>
      </c>
      <c r="C1693" s="19">
        <v>42</v>
      </c>
      <c r="D1693" s="3" t="s">
        <v>496</v>
      </c>
      <c r="E1693" s="3" t="s">
        <v>18</v>
      </c>
      <c r="F1693" s="23">
        <v>393034</v>
      </c>
      <c r="G1693" s="15">
        <v>2018</v>
      </c>
      <c r="H1693" s="15">
        <f>Table_7[[#This Row],[Listing Price (USD)]]/10000</f>
        <v>39.303400000000003</v>
      </c>
      <c r="I1693" s="28">
        <f>Table_7[[#This Row],[Length 
(ft)]]</f>
        <v>42</v>
      </c>
      <c r="J1693" s="28">
        <f>2020-Table_7[[#This Row],[Year]]</f>
        <v>2</v>
      </c>
      <c r="K1693">
        <v>188925995936.80701</v>
      </c>
      <c r="L1693">
        <v>17658.947301119199</v>
      </c>
      <c r="M1693">
        <v>-1.2479835558140799</v>
      </c>
      <c r="N1693">
        <v>-9.0040436420214593</v>
      </c>
      <c r="O1693">
        <v>39.369999999999997</v>
      </c>
      <c r="P1693">
        <v>842.00199999999995</v>
      </c>
      <c r="Q1693">
        <v>53</v>
      </c>
      <c r="R1693">
        <v>14.07</v>
      </c>
    </row>
    <row r="1694" spans="1:18" x14ac:dyDescent="0.25">
      <c r="A1694" s="1" t="s">
        <v>195</v>
      </c>
      <c r="B1694" s="3" t="s">
        <v>217</v>
      </c>
      <c r="C1694" s="19">
        <v>42</v>
      </c>
      <c r="D1694" s="3" t="s">
        <v>495</v>
      </c>
      <c r="E1694" s="3" t="s">
        <v>333</v>
      </c>
      <c r="F1694" s="23">
        <v>425000</v>
      </c>
      <c r="G1694" s="15">
        <v>2019</v>
      </c>
      <c r="H1694" s="15">
        <f>Table_7[[#This Row],[Listing Price (USD)]]/10000</f>
        <v>42.5</v>
      </c>
      <c r="I1694" s="28">
        <f>Table_7[[#This Row],[Length 
(ft)]]</f>
        <v>42</v>
      </c>
      <c r="J1694" s="28">
        <f>2020-Table_7[[#This Row],[Year]]</f>
        <v>1</v>
      </c>
      <c r="K1694">
        <v>1106036000000</v>
      </c>
      <c r="L1694">
        <v>51276.72</v>
      </c>
      <c r="M1694">
        <v>1.23</v>
      </c>
      <c r="N1694">
        <v>2.9</v>
      </c>
      <c r="O1694">
        <v>39.369999999999997</v>
      </c>
      <c r="P1694">
        <v>842.00199999999995</v>
      </c>
      <c r="Q1694">
        <v>53</v>
      </c>
      <c r="R1694">
        <v>14.07</v>
      </c>
    </row>
    <row r="1695" spans="1:18" x14ac:dyDescent="0.25">
      <c r="A1695" s="1" t="s">
        <v>304</v>
      </c>
      <c r="B1695" s="2" t="s">
        <v>311</v>
      </c>
      <c r="C1695" s="19">
        <v>43</v>
      </c>
      <c r="D1695" s="3" t="s">
        <v>496</v>
      </c>
      <c r="E1695" s="3" t="s">
        <v>19</v>
      </c>
      <c r="F1695" s="23">
        <v>546613</v>
      </c>
      <c r="G1695" s="15">
        <v>2019</v>
      </c>
      <c r="H1695" s="15">
        <f>Table_7[[#This Row],[Listing Price (USD)]]/10000</f>
        <v>54.661299999999997</v>
      </c>
      <c r="I1695" s="28">
        <f>Table_7[[#This Row],[Length 
(ft)]]</f>
        <v>43</v>
      </c>
      <c r="J1695" s="28">
        <f>2020-Table_7[[#This Row],[Year]]</f>
        <v>1</v>
      </c>
      <c r="K1695">
        <v>4200000000</v>
      </c>
      <c r="L1695">
        <v>39553.199999999997</v>
      </c>
      <c r="M1695">
        <v>4.0999999999999996</v>
      </c>
      <c r="N1695">
        <v>-2.1</v>
      </c>
      <c r="O1695">
        <v>37.11</v>
      </c>
      <c r="P1695">
        <v>1043.002</v>
      </c>
      <c r="Q1695">
        <v>53</v>
      </c>
      <c r="R1695">
        <v>12.96</v>
      </c>
    </row>
    <row r="1696" spans="1:18" x14ac:dyDescent="0.25">
      <c r="A1696" s="1" t="s">
        <v>304</v>
      </c>
      <c r="B1696" s="3" t="s">
        <v>312</v>
      </c>
      <c r="C1696" s="19">
        <v>44</v>
      </c>
      <c r="D1696" s="3" t="s">
        <v>495</v>
      </c>
      <c r="E1696" s="3" t="s">
        <v>499</v>
      </c>
      <c r="F1696" s="23">
        <v>475000</v>
      </c>
      <c r="G1696" s="15">
        <v>2012</v>
      </c>
      <c r="H1696" s="15">
        <f>Table_7[[#This Row],[Listing Price (USD)]]/10000</f>
        <v>47.5</v>
      </c>
      <c r="I1696" s="28">
        <f>Table_7[[#This Row],[Length 
(ft)]]</f>
        <v>44</v>
      </c>
      <c r="J1696" s="28">
        <f>2020-Table_7[[#This Row],[Year]]</f>
        <v>8</v>
      </c>
      <c r="K1696">
        <v>212540000000</v>
      </c>
      <c r="L1696">
        <v>76778.559999999998</v>
      </c>
      <c r="M1696">
        <v>1.23</v>
      </c>
      <c r="N1696">
        <v>2.2000000000000002</v>
      </c>
      <c r="O1696">
        <v>39.01</v>
      </c>
      <c r="P1696">
        <v>1140.002</v>
      </c>
      <c r="Q1696">
        <v>53</v>
      </c>
      <c r="R1696">
        <v>13.35</v>
      </c>
    </row>
    <row r="1697" spans="1:18" x14ac:dyDescent="0.25">
      <c r="A1697" s="1" t="s">
        <v>304</v>
      </c>
      <c r="B1697" s="2" t="s">
        <v>312</v>
      </c>
      <c r="C1697" s="19">
        <v>44</v>
      </c>
      <c r="D1697" s="3" t="s">
        <v>496</v>
      </c>
      <c r="E1697" s="3" t="s">
        <v>536</v>
      </c>
      <c r="F1697" s="23">
        <v>498026</v>
      </c>
      <c r="G1697" s="15">
        <v>2012</v>
      </c>
      <c r="H1697" s="15">
        <f>Table_7[[#This Row],[Listing Price (USD)]]/10000</f>
        <v>49.802599999999998</v>
      </c>
      <c r="I1697" s="28">
        <f>Table_7[[#This Row],[Length 
(ft)]]</f>
        <v>44</v>
      </c>
      <c r="J1697" s="28">
        <f>2020-Table_7[[#This Row],[Year]]</f>
        <v>8</v>
      </c>
      <c r="K1697">
        <v>355222449505.211</v>
      </c>
      <c r="L1697">
        <v>60915.424399546202</v>
      </c>
      <c r="M1697">
        <v>0.42071197411002598</v>
      </c>
      <c r="N1697">
        <v>-1.99460756850381</v>
      </c>
      <c r="O1697">
        <v>39.01</v>
      </c>
      <c r="P1697">
        <v>1140.002</v>
      </c>
      <c r="Q1697">
        <v>53</v>
      </c>
      <c r="R1697">
        <v>13.35</v>
      </c>
    </row>
    <row r="1698" spans="1:18" x14ac:dyDescent="0.25">
      <c r="A1698" s="1" t="s">
        <v>304</v>
      </c>
      <c r="B1698" s="2" t="s">
        <v>312</v>
      </c>
      <c r="C1698" s="19">
        <v>44</v>
      </c>
      <c r="D1698" s="3" t="s">
        <v>496</v>
      </c>
      <c r="E1698" s="3" t="s">
        <v>56</v>
      </c>
      <c r="F1698" s="23">
        <v>516246</v>
      </c>
      <c r="G1698" s="15">
        <v>2015</v>
      </c>
      <c r="H1698" s="15">
        <f>Table_7[[#This Row],[Listing Price (USD)]]/10000</f>
        <v>51.624600000000001</v>
      </c>
      <c r="I1698" s="28">
        <f>Table_7[[#This Row],[Length 
(ft)]]</f>
        <v>44</v>
      </c>
      <c r="J1698" s="28">
        <f>2020-Table_7[[#This Row],[Year]]</f>
        <v>5</v>
      </c>
      <c r="K1698">
        <v>4200000000</v>
      </c>
      <c r="L1698">
        <v>39553.199999999997</v>
      </c>
      <c r="M1698">
        <v>2.5</v>
      </c>
      <c r="N1698">
        <v>-2.1</v>
      </c>
      <c r="O1698">
        <v>39.01</v>
      </c>
      <c r="P1698">
        <v>1140.002</v>
      </c>
      <c r="Q1698">
        <v>53</v>
      </c>
      <c r="R1698">
        <v>13.35</v>
      </c>
    </row>
    <row r="1699" spans="1:18" x14ac:dyDescent="0.25">
      <c r="A1699" s="1" t="s">
        <v>304</v>
      </c>
      <c r="B1699" s="2" t="s">
        <v>312</v>
      </c>
      <c r="C1699" s="19">
        <v>44</v>
      </c>
      <c r="D1699" s="3" t="s">
        <v>496</v>
      </c>
      <c r="E1699" s="3" t="s">
        <v>63</v>
      </c>
      <c r="F1699" s="23">
        <v>516246</v>
      </c>
      <c r="G1699" s="15">
        <v>2014</v>
      </c>
      <c r="H1699" s="15">
        <f>Table_7[[#This Row],[Listing Price (USD)]]/10000</f>
        <v>51.624600000000001</v>
      </c>
      <c r="I1699" s="28">
        <f>Table_7[[#This Row],[Length 
(ft)]]</f>
        <v>44</v>
      </c>
      <c r="J1699" s="28">
        <f>2020-Table_7[[#This Row],[Year]]</f>
        <v>6</v>
      </c>
      <c r="K1699">
        <v>720290000000</v>
      </c>
      <c r="L1699">
        <v>13341.6</v>
      </c>
      <c r="M1699">
        <v>13</v>
      </c>
      <c r="N1699">
        <v>-3</v>
      </c>
      <c r="O1699">
        <v>39.01</v>
      </c>
      <c r="P1699">
        <v>1140.002</v>
      </c>
      <c r="Q1699">
        <v>53</v>
      </c>
      <c r="R1699">
        <v>13.35</v>
      </c>
    </row>
    <row r="1700" spans="1:18" x14ac:dyDescent="0.25">
      <c r="A1700" s="1" t="s">
        <v>304</v>
      </c>
      <c r="B1700" s="3" t="s">
        <v>312</v>
      </c>
      <c r="C1700" s="19">
        <v>44</v>
      </c>
      <c r="D1700" s="3" t="s">
        <v>495</v>
      </c>
      <c r="E1700" s="3" t="s">
        <v>499</v>
      </c>
      <c r="F1700" s="23">
        <v>575000</v>
      </c>
      <c r="G1700" s="15">
        <v>2016</v>
      </c>
      <c r="H1700" s="15">
        <f>Table_7[[#This Row],[Listing Price (USD)]]/10000</f>
        <v>57.5</v>
      </c>
      <c r="I1700" s="28">
        <f>Table_7[[#This Row],[Length 
(ft)]]</f>
        <v>44</v>
      </c>
      <c r="J1700" s="28">
        <f>2020-Table_7[[#This Row],[Year]]</f>
        <v>4</v>
      </c>
      <c r="K1700">
        <v>212540000000</v>
      </c>
      <c r="L1700">
        <v>76778.559999999998</v>
      </c>
      <c r="M1700">
        <v>1.23</v>
      </c>
      <c r="N1700">
        <v>2.2000000000000002</v>
      </c>
      <c r="O1700">
        <v>39.01</v>
      </c>
      <c r="P1700">
        <v>1140.002</v>
      </c>
      <c r="Q1700">
        <v>53</v>
      </c>
      <c r="R1700">
        <v>13.35</v>
      </c>
    </row>
    <row r="1701" spans="1:18" x14ac:dyDescent="0.25">
      <c r="A1701" s="1" t="s">
        <v>243</v>
      </c>
      <c r="B1701" s="2">
        <v>1300</v>
      </c>
      <c r="C1701" s="19">
        <v>41</v>
      </c>
      <c r="D1701" s="3" t="s">
        <v>496</v>
      </c>
      <c r="E1701" s="3" t="s">
        <v>22</v>
      </c>
      <c r="F1701" s="23">
        <v>290312</v>
      </c>
      <c r="G1701" s="15">
        <v>2008</v>
      </c>
      <c r="H1701" s="15">
        <f>Table_7[[#This Row],[Listing Price (USD)]]/10000</f>
        <v>29.031199999999998</v>
      </c>
      <c r="I1701" s="28">
        <f>Table_7[[#This Row],[Length 
(ft)]]</f>
        <v>41</v>
      </c>
      <c r="J1701" s="28">
        <f>2020-Table_7[[#This Row],[Year]]</f>
        <v>12</v>
      </c>
      <c r="K1701">
        <v>3889668895299.6201</v>
      </c>
      <c r="L1701">
        <v>46772.825350754501</v>
      </c>
      <c r="M1701">
        <v>0.50668988995327402</v>
      </c>
      <c r="N1701">
        <v>-3.6967887053804298</v>
      </c>
      <c r="O1701">
        <v>37.14</v>
      </c>
      <c r="P1701">
        <v>961.22</v>
      </c>
      <c r="Q1701">
        <v>52</v>
      </c>
      <c r="R1701">
        <v>12.47</v>
      </c>
    </row>
    <row r="1702" spans="1:18" x14ac:dyDescent="0.25">
      <c r="A1702" s="1" t="s">
        <v>243</v>
      </c>
      <c r="B1702" s="2">
        <v>1300</v>
      </c>
      <c r="C1702" s="19">
        <v>41</v>
      </c>
      <c r="D1702" s="3" t="s">
        <v>496</v>
      </c>
      <c r="E1702" s="3" t="s">
        <v>24</v>
      </c>
      <c r="F1702" s="23">
        <v>302459</v>
      </c>
      <c r="G1702" s="15">
        <v>2007</v>
      </c>
      <c r="H1702" s="15">
        <f>Table_7[[#This Row],[Listing Price (USD)]]/10000</f>
        <v>30.245899999999999</v>
      </c>
      <c r="I1702" s="28">
        <f>Table_7[[#This Row],[Length 
(ft)]]</f>
        <v>41</v>
      </c>
      <c r="J1702" s="28">
        <f>2020-Table_7[[#This Row],[Year]]</f>
        <v>13</v>
      </c>
      <c r="K1702">
        <v>1896755301518.1399</v>
      </c>
      <c r="L1702">
        <v>31911.0357890017</v>
      </c>
      <c r="M1702">
        <v>-0.13770757391656999</v>
      </c>
      <c r="N1702">
        <v>-9.0399534112288507</v>
      </c>
      <c r="O1702">
        <v>37.14</v>
      </c>
      <c r="P1702">
        <v>961.22</v>
      </c>
      <c r="Q1702">
        <v>52</v>
      </c>
      <c r="R1702">
        <v>12.47</v>
      </c>
    </row>
    <row r="1703" spans="1:18" x14ac:dyDescent="0.25">
      <c r="A1703" s="1" t="s">
        <v>243</v>
      </c>
      <c r="B1703" s="2">
        <v>1300</v>
      </c>
      <c r="C1703" s="19">
        <v>41</v>
      </c>
      <c r="D1703" s="3" t="s">
        <v>496</v>
      </c>
      <c r="E1703" s="3" t="s">
        <v>22</v>
      </c>
      <c r="F1703" s="23">
        <v>347601</v>
      </c>
      <c r="G1703" s="15">
        <v>2008</v>
      </c>
      <c r="H1703" s="15">
        <f>Table_7[[#This Row],[Listing Price (USD)]]/10000</f>
        <v>34.760100000000001</v>
      </c>
      <c r="I1703" s="28">
        <f>Table_7[[#This Row],[Length 
(ft)]]</f>
        <v>41</v>
      </c>
      <c r="J1703" s="28">
        <f>2020-Table_7[[#This Row],[Year]]</f>
        <v>12</v>
      </c>
      <c r="K1703">
        <v>3889668895299.6201</v>
      </c>
      <c r="L1703">
        <v>46772.825350754501</v>
      </c>
      <c r="M1703">
        <v>0.50668988995327402</v>
      </c>
      <c r="N1703">
        <v>-3.6967887053804298</v>
      </c>
      <c r="O1703">
        <v>37.14</v>
      </c>
      <c r="P1703">
        <v>961.22</v>
      </c>
      <c r="Q1703">
        <v>52</v>
      </c>
      <c r="R1703">
        <v>12.47</v>
      </c>
    </row>
    <row r="1704" spans="1:18" x14ac:dyDescent="0.25">
      <c r="A1704" s="1" t="s">
        <v>187</v>
      </c>
      <c r="B1704" s="3" t="s">
        <v>342</v>
      </c>
      <c r="C1704" s="19">
        <v>45</v>
      </c>
      <c r="D1704" s="3" t="s">
        <v>495</v>
      </c>
      <c r="E1704" s="3" t="s">
        <v>515</v>
      </c>
      <c r="F1704" s="23">
        <v>167500</v>
      </c>
      <c r="G1704" s="15">
        <v>2006</v>
      </c>
      <c r="H1704" s="15">
        <f>Table_7[[#This Row],[Listing Price (USD)]]/10000</f>
        <v>16.75</v>
      </c>
      <c r="I1704" s="28">
        <f>Table_7[[#This Row],[Length 
(ft)]]</f>
        <v>45</v>
      </c>
      <c r="J1704" s="28">
        <f>2020-Table_7[[#This Row],[Year]]</f>
        <v>14</v>
      </c>
      <c r="K1704">
        <v>410675000000</v>
      </c>
      <c r="L1704">
        <v>66531.03</v>
      </c>
      <c r="M1704">
        <v>1.23</v>
      </c>
      <c r="N1704">
        <v>1.8</v>
      </c>
      <c r="O1704">
        <v>34.5</v>
      </c>
      <c r="P1704">
        <v>915.00199999999995</v>
      </c>
      <c r="Q1704">
        <v>50</v>
      </c>
      <c r="R1704">
        <v>12.5</v>
      </c>
    </row>
    <row r="1705" spans="1:18" x14ac:dyDescent="0.25">
      <c r="A1705" s="1" t="s">
        <v>187</v>
      </c>
      <c r="B1705" s="3" t="s">
        <v>342</v>
      </c>
      <c r="C1705" s="19">
        <v>45</v>
      </c>
      <c r="D1705" s="3" t="s">
        <v>495</v>
      </c>
      <c r="E1705" s="3" t="s">
        <v>527</v>
      </c>
      <c r="F1705" s="23">
        <v>173000</v>
      </c>
      <c r="G1705" s="15">
        <v>2007</v>
      </c>
      <c r="H1705" s="15">
        <f>Table_7[[#This Row],[Listing Price (USD)]]/10000</f>
        <v>17.3</v>
      </c>
      <c r="I1705" s="28">
        <f>Table_7[[#This Row],[Length 
(ft)]]</f>
        <v>45</v>
      </c>
      <c r="J1705" s="28">
        <f>2020-Table_7[[#This Row],[Year]]</f>
        <v>13</v>
      </c>
      <c r="K1705">
        <v>582477000000</v>
      </c>
      <c r="L1705">
        <v>82947.67</v>
      </c>
      <c r="M1705">
        <v>1.23</v>
      </c>
      <c r="N1705">
        <v>2.7</v>
      </c>
      <c r="O1705">
        <v>34.5</v>
      </c>
      <c r="P1705">
        <v>915.00199999999995</v>
      </c>
      <c r="Q1705">
        <v>50</v>
      </c>
      <c r="R1705">
        <v>12.5</v>
      </c>
    </row>
    <row r="1706" spans="1:18" x14ac:dyDescent="0.25">
      <c r="A1706" s="1" t="s">
        <v>388</v>
      </c>
      <c r="B1706" s="3" t="s">
        <v>342</v>
      </c>
      <c r="C1706" s="19">
        <v>45</v>
      </c>
      <c r="D1706" s="3" t="s">
        <v>497</v>
      </c>
      <c r="E1706" s="3" t="s">
        <v>520</v>
      </c>
      <c r="F1706" s="23">
        <v>174900</v>
      </c>
      <c r="G1706" s="15">
        <v>2008</v>
      </c>
      <c r="H1706" s="15">
        <f>Table_7[[#This Row],[Listing Price (USD)]]/10000</f>
        <v>17.489999999999998</v>
      </c>
      <c r="I1706" s="28">
        <f>Table_7[[#This Row],[Length 
(ft)]]</f>
        <v>45</v>
      </c>
      <c r="J1706" s="28">
        <f>2020-Table_7[[#This Row],[Year]]</f>
        <v>12</v>
      </c>
      <c r="K1706">
        <v>103020300000</v>
      </c>
      <c r="L1706">
        <v>31393.907369044598</v>
      </c>
      <c r="M1706">
        <v>3</v>
      </c>
      <c r="N1706">
        <v>-4.3534263366192603</v>
      </c>
      <c r="O1706">
        <v>34.5</v>
      </c>
      <c r="P1706">
        <v>915.00199999999995</v>
      </c>
      <c r="Q1706">
        <v>50</v>
      </c>
      <c r="R1706">
        <v>12.5</v>
      </c>
    </row>
    <row r="1707" spans="1:18" x14ac:dyDescent="0.25">
      <c r="A1707" s="1" t="s">
        <v>187</v>
      </c>
      <c r="B1707" s="3" t="s">
        <v>342</v>
      </c>
      <c r="C1707" s="19">
        <v>45</v>
      </c>
      <c r="D1707" s="3" t="s">
        <v>495</v>
      </c>
      <c r="E1707" s="3" t="s">
        <v>515</v>
      </c>
      <c r="F1707" s="23">
        <v>175900</v>
      </c>
      <c r="G1707" s="15">
        <v>2007</v>
      </c>
      <c r="H1707" s="15">
        <f>Table_7[[#This Row],[Listing Price (USD)]]/10000</f>
        <v>17.59</v>
      </c>
      <c r="I1707" s="28">
        <f>Table_7[[#This Row],[Length 
(ft)]]</f>
        <v>45</v>
      </c>
      <c r="J1707" s="28">
        <f>2020-Table_7[[#This Row],[Year]]</f>
        <v>13</v>
      </c>
      <c r="K1707">
        <v>410675000000</v>
      </c>
      <c r="L1707">
        <v>66531.03</v>
      </c>
      <c r="M1707">
        <v>1.23</v>
      </c>
      <c r="N1707">
        <v>1.8</v>
      </c>
      <c r="O1707">
        <v>34.5</v>
      </c>
      <c r="P1707">
        <v>915.00199999999995</v>
      </c>
      <c r="Q1707">
        <v>50</v>
      </c>
      <c r="R1707">
        <v>12.5</v>
      </c>
    </row>
    <row r="1708" spans="1:18" x14ac:dyDescent="0.25">
      <c r="A1708" s="1" t="s">
        <v>187</v>
      </c>
      <c r="B1708" s="3" t="s">
        <v>342</v>
      </c>
      <c r="C1708" s="19">
        <v>45</v>
      </c>
      <c r="D1708" s="3" t="s">
        <v>495</v>
      </c>
      <c r="E1708" s="3" t="s">
        <v>500</v>
      </c>
      <c r="F1708" s="23">
        <v>205000</v>
      </c>
      <c r="G1708" s="15">
        <v>2006</v>
      </c>
      <c r="H1708" s="15">
        <f>Table_7[[#This Row],[Listing Price (USD)]]/10000</f>
        <v>20.5</v>
      </c>
      <c r="I1708" s="28">
        <f>Table_7[[#This Row],[Length 
(ft)]]</f>
        <v>45</v>
      </c>
      <c r="J1708" s="28">
        <f>2020-Table_7[[#This Row],[Year]]</f>
        <v>14</v>
      </c>
      <c r="K1708">
        <v>3007188000000</v>
      </c>
      <c r="L1708">
        <v>76131.839999999997</v>
      </c>
      <c r="M1708">
        <v>1.23</v>
      </c>
      <c r="N1708">
        <v>2.7</v>
      </c>
      <c r="O1708">
        <v>34.5</v>
      </c>
      <c r="P1708">
        <v>915.00199999999995</v>
      </c>
      <c r="Q1708">
        <v>50</v>
      </c>
      <c r="R1708">
        <v>12.5</v>
      </c>
    </row>
    <row r="1709" spans="1:18" x14ac:dyDescent="0.25">
      <c r="A1709" s="1" t="s">
        <v>187</v>
      </c>
      <c r="B1709" s="3" t="s">
        <v>342</v>
      </c>
      <c r="C1709" s="19">
        <v>45</v>
      </c>
      <c r="D1709" s="3" t="s">
        <v>495</v>
      </c>
      <c r="E1709" s="3" t="s">
        <v>500</v>
      </c>
      <c r="F1709" s="23">
        <v>245000</v>
      </c>
      <c r="G1709" s="15">
        <v>2008</v>
      </c>
      <c r="H1709" s="15">
        <f>Table_7[[#This Row],[Listing Price (USD)]]/10000</f>
        <v>24.5</v>
      </c>
      <c r="I1709" s="28">
        <f>Table_7[[#This Row],[Length 
(ft)]]</f>
        <v>45</v>
      </c>
      <c r="J1709" s="28">
        <f>2020-Table_7[[#This Row],[Year]]</f>
        <v>12</v>
      </c>
      <c r="K1709">
        <v>3007188000000</v>
      </c>
      <c r="L1709">
        <v>76131.839999999997</v>
      </c>
      <c r="M1709">
        <v>1.23</v>
      </c>
      <c r="N1709">
        <v>2.7</v>
      </c>
      <c r="O1709">
        <v>34.5</v>
      </c>
      <c r="P1709">
        <v>915.00199999999995</v>
      </c>
      <c r="Q1709">
        <v>50</v>
      </c>
      <c r="R1709">
        <v>12.5</v>
      </c>
    </row>
    <row r="1710" spans="1:18" x14ac:dyDescent="0.25">
      <c r="A1710" s="1" t="s">
        <v>164</v>
      </c>
      <c r="B1710" s="2" t="s">
        <v>170</v>
      </c>
      <c r="C1710" s="19">
        <v>45</v>
      </c>
      <c r="D1710" s="3" t="s">
        <v>496</v>
      </c>
      <c r="E1710" s="3" t="s">
        <v>3</v>
      </c>
      <c r="F1710" s="23">
        <v>224719</v>
      </c>
      <c r="G1710" s="15">
        <v>2005</v>
      </c>
      <c r="H1710" s="15">
        <f>Table_7[[#This Row],[Listing Price (USD)]]/10000</f>
        <v>22.471900000000002</v>
      </c>
      <c r="I1710" s="28">
        <f>Table_7[[#This Row],[Length 
(ft)]]</f>
        <v>45</v>
      </c>
      <c r="J1710" s="28">
        <f>2020-Table_7[[#This Row],[Year]]</f>
        <v>15</v>
      </c>
      <c r="K1710">
        <v>2639008701648.2598</v>
      </c>
      <c r="L1710">
        <v>39055.282928075401</v>
      </c>
      <c r="M1710">
        <v>0.47649885272508302</v>
      </c>
      <c r="N1710">
        <v>-7.7845864916787102</v>
      </c>
      <c r="O1710">
        <v>34.5</v>
      </c>
      <c r="P1710">
        <v>915.00199999999995</v>
      </c>
      <c r="Q1710">
        <v>50</v>
      </c>
      <c r="R1710">
        <v>12.5</v>
      </c>
    </row>
    <row r="1711" spans="1:18" x14ac:dyDescent="0.25">
      <c r="A1711" s="1" t="s">
        <v>45</v>
      </c>
      <c r="B1711" s="3" t="s">
        <v>67</v>
      </c>
      <c r="C1711" s="19">
        <v>45</v>
      </c>
      <c r="D1711" s="3" t="s">
        <v>497</v>
      </c>
      <c r="E1711" s="3" t="s">
        <v>370</v>
      </c>
      <c r="F1711" s="23">
        <v>159000</v>
      </c>
      <c r="G1711" s="15">
        <v>2016</v>
      </c>
      <c r="H1711" s="15">
        <f>Table_7[[#This Row],[Listing Price (USD)]]/10000</f>
        <v>15.9</v>
      </c>
      <c r="I1711" s="28">
        <f>Table_7[[#This Row],[Length 
(ft)]]</f>
        <v>45</v>
      </c>
      <c r="J1711" s="28">
        <f>2020-Table_7[[#This Row],[Year]]</f>
        <v>4</v>
      </c>
      <c r="K1711">
        <v>500000000</v>
      </c>
      <c r="L1711">
        <v>34200</v>
      </c>
      <c r="M1711">
        <v>1.1000000000000001</v>
      </c>
      <c r="N1711">
        <v>2</v>
      </c>
      <c r="O1711">
        <v>42</v>
      </c>
      <c r="P1711">
        <v>1076.002</v>
      </c>
      <c r="Q1711">
        <v>50</v>
      </c>
      <c r="R1711">
        <v>14.75</v>
      </c>
    </row>
    <row r="1712" spans="1:18" x14ac:dyDescent="0.25">
      <c r="A1712" s="1" t="s">
        <v>378</v>
      </c>
      <c r="B1712" s="3" t="s">
        <v>67</v>
      </c>
      <c r="C1712" s="19">
        <v>45</v>
      </c>
      <c r="D1712" s="3" t="s">
        <v>497</v>
      </c>
      <c r="E1712" s="3" t="s">
        <v>370</v>
      </c>
      <c r="F1712" s="23">
        <v>160000</v>
      </c>
      <c r="G1712" s="15">
        <v>2016</v>
      </c>
      <c r="H1712" s="15">
        <f>Table_7[[#This Row],[Listing Price (USD)]]/10000</f>
        <v>16</v>
      </c>
      <c r="I1712" s="28">
        <f>Table_7[[#This Row],[Length 
(ft)]]</f>
        <v>45</v>
      </c>
      <c r="J1712" s="28">
        <f>2020-Table_7[[#This Row],[Year]]</f>
        <v>4</v>
      </c>
      <c r="K1712">
        <v>500000000</v>
      </c>
      <c r="L1712">
        <v>34200</v>
      </c>
      <c r="M1712">
        <v>1.1000000000000001</v>
      </c>
      <c r="N1712">
        <v>2</v>
      </c>
      <c r="O1712">
        <v>42</v>
      </c>
      <c r="P1712">
        <v>1076.002</v>
      </c>
      <c r="Q1712">
        <v>50</v>
      </c>
      <c r="R1712">
        <v>14.75</v>
      </c>
    </row>
    <row r="1713" spans="1:18" x14ac:dyDescent="0.25">
      <c r="A1713" s="1" t="s">
        <v>45</v>
      </c>
      <c r="B1713" s="3" t="s">
        <v>67</v>
      </c>
      <c r="C1713" s="19">
        <v>45</v>
      </c>
      <c r="D1713" s="3" t="s">
        <v>497</v>
      </c>
      <c r="E1713" s="3" t="s">
        <v>392</v>
      </c>
      <c r="F1713" s="23">
        <v>165000</v>
      </c>
      <c r="G1713" s="15">
        <v>2012</v>
      </c>
      <c r="H1713" s="15">
        <f>Table_7[[#This Row],[Listing Price (USD)]]/10000</f>
        <v>16.5</v>
      </c>
      <c r="I1713" s="28">
        <f>Table_7[[#This Row],[Length 
(ft)]]</f>
        <v>45</v>
      </c>
      <c r="J1713" s="28">
        <f>2020-Table_7[[#This Row],[Year]]</f>
        <v>8</v>
      </c>
      <c r="K1713">
        <v>1043414814.81481</v>
      </c>
      <c r="L1713">
        <v>8437.5667322870595</v>
      </c>
      <c r="M1713">
        <v>-0.74073259704550098</v>
      </c>
      <c r="N1713">
        <v>-13.7559294530644</v>
      </c>
      <c r="O1713">
        <v>42</v>
      </c>
      <c r="P1713">
        <v>1076.002</v>
      </c>
      <c r="Q1713">
        <v>50</v>
      </c>
      <c r="R1713">
        <v>14.75</v>
      </c>
    </row>
    <row r="1714" spans="1:18" x14ac:dyDescent="0.25">
      <c r="A1714" s="1" t="s">
        <v>378</v>
      </c>
      <c r="B1714" s="3" t="s">
        <v>67</v>
      </c>
      <c r="C1714" s="19">
        <v>45</v>
      </c>
      <c r="D1714" s="3" t="s">
        <v>497</v>
      </c>
      <c r="E1714" s="3" t="s">
        <v>551</v>
      </c>
      <c r="F1714" s="23">
        <v>165000</v>
      </c>
      <c r="G1714" s="15">
        <v>2012</v>
      </c>
      <c r="H1714" s="15">
        <f>Table_7[[#This Row],[Listing Price (USD)]]/10000</f>
        <v>16.5</v>
      </c>
      <c r="I1714" s="28">
        <f>Table_7[[#This Row],[Length 
(ft)]]</f>
        <v>45</v>
      </c>
      <c r="J1714" s="28">
        <f>2020-Table_7[[#This Row],[Year]]</f>
        <v>8</v>
      </c>
      <c r="K1714">
        <v>910149704</v>
      </c>
      <c r="L1714">
        <v>8335.2999999999993</v>
      </c>
      <c r="M1714">
        <v>4.3</v>
      </c>
      <c r="N1714">
        <v>2.2999999999999998</v>
      </c>
      <c r="O1714">
        <v>42</v>
      </c>
      <c r="P1714">
        <v>1076.002</v>
      </c>
      <c r="Q1714">
        <v>50</v>
      </c>
      <c r="R1714">
        <v>14.75</v>
      </c>
    </row>
    <row r="1715" spans="1:18" x14ac:dyDescent="0.25">
      <c r="A1715" s="1" t="s">
        <v>378</v>
      </c>
      <c r="B1715" s="3" t="s">
        <v>67</v>
      </c>
      <c r="C1715" s="19">
        <v>45</v>
      </c>
      <c r="D1715" s="3" t="s">
        <v>497</v>
      </c>
      <c r="E1715" s="3" t="s">
        <v>370</v>
      </c>
      <c r="F1715" s="23">
        <v>169000</v>
      </c>
      <c r="G1715" s="15">
        <v>2015</v>
      </c>
      <c r="H1715" s="15">
        <f>Table_7[[#This Row],[Listing Price (USD)]]/10000</f>
        <v>16.899999999999999</v>
      </c>
      <c r="I1715" s="28">
        <f>Table_7[[#This Row],[Length 
(ft)]]</f>
        <v>45</v>
      </c>
      <c r="J1715" s="28">
        <f>2020-Table_7[[#This Row],[Year]]</f>
        <v>5</v>
      </c>
      <c r="K1715">
        <v>500000000</v>
      </c>
      <c r="L1715">
        <v>34200</v>
      </c>
      <c r="M1715">
        <v>1.1000000000000001</v>
      </c>
      <c r="N1715">
        <v>2</v>
      </c>
      <c r="O1715">
        <v>42</v>
      </c>
      <c r="P1715">
        <v>1076.002</v>
      </c>
      <c r="Q1715">
        <v>50</v>
      </c>
      <c r="R1715">
        <v>14.75</v>
      </c>
    </row>
    <row r="1716" spans="1:18" x14ac:dyDescent="0.25">
      <c r="A1716" s="1" t="s">
        <v>45</v>
      </c>
      <c r="B1716" s="2" t="s">
        <v>67</v>
      </c>
      <c r="C1716" s="19">
        <v>45</v>
      </c>
      <c r="D1716" s="3" t="s">
        <v>496</v>
      </c>
      <c r="E1716" s="3" t="s">
        <v>31</v>
      </c>
      <c r="F1716" s="23">
        <v>170101</v>
      </c>
      <c r="G1716" s="15">
        <v>2013</v>
      </c>
      <c r="H1716" s="15">
        <f>Table_7[[#This Row],[Listing Price (USD)]]/10000</f>
        <v>17.010100000000001</v>
      </c>
      <c r="I1716" s="28">
        <f>Table_7[[#This Row],[Length 
(ft)]]</f>
        <v>45</v>
      </c>
      <c r="J1716" s="28">
        <f>2020-Table_7[[#This Row],[Year]]</f>
        <v>7</v>
      </c>
      <c r="K1716">
        <v>57472012426.685303</v>
      </c>
      <c r="L1716">
        <v>14198.753959474399</v>
      </c>
      <c r="M1716">
        <v>0.15481137456202801</v>
      </c>
      <c r="N1716">
        <v>-8.5803430210621805</v>
      </c>
      <c r="O1716">
        <v>42</v>
      </c>
      <c r="P1716">
        <v>1076.002</v>
      </c>
      <c r="Q1716">
        <v>50</v>
      </c>
      <c r="R1716">
        <v>14.75</v>
      </c>
    </row>
    <row r="1717" spans="1:18" x14ac:dyDescent="0.25">
      <c r="A1717" s="1" t="s">
        <v>45</v>
      </c>
      <c r="B1717" s="2" t="s">
        <v>67</v>
      </c>
      <c r="C1717" s="19">
        <v>45</v>
      </c>
      <c r="D1717" s="3" t="s">
        <v>496</v>
      </c>
      <c r="E1717" s="3" t="s">
        <v>18</v>
      </c>
      <c r="F1717" s="23">
        <v>170101</v>
      </c>
      <c r="G1717" s="15">
        <v>2012</v>
      </c>
      <c r="H1717" s="15">
        <f>Table_7[[#This Row],[Listing Price (USD)]]/10000</f>
        <v>17.010100000000001</v>
      </c>
      <c r="I1717" s="28">
        <f>Table_7[[#This Row],[Length 
(ft)]]</f>
        <v>45</v>
      </c>
      <c r="J1717" s="28">
        <f>2020-Table_7[[#This Row],[Year]]</f>
        <v>8</v>
      </c>
      <c r="K1717">
        <v>188925995936.80701</v>
      </c>
      <c r="L1717">
        <v>17658.947301119199</v>
      </c>
      <c r="M1717">
        <v>-1.2479835558140799</v>
      </c>
      <c r="N1717">
        <v>-9.0040436420214593</v>
      </c>
      <c r="O1717">
        <v>42</v>
      </c>
      <c r="P1717">
        <v>1076.002</v>
      </c>
      <c r="Q1717">
        <v>50</v>
      </c>
      <c r="R1717">
        <v>14.75</v>
      </c>
    </row>
    <row r="1718" spans="1:18" x14ac:dyDescent="0.25">
      <c r="A1718" s="1" t="s">
        <v>45</v>
      </c>
      <c r="B1718" s="3" t="s">
        <v>67</v>
      </c>
      <c r="C1718" s="19">
        <v>45</v>
      </c>
      <c r="D1718" s="3" t="s">
        <v>497</v>
      </c>
      <c r="E1718" s="3" t="s">
        <v>370</v>
      </c>
      <c r="F1718" s="23">
        <v>172000</v>
      </c>
      <c r="G1718" s="15">
        <v>2015</v>
      </c>
      <c r="H1718" s="15">
        <f>Table_7[[#This Row],[Listing Price (USD)]]/10000</f>
        <v>17.2</v>
      </c>
      <c r="I1718" s="28">
        <f>Table_7[[#This Row],[Length 
(ft)]]</f>
        <v>45</v>
      </c>
      <c r="J1718" s="28">
        <f>2020-Table_7[[#This Row],[Year]]</f>
        <v>5</v>
      </c>
      <c r="K1718">
        <v>500000000</v>
      </c>
      <c r="L1718">
        <v>34200</v>
      </c>
      <c r="M1718">
        <v>1.1000000000000001</v>
      </c>
      <c r="N1718">
        <v>2</v>
      </c>
      <c r="O1718">
        <v>42</v>
      </c>
      <c r="P1718">
        <v>1076.002</v>
      </c>
      <c r="Q1718">
        <v>50</v>
      </c>
      <c r="R1718">
        <v>14.75</v>
      </c>
    </row>
    <row r="1719" spans="1:18" x14ac:dyDescent="0.25">
      <c r="A1719" s="1" t="s">
        <v>45</v>
      </c>
      <c r="B1719" s="2" t="s">
        <v>67</v>
      </c>
      <c r="C1719" s="19">
        <v>45</v>
      </c>
      <c r="D1719" s="3" t="s">
        <v>496</v>
      </c>
      <c r="E1719" s="3" t="s">
        <v>18</v>
      </c>
      <c r="F1719" s="23">
        <v>182204</v>
      </c>
      <c r="G1719" s="15">
        <v>2012</v>
      </c>
      <c r="H1719" s="15">
        <f>Table_7[[#This Row],[Listing Price (USD)]]/10000</f>
        <v>18.220400000000001</v>
      </c>
      <c r="I1719" s="28">
        <f>Table_7[[#This Row],[Length 
(ft)]]</f>
        <v>45</v>
      </c>
      <c r="J1719" s="28">
        <f>2020-Table_7[[#This Row],[Year]]</f>
        <v>8</v>
      </c>
      <c r="K1719">
        <v>188925995936.80701</v>
      </c>
      <c r="L1719">
        <v>17658.947301119199</v>
      </c>
      <c r="M1719">
        <v>-1.2479835558140799</v>
      </c>
      <c r="N1719">
        <v>-9.0040436420214593</v>
      </c>
      <c r="O1719">
        <v>42</v>
      </c>
      <c r="P1719">
        <v>1076.002</v>
      </c>
      <c r="Q1719">
        <v>50</v>
      </c>
      <c r="R1719">
        <v>14.75</v>
      </c>
    </row>
    <row r="1720" spans="1:18" x14ac:dyDescent="0.25">
      <c r="A1720" s="1" t="s">
        <v>45</v>
      </c>
      <c r="B1720" s="2" t="s">
        <v>67</v>
      </c>
      <c r="C1720" s="19">
        <v>45</v>
      </c>
      <c r="D1720" s="3" t="s">
        <v>496</v>
      </c>
      <c r="E1720" s="3" t="s">
        <v>9</v>
      </c>
      <c r="F1720" s="23">
        <v>182251</v>
      </c>
      <c r="G1720" s="15">
        <v>2017</v>
      </c>
      <c r="H1720" s="15">
        <f>Table_7[[#This Row],[Listing Price (USD)]]/10000</f>
        <v>18.225100000000001</v>
      </c>
      <c r="I1720" s="28">
        <f>Table_7[[#This Row],[Length 
(ft)]]</f>
        <v>45</v>
      </c>
      <c r="J1720" s="28">
        <f>2020-Table_7[[#This Row],[Year]]</f>
        <v>3</v>
      </c>
      <c r="K1720">
        <v>1276962685648.25</v>
      </c>
      <c r="L1720">
        <v>26959.675436732599</v>
      </c>
      <c r="M1720">
        <v>-0.32275301729970501</v>
      </c>
      <c r="N1720">
        <v>-11.3254383222864</v>
      </c>
      <c r="O1720">
        <v>42</v>
      </c>
      <c r="P1720">
        <v>1076.002</v>
      </c>
      <c r="Q1720">
        <v>50</v>
      </c>
      <c r="R1720">
        <v>14.75</v>
      </c>
    </row>
    <row r="1721" spans="1:18" x14ac:dyDescent="0.25">
      <c r="A1721" s="1" t="s">
        <v>378</v>
      </c>
      <c r="B1721" s="3" t="s">
        <v>67</v>
      </c>
      <c r="C1721" s="19">
        <v>45</v>
      </c>
      <c r="D1721" s="3" t="s">
        <v>497</v>
      </c>
      <c r="E1721" s="3" t="s">
        <v>370</v>
      </c>
      <c r="F1721" s="23">
        <v>189000</v>
      </c>
      <c r="G1721" s="15">
        <v>2015</v>
      </c>
      <c r="H1721" s="15">
        <f>Table_7[[#This Row],[Listing Price (USD)]]/10000</f>
        <v>18.899999999999999</v>
      </c>
      <c r="I1721" s="28">
        <f>Table_7[[#This Row],[Length 
(ft)]]</f>
        <v>45</v>
      </c>
      <c r="J1721" s="28">
        <f>2020-Table_7[[#This Row],[Year]]</f>
        <v>5</v>
      </c>
      <c r="K1721">
        <v>500000000</v>
      </c>
      <c r="L1721">
        <v>34200</v>
      </c>
      <c r="M1721">
        <v>1.1000000000000001</v>
      </c>
      <c r="N1721">
        <v>2</v>
      </c>
      <c r="O1721">
        <v>42</v>
      </c>
      <c r="P1721">
        <v>1076.002</v>
      </c>
      <c r="Q1721">
        <v>50</v>
      </c>
      <c r="R1721">
        <v>14.75</v>
      </c>
    </row>
    <row r="1722" spans="1:18" x14ac:dyDescent="0.25">
      <c r="A1722" s="1" t="s">
        <v>45</v>
      </c>
      <c r="B1722" s="2" t="s">
        <v>67</v>
      </c>
      <c r="C1722" s="19">
        <v>45</v>
      </c>
      <c r="D1722" s="3" t="s">
        <v>496</v>
      </c>
      <c r="E1722" s="3" t="s">
        <v>237</v>
      </c>
      <c r="F1722" s="23">
        <v>193137</v>
      </c>
      <c r="G1722" s="15">
        <v>2017</v>
      </c>
      <c r="H1722" s="15">
        <f>Table_7[[#This Row],[Listing Price (USD)]]/10000</f>
        <v>19.313700000000001</v>
      </c>
      <c r="I1722" s="28">
        <f>Table_7[[#This Row],[Length 
(ft)]]</f>
        <v>45</v>
      </c>
      <c r="J1722" s="28">
        <f>2020-Table_7[[#This Row],[Year]]</f>
        <v>3</v>
      </c>
      <c r="K1722">
        <v>229031860520.77701</v>
      </c>
      <c r="L1722">
        <v>22242.406417972001</v>
      </c>
      <c r="M1722">
        <v>-1.2438329957616699E-2</v>
      </c>
      <c r="N1722">
        <v>-8.3005160422115107</v>
      </c>
      <c r="O1722">
        <v>42</v>
      </c>
      <c r="P1722">
        <v>1076.002</v>
      </c>
      <c r="Q1722">
        <v>50</v>
      </c>
      <c r="R1722">
        <v>14.75</v>
      </c>
    </row>
    <row r="1723" spans="1:18" x14ac:dyDescent="0.25">
      <c r="A1723" s="1" t="s">
        <v>378</v>
      </c>
      <c r="B1723" s="3" t="s">
        <v>67</v>
      </c>
      <c r="C1723" s="19">
        <v>45</v>
      </c>
      <c r="D1723" s="3" t="s">
        <v>497</v>
      </c>
      <c r="E1723" s="3" t="s">
        <v>370</v>
      </c>
      <c r="F1723" s="23">
        <v>194000</v>
      </c>
      <c r="G1723" s="15">
        <v>2016</v>
      </c>
      <c r="H1723" s="15">
        <f>Table_7[[#This Row],[Listing Price (USD)]]/10000</f>
        <v>19.399999999999999</v>
      </c>
      <c r="I1723" s="28">
        <f>Table_7[[#This Row],[Length 
(ft)]]</f>
        <v>45</v>
      </c>
      <c r="J1723" s="28">
        <f>2020-Table_7[[#This Row],[Year]]</f>
        <v>4</v>
      </c>
      <c r="K1723">
        <v>500000000</v>
      </c>
      <c r="L1723">
        <v>34200</v>
      </c>
      <c r="M1723">
        <v>1.1000000000000001</v>
      </c>
      <c r="N1723">
        <v>2</v>
      </c>
      <c r="O1723">
        <v>42</v>
      </c>
      <c r="P1723">
        <v>1076.002</v>
      </c>
      <c r="Q1723">
        <v>50</v>
      </c>
      <c r="R1723">
        <v>14.75</v>
      </c>
    </row>
    <row r="1724" spans="1:18" x14ac:dyDescent="0.25">
      <c r="A1724" s="1" t="s">
        <v>45</v>
      </c>
      <c r="B1724" s="2" t="s">
        <v>67</v>
      </c>
      <c r="C1724" s="19">
        <v>45</v>
      </c>
      <c r="D1724" s="3" t="s">
        <v>496</v>
      </c>
      <c r="E1724" s="3" t="s">
        <v>24</v>
      </c>
      <c r="F1724" s="23">
        <v>194166</v>
      </c>
      <c r="G1724" s="15">
        <v>2014</v>
      </c>
      <c r="H1724" s="15">
        <f>Table_7[[#This Row],[Listing Price (USD)]]/10000</f>
        <v>19.416599999999999</v>
      </c>
      <c r="I1724" s="28">
        <f>Table_7[[#This Row],[Length 
(ft)]]</f>
        <v>45</v>
      </c>
      <c r="J1724" s="28">
        <f>2020-Table_7[[#This Row],[Year]]</f>
        <v>6</v>
      </c>
      <c r="K1724">
        <v>1896755301518.1399</v>
      </c>
      <c r="L1724">
        <v>31911.0357890017</v>
      </c>
      <c r="M1724">
        <v>-0.13770757391656999</v>
      </c>
      <c r="N1724">
        <v>-9.0399534112288507</v>
      </c>
      <c r="O1724">
        <v>42</v>
      </c>
      <c r="P1724">
        <v>1076.002</v>
      </c>
      <c r="Q1724">
        <v>50</v>
      </c>
      <c r="R1724">
        <v>14.75</v>
      </c>
    </row>
    <row r="1725" spans="1:18" x14ac:dyDescent="0.25">
      <c r="A1725" s="1" t="s">
        <v>45</v>
      </c>
      <c r="B1725" s="2" t="s">
        <v>67</v>
      </c>
      <c r="C1725" s="19">
        <v>45</v>
      </c>
      <c r="D1725" s="3" t="s">
        <v>496</v>
      </c>
      <c r="E1725" s="3" t="s">
        <v>3</v>
      </c>
      <c r="F1725" s="23">
        <v>194325</v>
      </c>
      <c r="G1725" s="15">
        <v>2012</v>
      </c>
      <c r="H1725" s="15">
        <f>Table_7[[#This Row],[Listing Price (USD)]]/10000</f>
        <v>19.432500000000001</v>
      </c>
      <c r="I1725" s="28">
        <f>Table_7[[#This Row],[Length 
(ft)]]</f>
        <v>45</v>
      </c>
      <c r="J1725" s="28">
        <f>2020-Table_7[[#This Row],[Year]]</f>
        <v>8</v>
      </c>
      <c r="K1725">
        <v>2639008701648.2598</v>
      </c>
      <c r="L1725">
        <v>39055.282928075401</v>
      </c>
      <c r="M1725">
        <v>0.47649885272508302</v>
      </c>
      <c r="N1725">
        <v>-7.7845864916787102</v>
      </c>
      <c r="O1725">
        <v>42</v>
      </c>
      <c r="P1725">
        <v>1076.002</v>
      </c>
      <c r="Q1725">
        <v>50</v>
      </c>
      <c r="R1725">
        <v>14.75</v>
      </c>
    </row>
    <row r="1726" spans="1:18" x14ac:dyDescent="0.25">
      <c r="A1726" s="1" t="s">
        <v>45</v>
      </c>
      <c r="B1726" s="2" t="s">
        <v>67</v>
      </c>
      <c r="C1726" s="19">
        <v>45</v>
      </c>
      <c r="D1726" s="3" t="s">
        <v>496</v>
      </c>
      <c r="E1726" s="3" t="s">
        <v>18</v>
      </c>
      <c r="F1726" s="23">
        <v>194325</v>
      </c>
      <c r="G1726" s="15">
        <v>2014</v>
      </c>
      <c r="H1726" s="15">
        <f>Table_7[[#This Row],[Listing Price (USD)]]/10000</f>
        <v>19.432500000000001</v>
      </c>
      <c r="I1726" s="28">
        <f>Table_7[[#This Row],[Length 
(ft)]]</f>
        <v>45</v>
      </c>
      <c r="J1726" s="28">
        <f>2020-Table_7[[#This Row],[Year]]</f>
        <v>6</v>
      </c>
      <c r="K1726">
        <v>188925995936.80701</v>
      </c>
      <c r="L1726">
        <v>17658.947301119199</v>
      </c>
      <c r="M1726">
        <v>-1.2479835558140799</v>
      </c>
      <c r="N1726">
        <v>-9.0040436420214593</v>
      </c>
      <c r="O1726">
        <v>42</v>
      </c>
      <c r="P1726">
        <v>1076.002</v>
      </c>
      <c r="Q1726">
        <v>50</v>
      </c>
      <c r="R1726">
        <v>14.75</v>
      </c>
    </row>
    <row r="1727" spans="1:18" x14ac:dyDescent="0.25">
      <c r="A1727" s="1" t="s">
        <v>45</v>
      </c>
      <c r="B1727" s="2" t="s">
        <v>67</v>
      </c>
      <c r="C1727" s="19">
        <v>45</v>
      </c>
      <c r="D1727" s="3" t="s">
        <v>496</v>
      </c>
      <c r="E1727" s="3" t="s">
        <v>63</v>
      </c>
      <c r="F1727" s="23">
        <v>194351</v>
      </c>
      <c r="G1727" s="15">
        <v>2014</v>
      </c>
      <c r="H1727" s="15">
        <f>Table_7[[#This Row],[Listing Price (USD)]]/10000</f>
        <v>19.435099999999998</v>
      </c>
      <c r="I1727" s="28">
        <f>Table_7[[#This Row],[Length 
(ft)]]</f>
        <v>45</v>
      </c>
      <c r="J1727" s="28">
        <f>2020-Table_7[[#This Row],[Year]]</f>
        <v>6</v>
      </c>
      <c r="K1727">
        <v>720290000006</v>
      </c>
      <c r="L1727">
        <v>13341.6</v>
      </c>
      <c r="M1727">
        <v>13</v>
      </c>
      <c r="N1727">
        <v>-3</v>
      </c>
      <c r="O1727">
        <v>42</v>
      </c>
      <c r="P1727">
        <v>1076.002</v>
      </c>
      <c r="Q1727">
        <v>50</v>
      </c>
      <c r="R1727">
        <v>14.75</v>
      </c>
    </row>
    <row r="1728" spans="1:18" x14ac:dyDescent="0.25">
      <c r="A1728" s="1" t="s">
        <v>45</v>
      </c>
      <c r="B1728" s="3" t="s">
        <v>67</v>
      </c>
      <c r="C1728" s="19">
        <v>45</v>
      </c>
      <c r="D1728" s="3" t="s">
        <v>497</v>
      </c>
      <c r="E1728" s="3" t="s">
        <v>370</v>
      </c>
      <c r="F1728" s="23">
        <v>199000</v>
      </c>
      <c r="G1728" s="15">
        <v>2016</v>
      </c>
      <c r="H1728" s="15">
        <f>Table_7[[#This Row],[Listing Price (USD)]]/10000</f>
        <v>19.899999999999999</v>
      </c>
      <c r="I1728" s="28">
        <f>Table_7[[#This Row],[Length 
(ft)]]</f>
        <v>45</v>
      </c>
      <c r="J1728" s="28">
        <f>2020-Table_7[[#This Row],[Year]]</f>
        <v>4</v>
      </c>
      <c r="K1728">
        <v>500000000</v>
      </c>
      <c r="L1728">
        <v>34200</v>
      </c>
      <c r="M1728">
        <v>1.1000000000000001</v>
      </c>
      <c r="N1728">
        <v>2</v>
      </c>
      <c r="O1728">
        <v>42</v>
      </c>
      <c r="P1728">
        <v>1076.002</v>
      </c>
      <c r="Q1728">
        <v>50</v>
      </c>
      <c r="R1728">
        <v>14.75</v>
      </c>
    </row>
    <row r="1729" spans="1:18" x14ac:dyDescent="0.25">
      <c r="A1729" s="1" t="s">
        <v>45</v>
      </c>
      <c r="B1729" s="2" t="s">
        <v>67</v>
      </c>
      <c r="C1729" s="19">
        <v>45</v>
      </c>
      <c r="D1729" s="3" t="s">
        <v>496</v>
      </c>
      <c r="E1729" s="3" t="s">
        <v>18</v>
      </c>
      <c r="F1729" s="23">
        <v>206308</v>
      </c>
      <c r="G1729" s="15">
        <v>2016</v>
      </c>
      <c r="H1729" s="15">
        <f>Table_7[[#This Row],[Listing Price (USD)]]/10000</f>
        <v>20.630800000000001</v>
      </c>
      <c r="I1729" s="28">
        <f>Table_7[[#This Row],[Length 
(ft)]]</f>
        <v>45</v>
      </c>
      <c r="J1729" s="28">
        <f>2020-Table_7[[#This Row],[Year]]</f>
        <v>4</v>
      </c>
      <c r="K1729">
        <v>188925995936.80701</v>
      </c>
      <c r="L1729">
        <v>17658.947301119199</v>
      </c>
      <c r="M1729">
        <v>-1.2479835558140799</v>
      </c>
      <c r="N1729">
        <v>-9.0040436420214593</v>
      </c>
      <c r="O1729">
        <v>42</v>
      </c>
      <c r="P1729">
        <v>1076.002</v>
      </c>
      <c r="Q1729">
        <v>50</v>
      </c>
      <c r="R1729">
        <v>14.75</v>
      </c>
    </row>
    <row r="1730" spans="1:18" x14ac:dyDescent="0.25">
      <c r="A1730" s="1" t="s">
        <v>45</v>
      </c>
      <c r="B1730" s="2" t="s">
        <v>67</v>
      </c>
      <c r="C1730" s="19">
        <v>45</v>
      </c>
      <c r="D1730" s="3" t="s">
        <v>496</v>
      </c>
      <c r="E1730" s="3" t="s">
        <v>18</v>
      </c>
      <c r="F1730" s="23">
        <v>206498</v>
      </c>
      <c r="G1730" s="15">
        <v>2014</v>
      </c>
      <c r="H1730" s="15">
        <f>Table_7[[#This Row],[Listing Price (USD)]]/10000</f>
        <v>20.649799999999999</v>
      </c>
      <c r="I1730" s="28">
        <f>Table_7[[#This Row],[Length 
(ft)]]</f>
        <v>45</v>
      </c>
      <c r="J1730" s="28">
        <f>2020-Table_7[[#This Row],[Year]]</f>
        <v>6</v>
      </c>
      <c r="K1730">
        <v>188925995936.80701</v>
      </c>
      <c r="L1730">
        <v>17658.947301119199</v>
      </c>
      <c r="M1730">
        <v>-1.2479835558140799</v>
      </c>
      <c r="N1730">
        <v>-9.0040436420214593</v>
      </c>
      <c r="O1730">
        <v>42</v>
      </c>
      <c r="P1730">
        <v>1076.002</v>
      </c>
      <c r="Q1730">
        <v>50</v>
      </c>
      <c r="R1730">
        <v>14.75</v>
      </c>
    </row>
    <row r="1731" spans="1:18" x14ac:dyDescent="0.25">
      <c r="A1731" s="1" t="s">
        <v>45</v>
      </c>
      <c r="B1731" s="3" t="s">
        <v>67</v>
      </c>
      <c r="C1731" s="19">
        <v>45</v>
      </c>
      <c r="D1731" s="3" t="s">
        <v>497</v>
      </c>
      <c r="E1731" s="3" t="s">
        <v>370</v>
      </c>
      <c r="F1731" s="23">
        <v>208936</v>
      </c>
      <c r="G1731" s="15">
        <v>2014</v>
      </c>
      <c r="H1731" s="15">
        <f>Table_7[[#This Row],[Listing Price (USD)]]/10000</f>
        <v>20.893599999999999</v>
      </c>
      <c r="I1731" s="28">
        <f>Table_7[[#This Row],[Length 
(ft)]]</f>
        <v>45</v>
      </c>
      <c r="J1731" s="28">
        <f>2020-Table_7[[#This Row],[Year]]</f>
        <v>6</v>
      </c>
      <c r="K1731">
        <v>500000000</v>
      </c>
      <c r="L1731">
        <v>34200</v>
      </c>
      <c r="M1731">
        <v>1.1000000000000001</v>
      </c>
      <c r="N1731">
        <v>2</v>
      </c>
      <c r="O1731">
        <v>42</v>
      </c>
      <c r="P1731">
        <v>1076.002</v>
      </c>
      <c r="Q1731">
        <v>50</v>
      </c>
      <c r="R1731">
        <v>14.75</v>
      </c>
    </row>
    <row r="1732" spans="1:18" x14ac:dyDescent="0.25">
      <c r="A1732" s="1" t="s">
        <v>45</v>
      </c>
      <c r="B1732" s="2" t="s">
        <v>67</v>
      </c>
      <c r="C1732" s="19">
        <v>45</v>
      </c>
      <c r="D1732" s="3" t="s">
        <v>496</v>
      </c>
      <c r="E1732" s="3" t="s">
        <v>9</v>
      </c>
      <c r="F1732" s="23">
        <v>217431</v>
      </c>
      <c r="G1732" s="15">
        <v>2012</v>
      </c>
      <c r="H1732" s="15">
        <f>Table_7[[#This Row],[Listing Price (USD)]]/10000</f>
        <v>21.743099999999998</v>
      </c>
      <c r="I1732" s="28">
        <f>Table_7[[#This Row],[Length 
(ft)]]</f>
        <v>45</v>
      </c>
      <c r="J1732" s="28">
        <f>2020-Table_7[[#This Row],[Year]]</f>
        <v>8</v>
      </c>
      <c r="K1732">
        <v>1276962685648.25</v>
      </c>
      <c r="L1732">
        <v>26959.675436732599</v>
      </c>
      <c r="M1732">
        <v>-0.32275301729970501</v>
      </c>
      <c r="N1732">
        <v>-11.3254383222864</v>
      </c>
      <c r="O1732">
        <v>42</v>
      </c>
      <c r="P1732">
        <v>1076.002</v>
      </c>
      <c r="Q1732">
        <v>50</v>
      </c>
      <c r="R1732">
        <v>14.75</v>
      </c>
    </row>
    <row r="1733" spans="1:18" x14ac:dyDescent="0.25">
      <c r="A1733" s="1" t="s">
        <v>45</v>
      </c>
      <c r="B1733" s="2" t="s">
        <v>67</v>
      </c>
      <c r="C1733" s="19">
        <v>45</v>
      </c>
      <c r="D1733" s="3" t="s">
        <v>496</v>
      </c>
      <c r="E1733" s="3" t="s">
        <v>24</v>
      </c>
      <c r="F1733" s="23">
        <v>218645</v>
      </c>
      <c r="G1733" s="15">
        <v>2014</v>
      </c>
      <c r="H1733" s="15">
        <f>Table_7[[#This Row],[Listing Price (USD)]]/10000</f>
        <v>21.8645</v>
      </c>
      <c r="I1733" s="28">
        <f>Table_7[[#This Row],[Length 
(ft)]]</f>
        <v>45</v>
      </c>
      <c r="J1733" s="28">
        <f>2020-Table_7[[#This Row],[Year]]</f>
        <v>6</v>
      </c>
      <c r="K1733">
        <v>1896755301518.1399</v>
      </c>
      <c r="L1733">
        <v>31911.0357890017</v>
      </c>
      <c r="M1733">
        <v>-0.13770757391656999</v>
      </c>
      <c r="N1733">
        <v>-9.0399534112288507</v>
      </c>
      <c r="O1733">
        <v>42</v>
      </c>
      <c r="P1733">
        <v>1076.002</v>
      </c>
      <c r="Q1733">
        <v>50</v>
      </c>
      <c r="R1733">
        <v>14.75</v>
      </c>
    </row>
    <row r="1734" spans="1:18" x14ac:dyDescent="0.25">
      <c r="A1734" s="1" t="s">
        <v>45</v>
      </c>
      <c r="B1734" s="3" t="s">
        <v>67</v>
      </c>
      <c r="C1734" s="19">
        <v>45</v>
      </c>
      <c r="D1734" s="3" t="s">
        <v>495</v>
      </c>
      <c r="E1734" s="3" t="s">
        <v>543</v>
      </c>
      <c r="F1734" s="23">
        <v>229000</v>
      </c>
      <c r="G1734" s="15">
        <v>2012</v>
      </c>
      <c r="H1734" s="15">
        <f>Table_7[[#This Row],[Listing Price (USD)]]/10000</f>
        <v>22.9</v>
      </c>
      <c r="I1734" s="28">
        <f>Table_7[[#This Row],[Length 
(ft)]]</f>
        <v>45</v>
      </c>
      <c r="J1734" s="28">
        <f>2020-Table_7[[#This Row],[Year]]</f>
        <v>8</v>
      </c>
      <c r="K1734">
        <v>235437000000</v>
      </c>
      <c r="L1734">
        <v>50618.06</v>
      </c>
      <c r="M1734">
        <v>1.23</v>
      </c>
      <c r="N1734">
        <v>3.8</v>
      </c>
      <c r="O1734">
        <v>42</v>
      </c>
      <c r="P1734">
        <v>1076.002</v>
      </c>
      <c r="Q1734">
        <v>50</v>
      </c>
      <c r="R1734">
        <v>14.75</v>
      </c>
    </row>
    <row r="1735" spans="1:18" x14ac:dyDescent="0.25">
      <c r="A1735" s="1" t="s">
        <v>45</v>
      </c>
      <c r="B1735" s="2" t="s">
        <v>67</v>
      </c>
      <c r="C1735" s="19">
        <v>45</v>
      </c>
      <c r="D1735" s="3" t="s">
        <v>496</v>
      </c>
      <c r="E1735" s="3" t="s">
        <v>63</v>
      </c>
      <c r="F1735" s="23">
        <v>229546</v>
      </c>
      <c r="G1735" s="15">
        <v>2012</v>
      </c>
      <c r="H1735" s="15">
        <f>Table_7[[#This Row],[Listing Price (USD)]]/10000</f>
        <v>22.954599999999999</v>
      </c>
      <c r="I1735" s="28">
        <f>Table_7[[#This Row],[Length 
(ft)]]</f>
        <v>45</v>
      </c>
      <c r="J1735" s="28">
        <f>2020-Table_7[[#This Row],[Year]]</f>
        <v>8</v>
      </c>
      <c r="K1735">
        <v>720290000000</v>
      </c>
      <c r="L1735">
        <v>13341.6</v>
      </c>
      <c r="M1735">
        <v>13</v>
      </c>
      <c r="N1735">
        <v>-3</v>
      </c>
      <c r="O1735">
        <v>42</v>
      </c>
      <c r="P1735">
        <v>1076.002</v>
      </c>
      <c r="Q1735">
        <v>50</v>
      </c>
      <c r="R1735">
        <v>14.75</v>
      </c>
    </row>
    <row r="1736" spans="1:18" x14ac:dyDescent="0.25">
      <c r="A1736" s="1" t="s">
        <v>45</v>
      </c>
      <c r="B1736" s="2" t="s">
        <v>67</v>
      </c>
      <c r="C1736" s="19">
        <v>45</v>
      </c>
      <c r="D1736" s="3" t="s">
        <v>496</v>
      </c>
      <c r="E1736" s="3" t="s">
        <v>24</v>
      </c>
      <c r="F1736" s="23">
        <v>241725</v>
      </c>
      <c r="G1736" s="15">
        <v>2014</v>
      </c>
      <c r="H1736" s="15">
        <f>Table_7[[#This Row],[Listing Price (USD)]]/10000</f>
        <v>24.172499999999999</v>
      </c>
      <c r="I1736" s="28">
        <f>Table_7[[#This Row],[Length 
(ft)]]</f>
        <v>45</v>
      </c>
      <c r="J1736" s="28">
        <f>2020-Table_7[[#This Row],[Year]]</f>
        <v>6</v>
      </c>
      <c r="K1736">
        <v>1896755301518.1399</v>
      </c>
      <c r="L1736">
        <v>31911.0357890017</v>
      </c>
      <c r="M1736">
        <v>-0.13770757391656999</v>
      </c>
      <c r="N1736">
        <v>-9.0399534112288507</v>
      </c>
      <c r="O1736">
        <v>42</v>
      </c>
      <c r="P1736">
        <v>1076.002</v>
      </c>
      <c r="Q1736">
        <v>50</v>
      </c>
      <c r="R1736">
        <v>14.75</v>
      </c>
    </row>
    <row r="1737" spans="1:18" x14ac:dyDescent="0.25">
      <c r="A1737" s="1" t="s">
        <v>45</v>
      </c>
      <c r="B1737" s="2" t="s">
        <v>67</v>
      </c>
      <c r="C1737" s="19">
        <v>45</v>
      </c>
      <c r="D1737" s="3" t="s">
        <v>496</v>
      </c>
      <c r="E1737" s="3" t="s">
        <v>516</v>
      </c>
      <c r="F1737" s="23">
        <v>241725</v>
      </c>
      <c r="G1737" s="15">
        <v>2012</v>
      </c>
      <c r="H1737" s="15">
        <f>Table_7[[#This Row],[Listing Price (USD)]]/10000</f>
        <v>24.172499999999999</v>
      </c>
      <c r="I1737" s="28">
        <f>Table_7[[#This Row],[Length 
(ft)]]</f>
        <v>45</v>
      </c>
      <c r="J1737" s="28">
        <f>2020-Table_7[[#This Row],[Year]]</f>
        <v>8</v>
      </c>
      <c r="K1737">
        <v>909793466661.48096</v>
      </c>
      <c r="L1737">
        <v>52162.570115040602</v>
      </c>
      <c r="M1737">
        <v>1.2724603778917001</v>
      </c>
      <c r="N1737">
        <v>-3.88608391819609</v>
      </c>
      <c r="O1737">
        <v>42</v>
      </c>
      <c r="P1737">
        <v>1076.002</v>
      </c>
      <c r="Q1737">
        <v>50</v>
      </c>
      <c r="R1737">
        <v>14.75</v>
      </c>
    </row>
    <row r="1738" spans="1:18" x14ac:dyDescent="0.25">
      <c r="A1738" s="1" t="s">
        <v>45</v>
      </c>
      <c r="B1738" s="2" t="s">
        <v>67</v>
      </c>
      <c r="C1738" s="19">
        <v>45</v>
      </c>
      <c r="D1738" s="3" t="s">
        <v>496</v>
      </c>
      <c r="E1738" s="3" t="s">
        <v>31</v>
      </c>
      <c r="F1738" s="23">
        <v>241786</v>
      </c>
      <c r="G1738" s="15">
        <v>2017</v>
      </c>
      <c r="H1738" s="15">
        <f>Table_7[[#This Row],[Listing Price (USD)]]/10000</f>
        <v>24.178599999999999</v>
      </c>
      <c r="I1738" s="28">
        <f>Table_7[[#This Row],[Length 
(ft)]]</f>
        <v>45</v>
      </c>
      <c r="J1738" s="28">
        <f>2020-Table_7[[#This Row],[Year]]</f>
        <v>3</v>
      </c>
      <c r="K1738">
        <v>57472012426.685303</v>
      </c>
      <c r="L1738">
        <v>14198.753959474399</v>
      </c>
      <c r="M1738">
        <v>0.15481137456202801</v>
      </c>
      <c r="N1738">
        <v>-8.5803430210621805</v>
      </c>
      <c r="O1738">
        <v>42</v>
      </c>
      <c r="P1738">
        <v>1076.002</v>
      </c>
      <c r="Q1738">
        <v>50</v>
      </c>
      <c r="R1738">
        <v>14.75</v>
      </c>
    </row>
    <row r="1739" spans="1:18" x14ac:dyDescent="0.25">
      <c r="A1739" s="1" t="s">
        <v>45</v>
      </c>
      <c r="B1739" s="3" t="s">
        <v>67</v>
      </c>
      <c r="C1739" s="19">
        <v>45</v>
      </c>
      <c r="D1739" s="3" t="s">
        <v>495</v>
      </c>
      <c r="E1739" s="3" t="s">
        <v>527</v>
      </c>
      <c r="F1739" s="23">
        <v>249000</v>
      </c>
      <c r="G1739" s="15">
        <v>2013</v>
      </c>
      <c r="H1739" s="15">
        <f>Table_7[[#This Row],[Listing Price (USD)]]/10000</f>
        <v>24.9</v>
      </c>
      <c r="I1739" s="28">
        <f>Table_7[[#This Row],[Length 
(ft)]]</f>
        <v>45</v>
      </c>
      <c r="J1739" s="28">
        <f>2020-Table_7[[#This Row],[Year]]</f>
        <v>7</v>
      </c>
      <c r="K1739">
        <v>582477000000</v>
      </c>
      <c r="L1739">
        <v>82947.67</v>
      </c>
      <c r="M1739">
        <v>1.23</v>
      </c>
      <c r="N1739">
        <v>2.7</v>
      </c>
      <c r="O1739">
        <v>42</v>
      </c>
      <c r="P1739">
        <v>1076.002</v>
      </c>
      <c r="Q1739">
        <v>50</v>
      </c>
      <c r="R1739">
        <v>14.75</v>
      </c>
    </row>
    <row r="1740" spans="1:18" x14ac:dyDescent="0.25">
      <c r="A1740" s="1" t="s">
        <v>45</v>
      </c>
      <c r="B1740" s="2" t="s">
        <v>67</v>
      </c>
      <c r="C1740" s="19">
        <v>45</v>
      </c>
      <c r="D1740" s="3" t="s">
        <v>496</v>
      </c>
      <c r="E1740" s="3" t="s">
        <v>31</v>
      </c>
      <c r="F1740" s="23">
        <v>255052</v>
      </c>
      <c r="G1740" s="15">
        <v>2016</v>
      </c>
      <c r="H1740" s="15">
        <f>Table_7[[#This Row],[Listing Price (USD)]]/10000</f>
        <v>25.505199999999999</v>
      </c>
      <c r="I1740" s="28">
        <f>Table_7[[#This Row],[Length 
(ft)]]</f>
        <v>45</v>
      </c>
      <c r="J1740" s="28">
        <f>2020-Table_7[[#This Row],[Year]]</f>
        <v>4</v>
      </c>
      <c r="K1740">
        <v>57472012426.685303</v>
      </c>
      <c r="L1740">
        <v>14198.753959474399</v>
      </c>
      <c r="M1740">
        <v>0.15481137456202801</v>
      </c>
      <c r="N1740">
        <v>-8.5803430210621805</v>
      </c>
      <c r="O1740">
        <v>42</v>
      </c>
      <c r="P1740">
        <v>1076.002</v>
      </c>
      <c r="Q1740">
        <v>50</v>
      </c>
      <c r="R1740">
        <v>14.75</v>
      </c>
    </row>
    <row r="1741" spans="1:18" x14ac:dyDescent="0.25">
      <c r="A1741" s="1" t="s">
        <v>45</v>
      </c>
      <c r="B1741" s="2" t="s">
        <v>67</v>
      </c>
      <c r="C1741" s="19">
        <v>45</v>
      </c>
      <c r="D1741" s="3" t="s">
        <v>496</v>
      </c>
      <c r="E1741" s="3" t="s">
        <v>24</v>
      </c>
      <c r="F1741" s="23">
        <v>255052</v>
      </c>
      <c r="G1741" s="15">
        <v>2018</v>
      </c>
      <c r="H1741" s="15">
        <f>Table_7[[#This Row],[Listing Price (USD)]]/10000</f>
        <v>25.505199999999999</v>
      </c>
      <c r="I1741" s="28">
        <f>Table_7[[#This Row],[Length 
(ft)]]</f>
        <v>45</v>
      </c>
      <c r="J1741" s="28">
        <f>2020-Table_7[[#This Row],[Year]]</f>
        <v>2</v>
      </c>
      <c r="K1741">
        <v>1896755301518.1399</v>
      </c>
      <c r="L1741">
        <v>31911.0357890017</v>
      </c>
      <c r="M1741">
        <v>-0.13770757391656999</v>
      </c>
      <c r="N1741">
        <v>-9.0399534112288507</v>
      </c>
      <c r="O1741">
        <v>42</v>
      </c>
      <c r="P1741">
        <v>1076.002</v>
      </c>
      <c r="Q1741">
        <v>50</v>
      </c>
      <c r="R1741">
        <v>14.75</v>
      </c>
    </row>
    <row r="1742" spans="1:18" x14ac:dyDescent="0.25">
      <c r="A1742" s="1" t="s">
        <v>45</v>
      </c>
      <c r="B1742" s="3" t="s">
        <v>67</v>
      </c>
      <c r="C1742" s="19">
        <v>45</v>
      </c>
      <c r="D1742" s="3" t="s">
        <v>497</v>
      </c>
      <c r="E1742" s="3" t="s">
        <v>392</v>
      </c>
      <c r="F1742" s="23">
        <v>259000</v>
      </c>
      <c r="G1742" s="15">
        <v>2014</v>
      </c>
      <c r="H1742" s="15">
        <f>Table_7[[#This Row],[Listing Price (USD)]]/10000</f>
        <v>25.9</v>
      </c>
      <c r="I1742" s="28">
        <f>Table_7[[#This Row],[Length 
(ft)]]</f>
        <v>45</v>
      </c>
      <c r="J1742" s="28">
        <f>2020-Table_7[[#This Row],[Year]]</f>
        <v>6</v>
      </c>
      <c r="K1742">
        <v>1043414814.81481</v>
      </c>
      <c r="L1742">
        <v>8437.5667322870595</v>
      </c>
      <c r="M1742">
        <v>-0.74073259704550098</v>
      </c>
      <c r="N1742">
        <v>-13.7559294530644</v>
      </c>
      <c r="O1742">
        <v>42</v>
      </c>
      <c r="P1742">
        <v>1076.002</v>
      </c>
      <c r="Q1742">
        <v>50</v>
      </c>
      <c r="R1742">
        <v>14.75</v>
      </c>
    </row>
    <row r="1743" spans="1:18" x14ac:dyDescent="0.25">
      <c r="A1743" s="1" t="s">
        <v>378</v>
      </c>
      <c r="B1743" s="3" t="s">
        <v>67</v>
      </c>
      <c r="C1743" s="19">
        <v>45</v>
      </c>
      <c r="D1743" s="3" t="s">
        <v>497</v>
      </c>
      <c r="E1743" s="3" t="s">
        <v>506</v>
      </c>
      <c r="F1743" s="23">
        <v>275000</v>
      </c>
      <c r="G1743" s="15">
        <v>2015</v>
      </c>
      <c r="H1743" s="15">
        <f>Table_7[[#This Row],[Listing Price (USD)]]/10000</f>
        <v>27.5</v>
      </c>
      <c r="I1743" s="28">
        <f>Table_7[[#This Row],[Length 
(ft)]]</f>
        <v>45</v>
      </c>
      <c r="J1743" s="28">
        <f>2020-Table_7[[#This Row],[Year]]</f>
        <v>5</v>
      </c>
      <c r="K1743">
        <v>1370281481.4814799</v>
      </c>
      <c r="L1743">
        <v>14787.6357752901</v>
      </c>
      <c r="M1743">
        <v>0.62598970704669799</v>
      </c>
      <c r="N1743">
        <v>-20.1923705722071</v>
      </c>
      <c r="O1743">
        <v>42</v>
      </c>
      <c r="P1743">
        <v>1076.002</v>
      </c>
      <c r="Q1743">
        <v>50</v>
      </c>
      <c r="R1743">
        <v>14.75</v>
      </c>
    </row>
    <row r="1744" spans="1:18" x14ac:dyDescent="0.25">
      <c r="A1744" s="1" t="s">
        <v>45</v>
      </c>
      <c r="B1744" s="2" t="s">
        <v>67</v>
      </c>
      <c r="C1744" s="19">
        <v>45</v>
      </c>
      <c r="D1744" s="3" t="s">
        <v>496</v>
      </c>
      <c r="E1744" s="3" t="s">
        <v>24</v>
      </c>
      <c r="F1744" s="23">
        <v>278165</v>
      </c>
      <c r="G1744" s="15">
        <v>2017</v>
      </c>
      <c r="H1744" s="15">
        <f>Table_7[[#This Row],[Listing Price (USD)]]/10000</f>
        <v>27.816500000000001</v>
      </c>
      <c r="I1744" s="28">
        <f>Table_7[[#This Row],[Length 
(ft)]]</f>
        <v>45</v>
      </c>
      <c r="J1744" s="28">
        <f>2020-Table_7[[#This Row],[Year]]</f>
        <v>3</v>
      </c>
      <c r="K1744">
        <v>1896755301518.1399</v>
      </c>
      <c r="L1744">
        <v>31911.0357890017</v>
      </c>
      <c r="M1744">
        <v>-0.13770757391656999</v>
      </c>
      <c r="N1744">
        <v>-9.0399534112288507</v>
      </c>
      <c r="O1744">
        <v>42</v>
      </c>
      <c r="P1744">
        <v>1076.002</v>
      </c>
      <c r="Q1744">
        <v>50</v>
      </c>
      <c r="R1744">
        <v>14.75</v>
      </c>
    </row>
    <row r="1745" spans="1:18" x14ac:dyDescent="0.25">
      <c r="A1745" s="1" t="s">
        <v>45</v>
      </c>
      <c r="B1745" s="2" t="s">
        <v>67</v>
      </c>
      <c r="C1745" s="19">
        <v>45</v>
      </c>
      <c r="D1745" s="3" t="s">
        <v>496</v>
      </c>
      <c r="E1745" s="3" t="s">
        <v>31</v>
      </c>
      <c r="F1745" s="23">
        <v>285526</v>
      </c>
      <c r="G1745" s="15">
        <v>2017</v>
      </c>
      <c r="H1745" s="15">
        <f>Table_7[[#This Row],[Listing Price (USD)]]/10000</f>
        <v>28.552600000000002</v>
      </c>
      <c r="I1745" s="28">
        <f>Table_7[[#This Row],[Length 
(ft)]]</f>
        <v>45</v>
      </c>
      <c r="J1745" s="28">
        <f>2020-Table_7[[#This Row],[Year]]</f>
        <v>3</v>
      </c>
      <c r="K1745">
        <v>57472012426.685303</v>
      </c>
      <c r="L1745">
        <v>14198.753959474399</v>
      </c>
      <c r="M1745">
        <v>0.15481137456202801</v>
      </c>
      <c r="N1745">
        <v>-8.5803430210621805</v>
      </c>
      <c r="O1745">
        <v>42</v>
      </c>
      <c r="P1745">
        <v>1076.002</v>
      </c>
      <c r="Q1745">
        <v>50</v>
      </c>
      <c r="R1745">
        <v>14.75</v>
      </c>
    </row>
    <row r="1746" spans="1:18" x14ac:dyDescent="0.25">
      <c r="A1746" s="1" t="s">
        <v>45</v>
      </c>
      <c r="B1746" s="2" t="s">
        <v>67</v>
      </c>
      <c r="C1746" s="19">
        <v>45</v>
      </c>
      <c r="D1746" s="3" t="s">
        <v>496</v>
      </c>
      <c r="E1746" s="3" t="s">
        <v>3</v>
      </c>
      <c r="F1746" s="23">
        <v>291527</v>
      </c>
      <c r="G1746" s="15">
        <v>2013</v>
      </c>
      <c r="H1746" s="15">
        <f>Table_7[[#This Row],[Listing Price (USD)]]/10000</f>
        <v>29.152699999999999</v>
      </c>
      <c r="I1746" s="28">
        <f>Table_7[[#This Row],[Length 
(ft)]]</f>
        <v>45</v>
      </c>
      <c r="J1746" s="28">
        <f>2020-Table_7[[#This Row],[Year]]</f>
        <v>7</v>
      </c>
      <c r="K1746">
        <v>2639008701648.2598</v>
      </c>
      <c r="L1746">
        <v>39055.282928075401</v>
      </c>
      <c r="M1746">
        <v>0.47649885272508302</v>
      </c>
      <c r="N1746">
        <v>-7.7845864916787102</v>
      </c>
      <c r="O1746">
        <v>42</v>
      </c>
      <c r="P1746">
        <v>1076.002</v>
      </c>
      <c r="Q1746">
        <v>50</v>
      </c>
      <c r="R1746">
        <v>14.75</v>
      </c>
    </row>
    <row r="1747" spans="1:18" x14ac:dyDescent="0.25">
      <c r="A1747" s="1" t="s">
        <v>45</v>
      </c>
      <c r="B1747" s="3" t="s">
        <v>67</v>
      </c>
      <c r="C1747" s="19">
        <v>45</v>
      </c>
      <c r="D1747" s="3" t="s">
        <v>495</v>
      </c>
      <c r="E1747" s="3" t="s">
        <v>518</v>
      </c>
      <c r="F1747" s="23">
        <v>295000</v>
      </c>
      <c r="G1747" s="15">
        <v>2014</v>
      </c>
      <c r="H1747" s="15">
        <f>Table_7[[#This Row],[Listing Price (USD)]]/10000</f>
        <v>29.5</v>
      </c>
      <c r="I1747" s="28">
        <f>Table_7[[#This Row],[Length 
(ft)]]</f>
        <v>45</v>
      </c>
      <c r="J1747" s="28">
        <f>2020-Table_7[[#This Row],[Year]]</f>
        <v>6</v>
      </c>
      <c r="K1747">
        <v>1724759000000</v>
      </c>
      <c r="L1747">
        <v>85575.039999999994</v>
      </c>
      <c r="M1747">
        <v>1.23</v>
      </c>
      <c r="N1747">
        <v>3.8</v>
      </c>
      <c r="O1747">
        <v>42</v>
      </c>
      <c r="P1747">
        <v>1076.002</v>
      </c>
      <c r="Q1747">
        <v>50</v>
      </c>
      <c r="R1747">
        <v>14.75</v>
      </c>
    </row>
    <row r="1748" spans="1:18" x14ac:dyDescent="0.25">
      <c r="A1748" s="1" t="s">
        <v>45</v>
      </c>
      <c r="B1748" s="3" t="s">
        <v>67</v>
      </c>
      <c r="C1748" s="19">
        <v>45</v>
      </c>
      <c r="D1748" s="3" t="s">
        <v>495</v>
      </c>
      <c r="E1748" s="3" t="s">
        <v>500</v>
      </c>
      <c r="F1748" s="23">
        <v>309900</v>
      </c>
      <c r="G1748" s="15">
        <v>2015</v>
      </c>
      <c r="H1748" s="15">
        <f>Table_7[[#This Row],[Listing Price (USD)]]/10000</f>
        <v>30.99</v>
      </c>
      <c r="I1748" s="28">
        <f>Table_7[[#This Row],[Length 
(ft)]]</f>
        <v>45</v>
      </c>
      <c r="J1748" s="28">
        <f>2020-Table_7[[#This Row],[Year]]</f>
        <v>5</v>
      </c>
      <c r="K1748">
        <v>3007188000000</v>
      </c>
      <c r="L1748">
        <v>76131.839999999997</v>
      </c>
      <c r="M1748">
        <v>1.23</v>
      </c>
      <c r="N1748">
        <v>2.7</v>
      </c>
      <c r="O1748">
        <v>42</v>
      </c>
      <c r="P1748">
        <v>1076.002</v>
      </c>
      <c r="Q1748">
        <v>50</v>
      </c>
      <c r="R1748">
        <v>14.75</v>
      </c>
    </row>
    <row r="1749" spans="1:18" x14ac:dyDescent="0.25">
      <c r="A1749" s="1" t="s">
        <v>45</v>
      </c>
      <c r="B1749" s="3" t="s">
        <v>67</v>
      </c>
      <c r="C1749" s="19">
        <v>45</v>
      </c>
      <c r="D1749" s="3" t="s">
        <v>497</v>
      </c>
      <c r="E1749" s="3" t="s">
        <v>483</v>
      </c>
      <c r="F1749" s="23">
        <v>321895</v>
      </c>
      <c r="G1749" s="15">
        <v>2016</v>
      </c>
      <c r="H1749" s="15">
        <f>Table_7[[#This Row],[Listing Price (USD)]]/10000</f>
        <v>32.189500000000002</v>
      </c>
      <c r="I1749" s="28">
        <f>Table_7[[#This Row],[Length 
(ft)]]</f>
        <v>45</v>
      </c>
      <c r="J1749" s="28">
        <f>2020-Table_7[[#This Row],[Year]]</f>
        <v>4</v>
      </c>
      <c r="K1749">
        <v>4200000000</v>
      </c>
      <c r="L1749">
        <v>39553.199999999997</v>
      </c>
      <c r="M1749">
        <v>2.5</v>
      </c>
      <c r="N1749">
        <v>-2.1</v>
      </c>
      <c r="O1749">
        <v>42</v>
      </c>
      <c r="P1749">
        <v>1076.002</v>
      </c>
      <c r="Q1749">
        <v>50</v>
      </c>
      <c r="R1749">
        <v>14.75</v>
      </c>
    </row>
    <row r="1750" spans="1:18" x14ac:dyDescent="0.25">
      <c r="A1750" s="1" t="s">
        <v>378</v>
      </c>
      <c r="B1750" s="3" t="s">
        <v>67</v>
      </c>
      <c r="C1750" s="19">
        <v>45</v>
      </c>
      <c r="D1750" s="3" t="s">
        <v>497</v>
      </c>
      <c r="E1750" s="3" t="s">
        <v>483</v>
      </c>
      <c r="F1750" s="23">
        <v>322012</v>
      </c>
      <c r="G1750" s="15">
        <v>2017</v>
      </c>
      <c r="H1750" s="15">
        <f>Table_7[[#This Row],[Listing Price (USD)]]/10000</f>
        <v>32.2012</v>
      </c>
      <c r="I1750" s="28">
        <f>Table_7[[#This Row],[Length 
(ft)]]</f>
        <v>45</v>
      </c>
      <c r="J1750" s="28">
        <f>2020-Table_7[[#This Row],[Year]]</f>
        <v>3</v>
      </c>
      <c r="K1750">
        <v>4200000000</v>
      </c>
      <c r="L1750">
        <v>39553.199999999997</v>
      </c>
      <c r="M1750">
        <v>2.5</v>
      </c>
      <c r="N1750">
        <v>-2.1</v>
      </c>
      <c r="O1750">
        <v>42</v>
      </c>
      <c r="P1750">
        <v>1076.002</v>
      </c>
      <c r="Q1750">
        <v>50</v>
      </c>
      <c r="R1750">
        <v>14.75</v>
      </c>
    </row>
    <row r="1751" spans="1:18" x14ac:dyDescent="0.25">
      <c r="A1751" s="1" t="s">
        <v>45</v>
      </c>
      <c r="B1751" s="3" t="s">
        <v>67</v>
      </c>
      <c r="C1751" s="19">
        <v>45</v>
      </c>
      <c r="D1751" s="3" t="s">
        <v>497</v>
      </c>
      <c r="E1751" s="3" t="s">
        <v>498</v>
      </c>
      <c r="F1751" s="23">
        <v>330000</v>
      </c>
      <c r="G1751" s="15">
        <v>2013</v>
      </c>
      <c r="H1751" s="15">
        <f>Table_7[[#This Row],[Listing Price (USD)]]/10000</f>
        <v>33</v>
      </c>
      <c r="I1751" s="28">
        <f>Table_7[[#This Row],[Length 
(ft)]]</f>
        <v>45</v>
      </c>
      <c r="J1751" s="28">
        <f>2020-Table_7[[#This Row],[Year]]</f>
        <v>7</v>
      </c>
      <c r="K1751">
        <v>1090515389749.41</v>
      </c>
      <c r="L1751">
        <v>8655.0006820680301</v>
      </c>
      <c r="M1751">
        <v>3.3968341556999899</v>
      </c>
      <c r="N1751">
        <v>-7.9879123401474903</v>
      </c>
      <c r="O1751">
        <v>42</v>
      </c>
      <c r="P1751">
        <v>1076.002</v>
      </c>
      <c r="Q1751">
        <v>50</v>
      </c>
      <c r="R1751">
        <v>14.75</v>
      </c>
    </row>
    <row r="1752" spans="1:18" x14ac:dyDescent="0.25">
      <c r="A1752" s="1" t="s">
        <v>45</v>
      </c>
      <c r="B1752" s="3" t="s">
        <v>67</v>
      </c>
      <c r="C1752" s="19">
        <v>45</v>
      </c>
      <c r="D1752" s="3" t="s">
        <v>495</v>
      </c>
      <c r="E1752" s="3" t="s">
        <v>526</v>
      </c>
      <c r="F1752" s="23">
        <v>349000</v>
      </c>
      <c r="G1752" s="15">
        <v>2017</v>
      </c>
      <c r="H1752" s="15">
        <f>Table_7[[#This Row],[Listing Price (USD)]]/10000</f>
        <v>34.9</v>
      </c>
      <c r="I1752" s="28">
        <f>Table_7[[#This Row],[Length 
(ft)]]</f>
        <v>45</v>
      </c>
      <c r="J1752" s="28">
        <f>2020-Table_7[[#This Row],[Year]]</f>
        <v>3</v>
      </c>
      <c r="K1752">
        <v>4200000000</v>
      </c>
      <c r="L1752">
        <v>39553.199999999997</v>
      </c>
      <c r="M1752">
        <v>4.0999999999999996</v>
      </c>
      <c r="N1752">
        <v>-2.1</v>
      </c>
      <c r="O1752">
        <v>42</v>
      </c>
      <c r="P1752">
        <v>1076.002</v>
      </c>
      <c r="Q1752">
        <v>50</v>
      </c>
      <c r="R1752">
        <v>14.75</v>
      </c>
    </row>
    <row r="1753" spans="1:18" x14ac:dyDescent="0.25">
      <c r="A1753" s="1" t="s">
        <v>45</v>
      </c>
      <c r="B1753" s="3" t="s">
        <v>67</v>
      </c>
      <c r="C1753" s="19">
        <v>45</v>
      </c>
      <c r="D1753" s="3" t="s">
        <v>495</v>
      </c>
      <c r="E1753" s="3" t="s">
        <v>545</v>
      </c>
      <c r="F1753" s="23">
        <v>388000</v>
      </c>
      <c r="G1753" s="15">
        <v>2018</v>
      </c>
      <c r="H1753" s="15">
        <f>Table_7[[#This Row],[Listing Price (USD)]]/10000</f>
        <v>38.799999999999997</v>
      </c>
      <c r="I1753" s="28">
        <f>Table_7[[#This Row],[Length 
(ft)]]</f>
        <v>45</v>
      </c>
      <c r="J1753" s="28">
        <f>2020-Table_7[[#This Row],[Year]]</f>
        <v>2</v>
      </c>
      <c r="K1753">
        <v>515120000000</v>
      </c>
      <c r="L1753">
        <v>51165.75</v>
      </c>
      <c r="M1753">
        <v>1.23</v>
      </c>
      <c r="N1753">
        <v>2.6</v>
      </c>
      <c r="O1753">
        <v>42</v>
      </c>
      <c r="P1753">
        <v>1076.002</v>
      </c>
      <c r="Q1753">
        <v>50</v>
      </c>
      <c r="R1753">
        <v>14.75</v>
      </c>
    </row>
    <row r="1754" spans="1:18" x14ac:dyDescent="0.25">
      <c r="A1754" s="1" t="s">
        <v>45</v>
      </c>
      <c r="B1754" s="3" t="s">
        <v>67</v>
      </c>
      <c r="C1754" s="19">
        <v>45</v>
      </c>
      <c r="D1754" s="3" t="s">
        <v>495</v>
      </c>
      <c r="E1754" s="3" t="s">
        <v>500</v>
      </c>
      <c r="F1754" s="23">
        <v>459000</v>
      </c>
      <c r="G1754" s="15">
        <v>2019</v>
      </c>
      <c r="H1754" s="15">
        <f>Table_7[[#This Row],[Listing Price (USD)]]/10000</f>
        <v>45.9</v>
      </c>
      <c r="I1754" s="28">
        <f>Table_7[[#This Row],[Length 
(ft)]]</f>
        <v>45</v>
      </c>
      <c r="J1754" s="28">
        <f>2020-Table_7[[#This Row],[Year]]</f>
        <v>1</v>
      </c>
      <c r="K1754">
        <v>3007188000000</v>
      </c>
      <c r="L1754">
        <v>76131.839999999997</v>
      </c>
      <c r="M1754">
        <v>1.23</v>
      </c>
      <c r="N1754">
        <v>2.7</v>
      </c>
      <c r="O1754">
        <v>42</v>
      </c>
      <c r="P1754">
        <v>1076.002</v>
      </c>
      <c r="Q1754">
        <v>50</v>
      </c>
      <c r="R1754">
        <v>14.75</v>
      </c>
    </row>
    <row r="1755" spans="1:18" x14ac:dyDescent="0.25">
      <c r="A1755" s="1" t="s">
        <v>164</v>
      </c>
      <c r="B1755" s="2">
        <v>39</v>
      </c>
      <c r="C1755" s="19">
        <v>40</v>
      </c>
      <c r="D1755" s="3" t="s">
        <v>496</v>
      </c>
      <c r="E1755" s="3" t="s">
        <v>31</v>
      </c>
      <c r="F1755" s="23">
        <v>151837</v>
      </c>
      <c r="G1755" s="15">
        <v>2013</v>
      </c>
      <c r="H1755" s="15">
        <f>Table_7[[#This Row],[Listing Price (USD)]]/10000</f>
        <v>15.1837</v>
      </c>
      <c r="I1755" s="28">
        <f>Table_7[[#This Row],[Length 
(ft)]]</f>
        <v>40</v>
      </c>
      <c r="J1755" s="28">
        <f>2020-Table_7[[#This Row],[Year]]</f>
        <v>7</v>
      </c>
      <c r="K1755">
        <v>57472012426.685303</v>
      </c>
      <c r="L1755">
        <v>14198.753959474399</v>
      </c>
      <c r="M1755">
        <v>0.15481137456202801</v>
      </c>
      <c r="N1755">
        <v>-8.5803430210621805</v>
      </c>
      <c r="O1755">
        <v>34.119999999999997</v>
      </c>
      <c r="P1755">
        <v>882</v>
      </c>
      <c r="Q1755">
        <v>49</v>
      </c>
      <c r="R1755">
        <v>12.14</v>
      </c>
    </row>
    <row r="1756" spans="1:18" x14ac:dyDescent="0.25">
      <c r="A1756" s="1" t="s">
        <v>164</v>
      </c>
      <c r="B1756" s="2">
        <v>39</v>
      </c>
      <c r="C1756" s="19">
        <v>40</v>
      </c>
      <c r="D1756" s="3" t="s">
        <v>496</v>
      </c>
      <c r="E1756" s="3" t="s">
        <v>31</v>
      </c>
      <c r="F1756" s="23">
        <v>156696</v>
      </c>
      <c r="G1756" s="15">
        <v>2013</v>
      </c>
      <c r="H1756" s="15">
        <f>Table_7[[#This Row],[Listing Price (USD)]]/10000</f>
        <v>15.669600000000001</v>
      </c>
      <c r="I1756" s="28">
        <f>Table_7[[#This Row],[Length 
(ft)]]</f>
        <v>40</v>
      </c>
      <c r="J1756" s="28">
        <f>2020-Table_7[[#This Row],[Year]]</f>
        <v>7</v>
      </c>
      <c r="K1756">
        <v>57472012426.685303</v>
      </c>
      <c r="L1756">
        <v>14198.753959474399</v>
      </c>
      <c r="M1756">
        <v>0.15481137456202801</v>
      </c>
      <c r="N1756">
        <v>-8.5803430210621805</v>
      </c>
      <c r="O1756">
        <v>34.119999999999997</v>
      </c>
      <c r="P1756">
        <v>882</v>
      </c>
      <c r="Q1756">
        <v>49</v>
      </c>
      <c r="R1756">
        <v>12.14</v>
      </c>
    </row>
    <row r="1757" spans="1:18" x14ac:dyDescent="0.25">
      <c r="A1757" s="1" t="s">
        <v>164</v>
      </c>
      <c r="B1757" s="2">
        <v>39</v>
      </c>
      <c r="C1757" s="19">
        <v>40</v>
      </c>
      <c r="D1757" s="3" t="s">
        <v>496</v>
      </c>
      <c r="E1757" s="3" t="s">
        <v>24</v>
      </c>
      <c r="F1757" s="23">
        <v>236866</v>
      </c>
      <c r="G1757" s="15">
        <v>2013</v>
      </c>
      <c r="H1757" s="15">
        <f>Table_7[[#This Row],[Listing Price (USD)]]/10000</f>
        <v>23.686599999999999</v>
      </c>
      <c r="I1757" s="28">
        <f>Table_7[[#This Row],[Length 
(ft)]]</f>
        <v>40</v>
      </c>
      <c r="J1757" s="28">
        <f>2020-Table_7[[#This Row],[Year]]</f>
        <v>7</v>
      </c>
      <c r="K1757">
        <v>1896755301518.1399</v>
      </c>
      <c r="L1757">
        <v>31911.0357890017</v>
      </c>
      <c r="M1757">
        <v>-0.13770757391656999</v>
      </c>
      <c r="N1757">
        <v>-9.0399534112288507</v>
      </c>
      <c r="O1757">
        <v>34.119999999999997</v>
      </c>
      <c r="P1757">
        <v>882</v>
      </c>
      <c r="Q1757">
        <v>49</v>
      </c>
      <c r="R1757">
        <v>12.14</v>
      </c>
    </row>
    <row r="1758" spans="1:18" x14ac:dyDescent="0.25">
      <c r="A1758" s="1" t="s">
        <v>164</v>
      </c>
      <c r="B1758" s="3">
        <v>39</v>
      </c>
      <c r="C1758" s="19">
        <v>40</v>
      </c>
      <c r="D1758" s="3" t="s">
        <v>497</v>
      </c>
      <c r="E1758" s="3" t="s">
        <v>524</v>
      </c>
      <c r="F1758" s="23">
        <v>267331</v>
      </c>
      <c r="G1758" s="15">
        <v>2012</v>
      </c>
      <c r="H1758" s="15">
        <f>Table_7[[#This Row],[Listing Price (USD)]]/10000</f>
        <v>26.7331</v>
      </c>
      <c r="I1758" s="28">
        <f>Table_7[[#This Row],[Length 
(ft)]]</f>
        <v>40</v>
      </c>
      <c r="J1758" s="28">
        <f>2020-Table_7[[#This Row],[Year]]</f>
        <v>8</v>
      </c>
      <c r="K1758">
        <v>21059428851.4883</v>
      </c>
      <c r="L1758">
        <v>13871.7982194664</v>
      </c>
      <c r="M1758">
        <v>0.59898633082474695</v>
      </c>
      <c r="N1758">
        <v>-7.6783311605235101</v>
      </c>
      <c r="O1758">
        <v>34.119999999999997</v>
      </c>
      <c r="P1758">
        <v>882</v>
      </c>
      <c r="Q1758">
        <v>49</v>
      </c>
      <c r="R1758">
        <v>12.14</v>
      </c>
    </row>
    <row r="1759" spans="1:18" x14ac:dyDescent="0.25">
      <c r="A1759" s="1" t="s">
        <v>164</v>
      </c>
      <c r="B1759" s="2" t="s">
        <v>168</v>
      </c>
      <c r="C1759" s="19">
        <v>43</v>
      </c>
      <c r="D1759" s="3" t="s">
        <v>496</v>
      </c>
      <c r="E1759" s="3" t="s">
        <v>24</v>
      </c>
      <c r="F1759" s="23">
        <v>352276</v>
      </c>
      <c r="G1759" s="15">
        <v>2016</v>
      </c>
      <c r="H1759" s="15">
        <f>Table_7[[#This Row],[Listing Price (USD)]]/10000</f>
        <v>35.227600000000002</v>
      </c>
      <c r="I1759" s="28">
        <f>Table_7[[#This Row],[Length 
(ft)]]</f>
        <v>43</v>
      </c>
      <c r="J1759" s="28">
        <f>2020-Table_7[[#This Row],[Year]]</f>
        <v>4</v>
      </c>
      <c r="K1759">
        <v>1896755301518.1399</v>
      </c>
      <c r="L1759">
        <v>31911.0357890017</v>
      </c>
      <c r="M1759">
        <v>-0.13770757391656999</v>
      </c>
      <c r="N1759">
        <v>-9.0399534112288507</v>
      </c>
      <c r="O1759">
        <v>34.119999999999997</v>
      </c>
      <c r="P1759">
        <v>882.00199999999995</v>
      </c>
      <c r="Q1759">
        <v>49</v>
      </c>
      <c r="R1759">
        <v>12.14</v>
      </c>
    </row>
    <row r="1760" spans="1:18" x14ac:dyDescent="0.25">
      <c r="A1760" s="1" t="s">
        <v>123</v>
      </c>
      <c r="B1760" s="2">
        <v>40</v>
      </c>
      <c r="C1760" s="19">
        <v>39</v>
      </c>
      <c r="D1760" s="3" t="s">
        <v>496</v>
      </c>
      <c r="E1760" s="3" t="s">
        <v>24</v>
      </c>
      <c r="F1760" s="23">
        <v>78945</v>
      </c>
      <c r="G1760" s="15">
        <v>2006</v>
      </c>
      <c r="H1760" s="15">
        <f>Table_7[[#This Row],[Listing Price (USD)]]/10000</f>
        <v>7.8944999999999999</v>
      </c>
      <c r="I1760" s="28">
        <f>Table_7[[#This Row],[Length 
(ft)]]</f>
        <v>39</v>
      </c>
      <c r="J1760" s="28">
        <f>2020-Table_7[[#This Row],[Year]]</f>
        <v>14</v>
      </c>
      <c r="K1760">
        <v>1896755301518.1399</v>
      </c>
      <c r="L1760">
        <v>31911.0357890017</v>
      </c>
      <c r="M1760">
        <v>-0.13770757391656999</v>
      </c>
      <c r="N1760">
        <v>-9.0399534112288507</v>
      </c>
      <c r="O1760">
        <v>34.549999999999997</v>
      </c>
      <c r="P1760">
        <v>1097</v>
      </c>
      <c r="Q1760">
        <v>48</v>
      </c>
      <c r="R1760">
        <v>12.63</v>
      </c>
    </row>
    <row r="1761" spans="1:18" x14ac:dyDescent="0.25">
      <c r="A1761" s="1" t="s">
        <v>123</v>
      </c>
      <c r="B1761" s="2">
        <v>40</v>
      </c>
      <c r="C1761" s="19">
        <v>39</v>
      </c>
      <c r="D1761" s="3" t="s">
        <v>496</v>
      </c>
      <c r="E1761" s="3" t="s">
        <v>24</v>
      </c>
      <c r="F1761" s="23">
        <v>85017</v>
      </c>
      <c r="G1761" s="15">
        <v>2005</v>
      </c>
      <c r="H1761" s="15">
        <f>Table_7[[#This Row],[Listing Price (USD)]]/10000</f>
        <v>8.5016999999999996</v>
      </c>
      <c r="I1761" s="28">
        <f>Table_7[[#This Row],[Length 
(ft)]]</f>
        <v>39</v>
      </c>
      <c r="J1761" s="28">
        <f>2020-Table_7[[#This Row],[Year]]</f>
        <v>15</v>
      </c>
      <c r="K1761">
        <v>1896755301518.1399</v>
      </c>
      <c r="L1761">
        <v>31911.0357890017</v>
      </c>
      <c r="M1761">
        <v>-0.13770757391656999</v>
      </c>
      <c r="N1761">
        <v>-9.0399534112288507</v>
      </c>
      <c r="O1761">
        <v>34.549999999999997</v>
      </c>
      <c r="P1761">
        <v>1097</v>
      </c>
      <c r="Q1761">
        <v>48</v>
      </c>
      <c r="R1761">
        <v>12.63</v>
      </c>
    </row>
    <row r="1762" spans="1:18" x14ac:dyDescent="0.25">
      <c r="A1762" s="1" t="s">
        <v>123</v>
      </c>
      <c r="B1762" s="2">
        <v>40</v>
      </c>
      <c r="C1762" s="19">
        <v>39</v>
      </c>
      <c r="D1762" s="3" t="s">
        <v>496</v>
      </c>
      <c r="E1762" s="3" t="s">
        <v>24</v>
      </c>
      <c r="F1762" s="23">
        <v>91090</v>
      </c>
      <c r="G1762" s="15">
        <v>2007</v>
      </c>
      <c r="H1762" s="15">
        <f>Table_7[[#This Row],[Listing Price (USD)]]/10000</f>
        <v>9.109</v>
      </c>
      <c r="I1762" s="28">
        <f>Table_7[[#This Row],[Length 
(ft)]]</f>
        <v>39</v>
      </c>
      <c r="J1762" s="28">
        <f>2020-Table_7[[#This Row],[Year]]</f>
        <v>13</v>
      </c>
      <c r="K1762">
        <v>1896755301518.1399</v>
      </c>
      <c r="L1762">
        <v>31911.0357890017</v>
      </c>
      <c r="M1762">
        <v>-0.13770757391656999</v>
      </c>
      <c r="N1762">
        <v>-9.0399534112288507</v>
      </c>
      <c r="O1762">
        <v>34.549999999999997</v>
      </c>
      <c r="P1762">
        <v>1097</v>
      </c>
      <c r="Q1762">
        <v>48</v>
      </c>
      <c r="R1762">
        <v>12.63</v>
      </c>
    </row>
    <row r="1763" spans="1:18" x14ac:dyDescent="0.25">
      <c r="A1763" s="1" t="s">
        <v>164</v>
      </c>
      <c r="B1763" s="2">
        <v>40</v>
      </c>
      <c r="C1763" s="19">
        <v>41</v>
      </c>
      <c r="D1763" s="3" t="s">
        <v>496</v>
      </c>
      <c r="E1763" s="3" t="s">
        <v>63</v>
      </c>
      <c r="F1763" s="23">
        <v>95948</v>
      </c>
      <c r="G1763" s="15">
        <v>2007</v>
      </c>
      <c r="H1763" s="15">
        <f>Table_7[[#This Row],[Listing Price (USD)]]/10000</f>
        <v>9.5947999999999993</v>
      </c>
      <c r="I1763" s="28">
        <f>Table_7[[#This Row],[Length 
(ft)]]</f>
        <v>41</v>
      </c>
      <c r="J1763" s="28">
        <f>2020-Table_7[[#This Row],[Year]]</f>
        <v>13</v>
      </c>
      <c r="K1763">
        <v>720290000000</v>
      </c>
      <c r="L1763">
        <v>13341.6</v>
      </c>
      <c r="M1763">
        <v>13</v>
      </c>
      <c r="N1763">
        <v>-3</v>
      </c>
      <c r="O1763">
        <v>34.549999999999997</v>
      </c>
      <c r="P1763">
        <v>1097</v>
      </c>
      <c r="Q1763">
        <v>48</v>
      </c>
      <c r="R1763">
        <v>12.63</v>
      </c>
    </row>
    <row r="1764" spans="1:18" x14ac:dyDescent="0.25">
      <c r="A1764" s="1" t="s">
        <v>128</v>
      </c>
      <c r="B1764" s="2">
        <v>40</v>
      </c>
      <c r="C1764" s="19">
        <v>40</v>
      </c>
      <c r="D1764" s="3" t="s">
        <v>496</v>
      </c>
      <c r="E1764" s="3" t="s">
        <v>3</v>
      </c>
      <c r="F1764" s="23">
        <v>97054</v>
      </c>
      <c r="G1764" s="15">
        <v>2005</v>
      </c>
      <c r="H1764" s="15">
        <f>Table_7[[#This Row],[Listing Price (USD)]]/10000</f>
        <v>9.7053999999999991</v>
      </c>
      <c r="I1764" s="28">
        <f>Table_7[[#This Row],[Length 
(ft)]]</f>
        <v>40</v>
      </c>
      <c r="J1764" s="28">
        <f>2020-Table_7[[#This Row],[Year]]</f>
        <v>15</v>
      </c>
      <c r="K1764">
        <v>2639008701648.2598</v>
      </c>
      <c r="L1764">
        <v>39055.282928075401</v>
      </c>
      <c r="M1764">
        <v>0.47649885272508302</v>
      </c>
      <c r="N1764">
        <v>-7.7845864916787102</v>
      </c>
      <c r="O1764">
        <v>34.549999999999997</v>
      </c>
      <c r="P1764">
        <v>1097</v>
      </c>
      <c r="Q1764">
        <v>48</v>
      </c>
      <c r="R1764">
        <v>12.63</v>
      </c>
    </row>
    <row r="1765" spans="1:18" x14ac:dyDescent="0.25">
      <c r="A1765" s="1" t="s">
        <v>164</v>
      </c>
      <c r="B1765" s="2">
        <v>40</v>
      </c>
      <c r="C1765" s="19">
        <v>41</v>
      </c>
      <c r="D1765" s="3" t="s">
        <v>496</v>
      </c>
      <c r="E1765" s="3" t="s">
        <v>18</v>
      </c>
      <c r="F1765" s="23">
        <v>109308</v>
      </c>
      <c r="G1765" s="15">
        <v>2007</v>
      </c>
      <c r="H1765" s="15">
        <f>Table_7[[#This Row],[Listing Price (USD)]]/10000</f>
        <v>10.9308</v>
      </c>
      <c r="I1765" s="28">
        <f>Table_7[[#This Row],[Length 
(ft)]]</f>
        <v>41</v>
      </c>
      <c r="J1765" s="28">
        <f>2020-Table_7[[#This Row],[Year]]</f>
        <v>13</v>
      </c>
      <c r="K1765">
        <v>188925995936.80701</v>
      </c>
      <c r="L1765">
        <v>17658.947301119199</v>
      </c>
      <c r="M1765">
        <v>-1.2479835558140799</v>
      </c>
      <c r="N1765">
        <v>-9.0040436420214593</v>
      </c>
      <c r="O1765">
        <v>34.549999999999997</v>
      </c>
      <c r="P1765">
        <v>1097</v>
      </c>
      <c r="Q1765">
        <v>48</v>
      </c>
      <c r="R1765">
        <v>12.63</v>
      </c>
    </row>
    <row r="1766" spans="1:18" x14ac:dyDescent="0.25">
      <c r="A1766" s="1" t="s">
        <v>164</v>
      </c>
      <c r="B1766" s="2">
        <v>40</v>
      </c>
      <c r="C1766" s="19">
        <v>41</v>
      </c>
      <c r="D1766" s="3" t="s">
        <v>496</v>
      </c>
      <c r="E1766" s="3" t="s">
        <v>24</v>
      </c>
      <c r="F1766" s="23">
        <v>111752</v>
      </c>
      <c r="G1766" s="15">
        <v>2006</v>
      </c>
      <c r="H1766" s="15">
        <f>Table_7[[#This Row],[Listing Price (USD)]]/10000</f>
        <v>11.1752</v>
      </c>
      <c r="I1766" s="28">
        <f>Table_7[[#This Row],[Length 
(ft)]]</f>
        <v>41</v>
      </c>
      <c r="J1766" s="28">
        <f>2020-Table_7[[#This Row],[Year]]</f>
        <v>14</v>
      </c>
      <c r="K1766">
        <v>1896755301518.1399</v>
      </c>
      <c r="L1766">
        <v>31911.0357890017</v>
      </c>
      <c r="M1766">
        <v>-0.13770757391656999</v>
      </c>
      <c r="N1766">
        <v>-9.0399534112288507</v>
      </c>
      <c r="O1766">
        <v>34.549999999999997</v>
      </c>
      <c r="P1766">
        <v>1097</v>
      </c>
      <c r="Q1766">
        <v>48</v>
      </c>
      <c r="R1766">
        <v>12.63</v>
      </c>
    </row>
    <row r="1767" spans="1:18" x14ac:dyDescent="0.25">
      <c r="A1767" s="1" t="s">
        <v>270</v>
      </c>
      <c r="B1767" s="2">
        <v>40</v>
      </c>
      <c r="C1767" s="19">
        <v>39</v>
      </c>
      <c r="D1767" s="3" t="s">
        <v>496</v>
      </c>
      <c r="E1767" s="3" t="s">
        <v>18</v>
      </c>
      <c r="F1767" s="23">
        <v>120285</v>
      </c>
      <c r="G1767" s="15">
        <v>2005</v>
      </c>
      <c r="H1767" s="15">
        <f>Table_7[[#This Row],[Listing Price (USD)]]/10000</f>
        <v>12.028499999999999</v>
      </c>
      <c r="I1767" s="28">
        <f>Table_7[[#This Row],[Length 
(ft)]]</f>
        <v>39</v>
      </c>
      <c r="J1767" s="28">
        <f>2020-Table_7[[#This Row],[Year]]</f>
        <v>15</v>
      </c>
      <c r="K1767">
        <v>188925995936.80701</v>
      </c>
      <c r="L1767">
        <v>17658.947301119199</v>
      </c>
      <c r="M1767">
        <v>-1.2479835558140799</v>
      </c>
      <c r="N1767">
        <v>-9.0040436420214593</v>
      </c>
      <c r="O1767">
        <v>34.549999999999997</v>
      </c>
      <c r="P1767">
        <v>1097</v>
      </c>
      <c r="Q1767">
        <v>48</v>
      </c>
      <c r="R1767">
        <v>12.63</v>
      </c>
    </row>
    <row r="1768" spans="1:18" x14ac:dyDescent="0.25">
      <c r="A1768" s="1" t="s">
        <v>13</v>
      </c>
      <c r="B1768" s="2">
        <v>40</v>
      </c>
      <c r="C1768" s="19">
        <v>40</v>
      </c>
      <c r="D1768" s="3" t="s">
        <v>496</v>
      </c>
      <c r="E1768" s="3" t="s">
        <v>63</v>
      </c>
      <c r="F1768" s="23">
        <v>127543</v>
      </c>
      <c r="G1768" s="15">
        <v>2011</v>
      </c>
      <c r="H1768" s="15">
        <f>Table_7[[#This Row],[Listing Price (USD)]]/10000</f>
        <v>12.754300000000001</v>
      </c>
      <c r="I1768" s="28">
        <f>Table_7[[#This Row],[Length 
(ft)]]</f>
        <v>40</v>
      </c>
      <c r="J1768" s="28">
        <f>2020-Table_7[[#This Row],[Year]]</f>
        <v>9</v>
      </c>
      <c r="K1768">
        <v>720290000000</v>
      </c>
      <c r="L1768">
        <v>13341.6</v>
      </c>
      <c r="M1768">
        <v>13</v>
      </c>
      <c r="N1768">
        <v>-3</v>
      </c>
      <c r="O1768">
        <v>34.549999999999997</v>
      </c>
      <c r="P1768">
        <v>1097</v>
      </c>
      <c r="Q1768">
        <v>48</v>
      </c>
      <c r="R1768">
        <v>12.63</v>
      </c>
    </row>
    <row r="1769" spans="1:18" x14ac:dyDescent="0.25">
      <c r="A1769" s="1" t="s">
        <v>164</v>
      </c>
      <c r="B1769" s="2">
        <v>40</v>
      </c>
      <c r="C1769" s="19">
        <v>41</v>
      </c>
      <c r="D1769" s="3" t="s">
        <v>496</v>
      </c>
      <c r="E1769" s="3" t="s">
        <v>24</v>
      </c>
      <c r="F1769" s="23">
        <v>145744</v>
      </c>
      <c r="G1769" s="15">
        <v>2006</v>
      </c>
      <c r="H1769" s="15">
        <f>Table_7[[#This Row],[Listing Price (USD)]]/10000</f>
        <v>14.574400000000001</v>
      </c>
      <c r="I1769" s="28">
        <f>Table_7[[#This Row],[Length 
(ft)]]</f>
        <v>41</v>
      </c>
      <c r="J1769" s="28">
        <f>2020-Table_7[[#This Row],[Year]]</f>
        <v>14</v>
      </c>
      <c r="K1769">
        <v>1896755301518.1399</v>
      </c>
      <c r="L1769">
        <v>31911.0357890017</v>
      </c>
      <c r="M1769">
        <v>-0.13770757391656999</v>
      </c>
      <c r="N1769">
        <v>-9.0399534112288507</v>
      </c>
      <c r="O1769">
        <v>34.549999999999997</v>
      </c>
      <c r="P1769">
        <v>1097</v>
      </c>
      <c r="Q1769">
        <v>48</v>
      </c>
      <c r="R1769">
        <v>12.63</v>
      </c>
    </row>
    <row r="1770" spans="1:18" x14ac:dyDescent="0.25">
      <c r="A1770" s="1" t="s">
        <v>45</v>
      </c>
      <c r="B1770" s="3">
        <v>40</v>
      </c>
      <c r="C1770" s="19">
        <v>40</v>
      </c>
      <c r="D1770" s="3" t="s">
        <v>495</v>
      </c>
      <c r="E1770" s="3" t="s">
        <v>526</v>
      </c>
      <c r="F1770" s="23">
        <v>159000</v>
      </c>
      <c r="G1770" s="15">
        <v>2009</v>
      </c>
      <c r="H1770" s="15">
        <f>Table_7[[#This Row],[Listing Price (USD)]]/10000</f>
        <v>15.9</v>
      </c>
      <c r="I1770" s="28">
        <f>Table_7[[#This Row],[Length 
(ft)]]</f>
        <v>40</v>
      </c>
      <c r="J1770" s="28">
        <f>2020-Table_7[[#This Row],[Year]]</f>
        <v>11</v>
      </c>
      <c r="K1770">
        <v>4200000000</v>
      </c>
      <c r="L1770">
        <v>39553.199999999997</v>
      </c>
      <c r="M1770">
        <v>4.0999999999999996</v>
      </c>
      <c r="N1770">
        <v>-2.1</v>
      </c>
      <c r="O1770">
        <v>34.549999999999997</v>
      </c>
      <c r="P1770">
        <v>1097</v>
      </c>
      <c r="Q1770">
        <v>48</v>
      </c>
      <c r="R1770">
        <v>12.63</v>
      </c>
    </row>
    <row r="1771" spans="1:18" x14ac:dyDescent="0.25">
      <c r="A1771" s="1" t="s">
        <v>123</v>
      </c>
      <c r="B1771" s="2">
        <v>40</v>
      </c>
      <c r="C1771" s="19">
        <v>39</v>
      </c>
      <c r="D1771" s="3" t="s">
        <v>496</v>
      </c>
      <c r="E1771" s="3" t="s">
        <v>124</v>
      </c>
      <c r="F1771" s="23">
        <v>159277</v>
      </c>
      <c r="G1771" s="15">
        <v>2006</v>
      </c>
      <c r="H1771" s="15">
        <f>Table_7[[#This Row],[Listing Price (USD)]]/10000</f>
        <v>15.9277</v>
      </c>
      <c r="I1771" s="28">
        <f>Table_7[[#This Row],[Length 
(ft)]]</f>
        <v>39</v>
      </c>
      <c r="J1771" s="28">
        <f>2020-Table_7[[#This Row],[Year]]</f>
        <v>14</v>
      </c>
      <c r="K1771">
        <v>547054174235.87598</v>
      </c>
      <c r="L1771">
        <v>52837.903977814902</v>
      </c>
      <c r="M1771">
        <v>0.497367318853562</v>
      </c>
      <c r="N1771">
        <v>-2.1702131788587198</v>
      </c>
      <c r="O1771">
        <v>34.549999999999997</v>
      </c>
      <c r="P1771">
        <v>1097</v>
      </c>
      <c r="Q1771">
        <v>48</v>
      </c>
      <c r="R1771">
        <v>12.63</v>
      </c>
    </row>
    <row r="1772" spans="1:18" x14ac:dyDescent="0.25">
      <c r="A1772" s="1" t="s">
        <v>45</v>
      </c>
      <c r="B1772" s="2">
        <v>41.1</v>
      </c>
      <c r="C1772" s="19">
        <v>40</v>
      </c>
      <c r="D1772" s="3" t="s">
        <v>496</v>
      </c>
      <c r="E1772" s="3" t="s">
        <v>31</v>
      </c>
      <c r="F1772" s="23">
        <v>156675</v>
      </c>
      <c r="G1772" s="15">
        <v>2017</v>
      </c>
      <c r="H1772" s="15">
        <f>Table_7[[#This Row],[Listing Price (USD)]]/10000</f>
        <v>15.6675</v>
      </c>
      <c r="I1772" s="28">
        <f>Table_7[[#This Row],[Length 
(ft)]]</f>
        <v>40</v>
      </c>
      <c r="J1772" s="28">
        <f>2020-Table_7[[#This Row],[Year]]</f>
        <v>3</v>
      </c>
      <c r="K1772">
        <v>57472012426.685303</v>
      </c>
      <c r="L1772">
        <v>14198.753959474399</v>
      </c>
      <c r="M1772">
        <v>0.15481137456202801</v>
      </c>
      <c r="N1772">
        <v>-8.5803430210621805</v>
      </c>
      <c r="O1772">
        <v>36.25</v>
      </c>
      <c r="P1772">
        <v>876.18200000000002</v>
      </c>
      <c r="Q1772">
        <v>48</v>
      </c>
      <c r="R1772">
        <v>12.8</v>
      </c>
    </row>
    <row r="1773" spans="1:18" x14ac:dyDescent="0.25">
      <c r="A1773" s="1" t="s">
        <v>187</v>
      </c>
      <c r="B1773" s="2" t="s">
        <v>189</v>
      </c>
      <c r="C1773" s="19">
        <v>40</v>
      </c>
      <c r="D1773" s="3" t="s">
        <v>496</v>
      </c>
      <c r="E1773" s="3" t="s">
        <v>18</v>
      </c>
      <c r="F1773" s="23">
        <v>95948</v>
      </c>
      <c r="G1773" s="15">
        <v>2006</v>
      </c>
      <c r="H1773" s="15">
        <f>Table_7[[#This Row],[Listing Price (USD)]]/10000</f>
        <v>9.5947999999999993</v>
      </c>
      <c r="I1773" s="28">
        <f>Table_7[[#This Row],[Length 
(ft)]]</f>
        <v>40</v>
      </c>
      <c r="J1773" s="28">
        <f>2020-Table_7[[#This Row],[Year]]</f>
        <v>14</v>
      </c>
      <c r="K1773">
        <v>188925995936.80701</v>
      </c>
      <c r="L1773">
        <v>17658.947301119199</v>
      </c>
      <c r="M1773">
        <v>-1.2479835558140799</v>
      </c>
      <c r="N1773">
        <v>-9.0040436420214593</v>
      </c>
      <c r="O1773">
        <v>36.25</v>
      </c>
      <c r="P1773">
        <v>876.18200000000002</v>
      </c>
      <c r="Q1773">
        <v>48</v>
      </c>
      <c r="R1773">
        <v>12.8</v>
      </c>
    </row>
    <row r="1774" spans="1:18" x14ac:dyDescent="0.25">
      <c r="A1774" s="1" t="s">
        <v>187</v>
      </c>
      <c r="B1774" s="2" t="s">
        <v>189</v>
      </c>
      <c r="C1774" s="19">
        <v>40</v>
      </c>
      <c r="D1774" s="3" t="s">
        <v>496</v>
      </c>
      <c r="E1774" s="3" t="s">
        <v>3</v>
      </c>
      <c r="F1774" s="23">
        <v>96555</v>
      </c>
      <c r="G1774" s="15">
        <v>2005</v>
      </c>
      <c r="H1774" s="15">
        <f>Table_7[[#This Row],[Listing Price (USD)]]/10000</f>
        <v>9.6555</v>
      </c>
      <c r="I1774" s="28">
        <f>Table_7[[#This Row],[Length 
(ft)]]</f>
        <v>40</v>
      </c>
      <c r="J1774" s="28">
        <f>2020-Table_7[[#This Row],[Year]]</f>
        <v>15</v>
      </c>
      <c r="K1774">
        <v>2639008701648.2598</v>
      </c>
      <c r="L1774">
        <v>39055.282928075401</v>
      </c>
      <c r="M1774">
        <v>0.47649885272508302</v>
      </c>
      <c r="N1774">
        <v>-7.7845864916787102</v>
      </c>
      <c r="O1774">
        <v>36.25</v>
      </c>
      <c r="P1774">
        <v>876.18200000000002</v>
      </c>
      <c r="Q1774">
        <v>48</v>
      </c>
      <c r="R1774">
        <v>12.8</v>
      </c>
    </row>
    <row r="1775" spans="1:18" x14ac:dyDescent="0.25">
      <c r="A1775" s="1" t="s">
        <v>187</v>
      </c>
      <c r="B1775" s="3" t="s">
        <v>189</v>
      </c>
      <c r="C1775" s="19">
        <v>40</v>
      </c>
      <c r="D1775" s="3" t="s">
        <v>495</v>
      </c>
      <c r="E1775" s="3" t="s">
        <v>500</v>
      </c>
      <c r="F1775" s="23">
        <v>120000</v>
      </c>
      <c r="G1775" s="15">
        <v>2009</v>
      </c>
      <c r="H1775" s="15">
        <f>Table_7[[#This Row],[Listing Price (USD)]]/10000</f>
        <v>12</v>
      </c>
      <c r="I1775" s="28">
        <f>Table_7[[#This Row],[Length 
(ft)]]</f>
        <v>40</v>
      </c>
      <c r="J1775" s="28">
        <f>2020-Table_7[[#This Row],[Year]]</f>
        <v>11</v>
      </c>
      <c r="K1775">
        <v>3007188000000</v>
      </c>
      <c r="L1775">
        <v>76131.839999999997</v>
      </c>
      <c r="M1775">
        <v>1.23</v>
      </c>
      <c r="N1775">
        <v>2.7</v>
      </c>
      <c r="O1775">
        <v>36.25</v>
      </c>
      <c r="P1775">
        <v>876.18200000000002</v>
      </c>
      <c r="Q1775">
        <v>48</v>
      </c>
      <c r="R1775">
        <v>12.8</v>
      </c>
    </row>
    <row r="1776" spans="1:18" x14ac:dyDescent="0.25">
      <c r="A1776" s="1" t="s">
        <v>187</v>
      </c>
      <c r="B1776" s="3" t="s">
        <v>189</v>
      </c>
      <c r="C1776" s="19">
        <v>40</v>
      </c>
      <c r="D1776" s="3" t="s">
        <v>495</v>
      </c>
      <c r="E1776" s="3" t="s">
        <v>500</v>
      </c>
      <c r="F1776" s="23">
        <v>120000</v>
      </c>
      <c r="G1776" s="15">
        <v>2008</v>
      </c>
      <c r="H1776" s="15">
        <f>Table_7[[#This Row],[Listing Price (USD)]]/10000</f>
        <v>12</v>
      </c>
      <c r="I1776" s="28">
        <f>Table_7[[#This Row],[Length 
(ft)]]</f>
        <v>40</v>
      </c>
      <c r="J1776" s="28">
        <f>2020-Table_7[[#This Row],[Year]]</f>
        <v>12</v>
      </c>
      <c r="K1776">
        <v>3007188000000</v>
      </c>
      <c r="L1776">
        <v>76131.839999999997</v>
      </c>
      <c r="M1776">
        <v>1.23</v>
      </c>
      <c r="N1776">
        <v>2.7</v>
      </c>
      <c r="O1776">
        <v>36.25</v>
      </c>
      <c r="P1776">
        <v>876.18200000000002</v>
      </c>
      <c r="Q1776">
        <v>48</v>
      </c>
      <c r="R1776">
        <v>12.8</v>
      </c>
    </row>
    <row r="1777" spans="1:18" x14ac:dyDescent="0.25">
      <c r="A1777" s="1" t="s">
        <v>187</v>
      </c>
      <c r="B1777" s="3" t="s">
        <v>189</v>
      </c>
      <c r="C1777" s="19">
        <v>40</v>
      </c>
      <c r="D1777" s="3" t="s">
        <v>495</v>
      </c>
      <c r="E1777" s="3" t="s">
        <v>545</v>
      </c>
      <c r="F1777" s="23">
        <v>124900</v>
      </c>
      <c r="G1777" s="15">
        <v>2005</v>
      </c>
      <c r="H1777" s="15">
        <f>Table_7[[#This Row],[Listing Price (USD)]]/10000</f>
        <v>12.49</v>
      </c>
      <c r="I1777" s="28">
        <f>Table_7[[#This Row],[Length 
(ft)]]</f>
        <v>40</v>
      </c>
      <c r="J1777" s="28">
        <f>2020-Table_7[[#This Row],[Year]]</f>
        <v>15</v>
      </c>
      <c r="K1777">
        <v>515120000000</v>
      </c>
      <c r="L1777">
        <v>51165.75</v>
      </c>
      <c r="M1777">
        <v>1.23</v>
      </c>
      <c r="N1777">
        <v>2.6</v>
      </c>
      <c r="O1777">
        <v>36.25</v>
      </c>
      <c r="P1777">
        <v>876.18200000000002</v>
      </c>
      <c r="Q1777">
        <v>48</v>
      </c>
      <c r="R1777">
        <v>12.8</v>
      </c>
    </row>
    <row r="1778" spans="1:18" x14ac:dyDescent="0.25">
      <c r="A1778" s="1" t="s">
        <v>187</v>
      </c>
      <c r="B1778" s="3" t="s">
        <v>189</v>
      </c>
      <c r="C1778" s="19">
        <v>40</v>
      </c>
      <c r="D1778" s="3" t="s">
        <v>495</v>
      </c>
      <c r="E1778" s="3" t="s">
        <v>554</v>
      </c>
      <c r="F1778" s="23">
        <v>125000</v>
      </c>
      <c r="G1778" s="15">
        <v>2008</v>
      </c>
      <c r="H1778" s="15">
        <f>Table_7[[#This Row],[Listing Price (USD)]]/10000</f>
        <v>12.5</v>
      </c>
      <c r="I1778" s="28">
        <f>Table_7[[#This Row],[Length 
(ft)]]</f>
        <v>40</v>
      </c>
      <c r="J1778" s="28">
        <f>2020-Table_7[[#This Row],[Year]]</f>
        <v>12</v>
      </c>
      <c r="K1778">
        <v>4200000000</v>
      </c>
      <c r="L1778">
        <v>39553.199999999997</v>
      </c>
      <c r="M1778">
        <v>4.0999999999999996</v>
      </c>
      <c r="N1778">
        <v>-2.1</v>
      </c>
      <c r="O1778">
        <v>36.25</v>
      </c>
      <c r="P1778">
        <v>876.18200000000002</v>
      </c>
      <c r="Q1778">
        <v>48</v>
      </c>
      <c r="R1778">
        <v>12.8</v>
      </c>
    </row>
    <row r="1779" spans="1:18" x14ac:dyDescent="0.25">
      <c r="A1779" s="1" t="s">
        <v>187</v>
      </c>
      <c r="B1779" s="3" t="s">
        <v>189</v>
      </c>
      <c r="C1779" s="19">
        <v>40</v>
      </c>
      <c r="D1779" s="3" t="s">
        <v>495</v>
      </c>
      <c r="E1779" s="3" t="s">
        <v>500</v>
      </c>
      <c r="F1779" s="23">
        <v>132000</v>
      </c>
      <c r="G1779" s="15">
        <v>2005</v>
      </c>
      <c r="H1779" s="15">
        <f>Table_7[[#This Row],[Listing Price (USD)]]/10000</f>
        <v>13.2</v>
      </c>
      <c r="I1779" s="28">
        <f>Table_7[[#This Row],[Length 
(ft)]]</f>
        <v>40</v>
      </c>
      <c r="J1779" s="28">
        <f>2020-Table_7[[#This Row],[Year]]</f>
        <v>15</v>
      </c>
      <c r="K1779">
        <v>3007188000000</v>
      </c>
      <c r="L1779">
        <v>76131.839999999997</v>
      </c>
      <c r="M1779">
        <v>1.23</v>
      </c>
      <c r="N1779">
        <v>2.7</v>
      </c>
      <c r="O1779">
        <v>36.25</v>
      </c>
      <c r="P1779">
        <v>876.18200000000002</v>
      </c>
      <c r="Q1779">
        <v>48</v>
      </c>
      <c r="R1779">
        <v>12.8</v>
      </c>
    </row>
    <row r="1780" spans="1:18" x14ac:dyDescent="0.25">
      <c r="A1780" s="1" t="s">
        <v>187</v>
      </c>
      <c r="B1780" s="3" t="s">
        <v>189</v>
      </c>
      <c r="C1780" s="19">
        <v>40</v>
      </c>
      <c r="D1780" s="3" t="s">
        <v>495</v>
      </c>
      <c r="E1780" s="3" t="s">
        <v>333</v>
      </c>
      <c r="F1780" s="23">
        <v>135000</v>
      </c>
      <c r="G1780" s="15">
        <v>2008</v>
      </c>
      <c r="H1780" s="15">
        <f>Table_7[[#This Row],[Listing Price (USD)]]/10000</f>
        <v>13.5</v>
      </c>
      <c r="I1780" s="28">
        <f>Table_7[[#This Row],[Length 
(ft)]]</f>
        <v>40</v>
      </c>
      <c r="J1780" s="28">
        <f>2020-Table_7[[#This Row],[Year]]</f>
        <v>12</v>
      </c>
      <c r="K1780">
        <v>1106036000000</v>
      </c>
      <c r="L1780">
        <v>51276.72</v>
      </c>
      <c r="M1780">
        <v>1.23</v>
      </c>
      <c r="N1780">
        <v>2.9</v>
      </c>
      <c r="O1780">
        <v>36.25</v>
      </c>
      <c r="P1780">
        <v>876.18200000000002</v>
      </c>
      <c r="Q1780">
        <v>48</v>
      </c>
      <c r="R1780">
        <v>12.8</v>
      </c>
    </row>
    <row r="1781" spans="1:18" x14ac:dyDescent="0.25">
      <c r="A1781" s="1" t="s">
        <v>187</v>
      </c>
      <c r="B1781" s="3" t="s">
        <v>189</v>
      </c>
      <c r="C1781" s="19">
        <v>40</v>
      </c>
      <c r="D1781" s="3" t="s">
        <v>495</v>
      </c>
      <c r="E1781" s="3" t="s">
        <v>518</v>
      </c>
      <c r="F1781" s="23">
        <v>139000</v>
      </c>
      <c r="G1781" s="15">
        <v>2006</v>
      </c>
      <c r="H1781" s="15">
        <f>Table_7[[#This Row],[Listing Price (USD)]]/10000</f>
        <v>13.9</v>
      </c>
      <c r="I1781" s="28">
        <f>Table_7[[#This Row],[Length 
(ft)]]</f>
        <v>40</v>
      </c>
      <c r="J1781" s="28">
        <f>2020-Table_7[[#This Row],[Year]]</f>
        <v>14</v>
      </c>
      <c r="K1781">
        <v>1724759000000</v>
      </c>
      <c r="L1781">
        <v>85575.039999999994</v>
      </c>
      <c r="M1781">
        <v>1.23</v>
      </c>
      <c r="N1781">
        <v>3.8</v>
      </c>
      <c r="O1781">
        <v>36.25</v>
      </c>
      <c r="P1781">
        <v>876.18200000000002</v>
      </c>
      <c r="Q1781">
        <v>48</v>
      </c>
      <c r="R1781">
        <v>12.8</v>
      </c>
    </row>
    <row r="1782" spans="1:18" x14ac:dyDescent="0.25">
      <c r="A1782" s="1" t="s">
        <v>187</v>
      </c>
      <c r="B1782" s="3" t="s">
        <v>189</v>
      </c>
      <c r="C1782" s="19">
        <v>40</v>
      </c>
      <c r="D1782" s="3" t="s">
        <v>495</v>
      </c>
      <c r="E1782" s="3" t="s">
        <v>518</v>
      </c>
      <c r="F1782" s="23">
        <v>140294</v>
      </c>
      <c r="G1782" s="15">
        <v>2008</v>
      </c>
      <c r="H1782" s="15">
        <f>Table_7[[#This Row],[Listing Price (USD)]]/10000</f>
        <v>14.029400000000001</v>
      </c>
      <c r="I1782" s="28">
        <f>Table_7[[#This Row],[Length 
(ft)]]</f>
        <v>40</v>
      </c>
      <c r="J1782" s="28">
        <f>2020-Table_7[[#This Row],[Year]]</f>
        <v>12</v>
      </c>
      <c r="K1782">
        <v>1724759000000</v>
      </c>
      <c r="L1782">
        <v>85575.039999999994</v>
      </c>
      <c r="M1782">
        <v>1.23</v>
      </c>
      <c r="N1782">
        <v>3.8</v>
      </c>
      <c r="O1782">
        <v>36.25</v>
      </c>
      <c r="P1782">
        <v>876.18200000000002</v>
      </c>
      <c r="Q1782">
        <v>48</v>
      </c>
      <c r="R1782">
        <v>12.8</v>
      </c>
    </row>
    <row r="1783" spans="1:18" x14ac:dyDescent="0.25">
      <c r="A1783" s="1" t="s">
        <v>187</v>
      </c>
      <c r="B1783" s="3" t="s">
        <v>189</v>
      </c>
      <c r="C1783" s="19">
        <v>40</v>
      </c>
      <c r="D1783" s="3" t="s">
        <v>495</v>
      </c>
      <c r="E1783" s="3" t="s">
        <v>550</v>
      </c>
      <c r="F1783" s="23">
        <v>149000</v>
      </c>
      <c r="G1783" s="15">
        <v>2006</v>
      </c>
      <c r="H1783" s="15">
        <f>Table_7[[#This Row],[Listing Price (USD)]]/10000</f>
        <v>14.9</v>
      </c>
      <c r="I1783" s="28">
        <f>Table_7[[#This Row],[Length 
(ft)]]</f>
        <v>40</v>
      </c>
      <c r="J1783" s="28">
        <f>2020-Table_7[[#This Row],[Year]]</f>
        <v>14</v>
      </c>
      <c r="K1783">
        <v>677561000000</v>
      </c>
      <c r="L1783">
        <v>57466.28</v>
      </c>
      <c r="M1783">
        <v>1.23</v>
      </c>
      <c r="N1783">
        <v>3.5</v>
      </c>
      <c r="O1783">
        <v>36.25</v>
      </c>
      <c r="P1783">
        <v>876.18200000000002</v>
      </c>
      <c r="Q1783">
        <v>48</v>
      </c>
      <c r="R1783">
        <v>12.8</v>
      </c>
    </row>
    <row r="1784" spans="1:18" x14ac:dyDescent="0.25">
      <c r="A1784" s="1" t="s">
        <v>187</v>
      </c>
      <c r="B1784" s="3" t="s">
        <v>189</v>
      </c>
      <c r="C1784" s="19">
        <v>40</v>
      </c>
      <c r="D1784" s="3" t="s">
        <v>495</v>
      </c>
      <c r="E1784" s="3" t="s">
        <v>519</v>
      </c>
      <c r="F1784" s="23">
        <v>149500</v>
      </c>
      <c r="G1784" s="15">
        <v>2006</v>
      </c>
      <c r="H1784" s="15">
        <f>Table_7[[#This Row],[Listing Price (USD)]]/10000</f>
        <v>14.95</v>
      </c>
      <c r="I1784" s="28">
        <f>Table_7[[#This Row],[Length 
(ft)]]</f>
        <v>40</v>
      </c>
      <c r="J1784" s="28">
        <f>2020-Table_7[[#This Row],[Year]]</f>
        <v>14</v>
      </c>
      <c r="K1784">
        <v>589829000000</v>
      </c>
      <c r="L1784">
        <v>56404.23</v>
      </c>
      <c r="M1784">
        <v>1.23</v>
      </c>
      <c r="N1784">
        <v>2.8</v>
      </c>
      <c r="O1784">
        <v>36.25</v>
      </c>
      <c r="P1784">
        <v>876.18200000000002</v>
      </c>
      <c r="Q1784">
        <v>48</v>
      </c>
      <c r="R1784">
        <v>12.8</v>
      </c>
    </row>
    <row r="1785" spans="1:18" x14ac:dyDescent="0.25">
      <c r="A1785" s="1" t="s">
        <v>187</v>
      </c>
      <c r="B1785" s="3" t="s">
        <v>189</v>
      </c>
      <c r="C1785" s="19">
        <v>40</v>
      </c>
      <c r="D1785" s="3" t="s">
        <v>495</v>
      </c>
      <c r="E1785" s="3" t="s">
        <v>333</v>
      </c>
      <c r="F1785" s="23">
        <v>150000</v>
      </c>
      <c r="G1785" s="15">
        <v>2009</v>
      </c>
      <c r="H1785" s="15">
        <f>Table_7[[#This Row],[Listing Price (USD)]]/10000</f>
        <v>15</v>
      </c>
      <c r="I1785" s="28">
        <f>Table_7[[#This Row],[Length 
(ft)]]</f>
        <v>40</v>
      </c>
      <c r="J1785" s="28">
        <f>2020-Table_7[[#This Row],[Year]]</f>
        <v>11</v>
      </c>
      <c r="K1785">
        <v>1106036000000</v>
      </c>
      <c r="L1785">
        <v>51276.72</v>
      </c>
      <c r="M1785">
        <v>1.23</v>
      </c>
      <c r="N1785">
        <v>2.9</v>
      </c>
      <c r="O1785">
        <v>36.25</v>
      </c>
      <c r="P1785">
        <v>876.18200000000002</v>
      </c>
      <c r="Q1785">
        <v>48</v>
      </c>
      <c r="R1785">
        <v>12.8</v>
      </c>
    </row>
    <row r="1786" spans="1:18" x14ac:dyDescent="0.25">
      <c r="A1786" s="1" t="s">
        <v>187</v>
      </c>
      <c r="B1786" s="3" t="s">
        <v>189</v>
      </c>
      <c r="C1786" s="19">
        <v>40</v>
      </c>
      <c r="D1786" s="3" t="s">
        <v>495</v>
      </c>
      <c r="E1786" s="3" t="s">
        <v>526</v>
      </c>
      <c r="F1786" s="23">
        <v>174500</v>
      </c>
      <c r="G1786" s="15">
        <v>2006</v>
      </c>
      <c r="H1786" s="15">
        <f>Table_7[[#This Row],[Listing Price (USD)]]/10000</f>
        <v>17.45</v>
      </c>
      <c r="I1786" s="28">
        <f>Table_7[[#This Row],[Length 
(ft)]]</f>
        <v>40</v>
      </c>
      <c r="J1786" s="28">
        <f>2020-Table_7[[#This Row],[Year]]</f>
        <v>14</v>
      </c>
      <c r="K1786">
        <v>4200000000</v>
      </c>
      <c r="L1786">
        <v>39553.199999999997</v>
      </c>
      <c r="M1786">
        <v>4.0999999999999996</v>
      </c>
      <c r="N1786">
        <v>-2.1</v>
      </c>
      <c r="O1786">
        <v>36.25</v>
      </c>
      <c r="P1786">
        <v>876.18200000000002</v>
      </c>
      <c r="Q1786">
        <v>48</v>
      </c>
      <c r="R1786">
        <v>12.8</v>
      </c>
    </row>
    <row r="1787" spans="1:18" x14ac:dyDescent="0.25">
      <c r="A1787" s="1" t="s">
        <v>143</v>
      </c>
      <c r="B1787" s="2" t="s">
        <v>147</v>
      </c>
      <c r="C1787" s="19">
        <v>39</v>
      </c>
      <c r="D1787" s="3" t="s">
        <v>496</v>
      </c>
      <c r="E1787" s="3" t="s">
        <v>31</v>
      </c>
      <c r="F1787" s="23">
        <v>126328</v>
      </c>
      <c r="G1787" s="15">
        <v>2015</v>
      </c>
      <c r="H1787" s="15">
        <f>Table_7[[#This Row],[Listing Price (USD)]]/10000</f>
        <v>12.6328</v>
      </c>
      <c r="I1787" s="28">
        <f>Table_7[[#This Row],[Length 
(ft)]]</f>
        <v>39</v>
      </c>
      <c r="J1787" s="28">
        <f>2020-Table_7[[#This Row],[Year]]</f>
        <v>5</v>
      </c>
      <c r="K1787">
        <v>57472012426.685303</v>
      </c>
      <c r="L1787">
        <v>14198.753959474399</v>
      </c>
      <c r="M1787">
        <v>0.15481137456202801</v>
      </c>
      <c r="N1787">
        <v>-8.5803430210621805</v>
      </c>
      <c r="O1787">
        <v>32.81</v>
      </c>
      <c r="P1787">
        <v>818.27200000000005</v>
      </c>
      <c r="Q1787">
        <v>45</v>
      </c>
      <c r="R1787">
        <v>12.83</v>
      </c>
    </row>
    <row r="1788" spans="1:18" x14ac:dyDescent="0.25">
      <c r="A1788" s="1" t="s">
        <v>143</v>
      </c>
      <c r="B1788" s="2" t="s">
        <v>147</v>
      </c>
      <c r="C1788" s="19">
        <v>39</v>
      </c>
      <c r="D1788" s="3" t="s">
        <v>496</v>
      </c>
      <c r="E1788" s="3" t="s">
        <v>31</v>
      </c>
      <c r="F1788" s="23">
        <v>157668</v>
      </c>
      <c r="G1788" s="15">
        <v>2017</v>
      </c>
      <c r="H1788" s="15">
        <f>Table_7[[#This Row],[Listing Price (USD)]]/10000</f>
        <v>15.7668</v>
      </c>
      <c r="I1788" s="28">
        <f>Table_7[[#This Row],[Length 
(ft)]]</f>
        <v>39</v>
      </c>
      <c r="J1788" s="28">
        <f>2020-Table_7[[#This Row],[Year]]</f>
        <v>3</v>
      </c>
      <c r="K1788">
        <v>57472012426.685303</v>
      </c>
      <c r="L1788">
        <v>14198.753959474399</v>
      </c>
      <c r="M1788">
        <v>0.15481137456202801</v>
      </c>
      <c r="N1788">
        <v>-8.5803430210621805</v>
      </c>
      <c r="O1788">
        <v>32.81</v>
      </c>
      <c r="P1788">
        <v>818.27200000000005</v>
      </c>
      <c r="Q1788">
        <v>45</v>
      </c>
      <c r="R1788">
        <v>12.83</v>
      </c>
    </row>
    <row r="1789" spans="1:18" x14ac:dyDescent="0.25">
      <c r="A1789" s="1" t="s">
        <v>143</v>
      </c>
      <c r="B1789" s="2" t="s">
        <v>147</v>
      </c>
      <c r="C1789" s="19">
        <v>39</v>
      </c>
      <c r="D1789" s="3" t="s">
        <v>496</v>
      </c>
      <c r="E1789" s="3" t="s">
        <v>31</v>
      </c>
      <c r="F1789" s="23">
        <v>175888</v>
      </c>
      <c r="G1789" s="15">
        <v>2019</v>
      </c>
      <c r="H1789" s="15">
        <f>Table_7[[#This Row],[Listing Price (USD)]]/10000</f>
        <v>17.588799999999999</v>
      </c>
      <c r="I1789" s="28">
        <f>Table_7[[#This Row],[Length 
(ft)]]</f>
        <v>39</v>
      </c>
      <c r="J1789" s="28">
        <f>2020-Table_7[[#This Row],[Year]]</f>
        <v>1</v>
      </c>
      <c r="K1789">
        <v>57472012426.685303</v>
      </c>
      <c r="L1789">
        <v>14198.753959474399</v>
      </c>
      <c r="M1789">
        <v>0.15481137456202801</v>
      </c>
      <c r="N1789">
        <v>-8.5803430210621805</v>
      </c>
      <c r="O1789">
        <v>32.81</v>
      </c>
      <c r="P1789">
        <v>818.27200000000005</v>
      </c>
      <c r="Q1789">
        <v>45</v>
      </c>
      <c r="R1789">
        <v>12.83</v>
      </c>
    </row>
    <row r="1790" spans="1:18" x14ac:dyDescent="0.25">
      <c r="A1790" s="1" t="s">
        <v>143</v>
      </c>
      <c r="B1790" s="2" t="s">
        <v>147</v>
      </c>
      <c r="C1790" s="19">
        <v>39</v>
      </c>
      <c r="D1790" s="3" t="s">
        <v>496</v>
      </c>
      <c r="E1790" s="3" t="s">
        <v>31</v>
      </c>
      <c r="F1790" s="23">
        <v>175933</v>
      </c>
      <c r="G1790" s="15">
        <v>2019</v>
      </c>
      <c r="H1790" s="15">
        <f>Table_7[[#This Row],[Listing Price (USD)]]/10000</f>
        <v>17.593299999999999</v>
      </c>
      <c r="I1790" s="28">
        <f>Table_7[[#This Row],[Length 
(ft)]]</f>
        <v>39</v>
      </c>
      <c r="J1790" s="28">
        <f>2020-Table_7[[#This Row],[Year]]</f>
        <v>1</v>
      </c>
      <c r="K1790">
        <v>57472012426.685303</v>
      </c>
      <c r="L1790">
        <v>14198.753959474399</v>
      </c>
      <c r="M1790">
        <v>0.15481137456202801</v>
      </c>
      <c r="N1790">
        <v>-8.5803430210621805</v>
      </c>
      <c r="O1790">
        <v>32.81</v>
      </c>
      <c r="P1790">
        <v>818.27200000000005</v>
      </c>
      <c r="Q1790">
        <v>45</v>
      </c>
      <c r="R1790">
        <v>12.83</v>
      </c>
    </row>
    <row r="1791" spans="1:18" x14ac:dyDescent="0.25">
      <c r="A1791" s="1" t="s">
        <v>143</v>
      </c>
      <c r="B1791" s="2" t="s">
        <v>147</v>
      </c>
      <c r="C1791" s="19">
        <v>39</v>
      </c>
      <c r="D1791" s="3" t="s">
        <v>496</v>
      </c>
      <c r="E1791" s="3" t="s">
        <v>31</v>
      </c>
      <c r="F1791" s="23">
        <v>180990</v>
      </c>
      <c r="G1791" s="15">
        <v>2018</v>
      </c>
      <c r="H1791" s="15">
        <f>Table_7[[#This Row],[Listing Price (USD)]]/10000</f>
        <v>18.099</v>
      </c>
      <c r="I1791" s="28">
        <f>Table_7[[#This Row],[Length 
(ft)]]</f>
        <v>39</v>
      </c>
      <c r="J1791" s="28">
        <f>2020-Table_7[[#This Row],[Year]]</f>
        <v>2</v>
      </c>
      <c r="K1791">
        <v>57472012426.685303</v>
      </c>
      <c r="L1791">
        <v>14198.753959474399</v>
      </c>
      <c r="M1791">
        <v>0.15481137456202801</v>
      </c>
      <c r="N1791">
        <v>-8.5803430210621805</v>
      </c>
      <c r="O1791">
        <v>32.81</v>
      </c>
      <c r="P1791">
        <v>818.27200000000005</v>
      </c>
      <c r="Q1791">
        <v>45</v>
      </c>
      <c r="R1791">
        <v>12.83</v>
      </c>
    </row>
    <row r="1792" spans="1:18" x14ac:dyDescent="0.25">
      <c r="A1792" s="1" t="s">
        <v>143</v>
      </c>
      <c r="B1792" s="2" t="s">
        <v>148</v>
      </c>
      <c r="C1792" s="19">
        <v>39</v>
      </c>
      <c r="D1792" s="3" t="s">
        <v>496</v>
      </c>
      <c r="E1792" s="3" t="s">
        <v>31</v>
      </c>
      <c r="F1792" s="23">
        <v>144586</v>
      </c>
      <c r="G1792" s="15">
        <v>2016</v>
      </c>
      <c r="H1792" s="15">
        <f>Table_7[[#This Row],[Listing Price (USD)]]/10000</f>
        <v>14.458600000000001</v>
      </c>
      <c r="I1792" s="28">
        <f>Table_7[[#This Row],[Length 
(ft)]]</f>
        <v>39</v>
      </c>
      <c r="J1792" s="28">
        <f>2020-Table_7[[#This Row],[Year]]</f>
        <v>4</v>
      </c>
      <c r="K1792">
        <v>57472012426.685303</v>
      </c>
      <c r="L1792">
        <v>14198.753959474399</v>
      </c>
      <c r="M1792">
        <v>0.15481137456202801</v>
      </c>
      <c r="N1792">
        <v>-8.5803430210621805</v>
      </c>
      <c r="O1792">
        <v>32.81</v>
      </c>
      <c r="P1792">
        <v>818.27200000000005</v>
      </c>
      <c r="Q1792">
        <v>45</v>
      </c>
      <c r="R1792">
        <v>12.83</v>
      </c>
    </row>
    <row r="1793" spans="1:18" x14ac:dyDescent="0.25">
      <c r="A1793" s="1" t="s">
        <v>143</v>
      </c>
      <c r="B1793" s="2" t="s">
        <v>149</v>
      </c>
      <c r="C1793" s="19">
        <v>39</v>
      </c>
      <c r="D1793" s="3" t="s">
        <v>496</v>
      </c>
      <c r="E1793" s="3" t="s">
        <v>31</v>
      </c>
      <c r="F1793" s="23">
        <v>151837</v>
      </c>
      <c r="G1793" s="15">
        <v>2016</v>
      </c>
      <c r="H1793" s="15">
        <f>Table_7[[#This Row],[Listing Price (USD)]]/10000</f>
        <v>15.1837</v>
      </c>
      <c r="I1793" s="28">
        <f>Table_7[[#This Row],[Length 
(ft)]]</f>
        <v>39</v>
      </c>
      <c r="J1793" s="28">
        <f>2020-Table_7[[#This Row],[Year]]</f>
        <v>4</v>
      </c>
      <c r="K1793">
        <v>57472012426.685303</v>
      </c>
      <c r="L1793">
        <v>14198.753959474399</v>
      </c>
      <c r="M1793">
        <v>0.15481137456202801</v>
      </c>
      <c r="N1793">
        <v>-8.5803430210621805</v>
      </c>
      <c r="O1793">
        <v>32.81</v>
      </c>
      <c r="P1793">
        <v>818.27200000000005</v>
      </c>
      <c r="Q1793">
        <v>45</v>
      </c>
      <c r="R1793">
        <v>12.83</v>
      </c>
    </row>
    <row r="1794" spans="1:18" x14ac:dyDescent="0.25">
      <c r="A1794" s="1" t="s">
        <v>143</v>
      </c>
      <c r="B1794" s="2" t="s">
        <v>149</v>
      </c>
      <c r="C1794" s="19">
        <v>39</v>
      </c>
      <c r="D1794" s="3" t="s">
        <v>496</v>
      </c>
      <c r="E1794" s="3" t="s">
        <v>63</v>
      </c>
      <c r="F1794" s="23">
        <v>163984</v>
      </c>
      <c r="G1794" s="15">
        <v>2015</v>
      </c>
      <c r="H1794" s="15">
        <f>Table_7[[#This Row],[Listing Price (USD)]]/10000</f>
        <v>16.398399999999999</v>
      </c>
      <c r="I1794" s="28">
        <f>Table_7[[#This Row],[Length 
(ft)]]</f>
        <v>39</v>
      </c>
      <c r="J1794" s="28">
        <f>2020-Table_7[[#This Row],[Year]]</f>
        <v>5</v>
      </c>
      <c r="K1794">
        <v>720290000020</v>
      </c>
      <c r="L1794">
        <v>13341.6</v>
      </c>
      <c r="M1794">
        <v>13</v>
      </c>
      <c r="N1794">
        <v>-3</v>
      </c>
      <c r="O1794">
        <v>32.81</v>
      </c>
      <c r="P1794">
        <v>818.27200000000005</v>
      </c>
      <c r="Q1794">
        <v>45</v>
      </c>
      <c r="R1794">
        <v>12.83</v>
      </c>
    </row>
    <row r="1795" spans="1:18" x14ac:dyDescent="0.25">
      <c r="A1795" s="1" t="s">
        <v>143</v>
      </c>
      <c r="B1795" s="2" t="s">
        <v>149</v>
      </c>
      <c r="C1795" s="19">
        <v>39</v>
      </c>
      <c r="D1795" s="3" t="s">
        <v>496</v>
      </c>
      <c r="E1795" s="3" t="s">
        <v>31</v>
      </c>
      <c r="F1795" s="23">
        <v>206490</v>
      </c>
      <c r="G1795" s="15">
        <v>2017</v>
      </c>
      <c r="H1795" s="15">
        <f>Table_7[[#This Row],[Listing Price (USD)]]/10000</f>
        <v>20.649000000000001</v>
      </c>
      <c r="I1795" s="28">
        <f>Table_7[[#This Row],[Length 
(ft)]]</f>
        <v>39</v>
      </c>
      <c r="J1795" s="28">
        <f>2020-Table_7[[#This Row],[Year]]</f>
        <v>3</v>
      </c>
      <c r="K1795">
        <v>57472012426.685303</v>
      </c>
      <c r="L1795">
        <v>14198.753959474399</v>
      </c>
      <c r="M1795">
        <v>0.15481137456202801</v>
      </c>
      <c r="N1795">
        <v>-8.5803430210621805</v>
      </c>
      <c r="O1795">
        <v>32.81</v>
      </c>
      <c r="P1795">
        <v>818.27200000000005</v>
      </c>
      <c r="Q1795">
        <v>45</v>
      </c>
      <c r="R1795">
        <v>12.83</v>
      </c>
    </row>
    <row r="1796" spans="1:18" x14ac:dyDescent="0.25">
      <c r="A1796" s="1" t="s">
        <v>143</v>
      </c>
      <c r="B1796" s="3" t="s">
        <v>149</v>
      </c>
      <c r="C1796" s="19">
        <v>39</v>
      </c>
      <c r="D1796" s="3" t="s">
        <v>495</v>
      </c>
      <c r="E1796" s="3" t="s">
        <v>512</v>
      </c>
      <c r="F1796" s="23">
        <v>275000</v>
      </c>
      <c r="G1796" s="15">
        <v>2016</v>
      </c>
      <c r="H1796" s="15">
        <f>Table_7[[#This Row],[Listing Price (USD)]]/10000</f>
        <v>27.5</v>
      </c>
      <c r="I1796" s="28">
        <f>Table_7[[#This Row],[Length 
(ft)]]</f>
        <v>39</v>
      </c>
      <c r="J1796" s="28">
        <f>2020-Table_7[[#This Row],[Year]]</f>
        <v>4</v>
      </c>
      <c r="K1796">
        <v>3889668895299.6201</v>
      </c>
      <c r="L1796">
        <v>46772.825350754501</v>
      </c>
      <c r="M1796">
        <v>0.50668988995327402</v>
      </c>
      <c r="N1796">
        <v>-3.6967887053804298</v>
      </c>
      <c r="O1796">
        <v>32.81</v>
      </c>
      <c r="P1796">
        <v>818.27200000000005</v>
      </c>
      <c r="Q1796">
        <v>45</v>
      </c>
      <c r="R1796">
        <v>12.83</v>
      </c>
    </row>
    <row r="1797" spans="1:18" x14ac:dyDescent="0.25">
      <c r="A1797" s="1" t="s">
        <v>143</v>
      </c>
      <c r="B1797" s="2" t="s">
        <v>145</v>
      </c>
      <c r="C1797" s="19">
        <v>39</v>
      </c>
      <c r="D1797" s="3" t="s">
        <v>496</v>
      </c>
      <c r="E1797" s="3" t="s">
        <v>31</v>
      </c>
      <c r="F1797" s="23">
        <v>106313</v>
      </c>
      <c r="G1797" s="15">
        <v>2014</v>
      </c>
      <c r="H1797" s="15">
        <f>Table_7[[#This Row],[Listing Price (USD)]]/10000</f>
        <v>10.6313</v>
      </c>
      <c r="I1797" s="28">
        <f>Table_7[[#This Row],[Length 
(ft)]]</f>
        <v>39</v>
      </c>
      <c r="J1797" s="28">
        <f>2020-Table_7[[#This Row],[Year]]</f>
        <v>6</v>
      </c>
      <c r="K1797">
        <v>57472012426.685303</v>
      </c>
      <c r="L1797">
        <v>14198.753959474399</v>
      </c>
      <c r="M1797">
        <v>0.15481137456202801</v>
      </c>
      <c r="N1797">
        <v>-8.5803430210621805</v>
      </c>
      <c r="O1797">
        <v>32.840000000000003</v>
      </c>
      <c r="P1797">
        <v>633.00199999999995</v>
      </c>
      <c r="Q1797">
        <v>44</v>
      </c>
      <c r="R1797">
        <v>12.83</v>
      </c>
    </row>
    <row r="1798" spans="1:18" x14ac:dyDescent="0.25">
      <c r="A1798" s="1" t="s">
        <v>143</v>
      </c>
      <c r="B1798" s="2" t="s">
        <v>144</v>
      </c>
      <c r="C1798" s="19">
        <v>38</v>
      </c>
      <c r="D1798" s="3" t="s">
        <v>496</v>
      </c>
      <c r="E1798" s="3" t="s">
        <v>31</v>
      </c>
      <c r="F1798" s="23">
        <v>59520</v>
      </c>
      <c r="G1798" s="15">
        <v>2006</v>
      </c>
      <c r="H1798" s="15">
        <f>Table_7[[#This Row],[Listing Price (USD)]]/10000</f>
        <v>5.952</v>
      </c>
      <c r="I1798" s="28">
        <f>Table_7[[#This Row],[Length 
(ft)]]</f>
        <v>38</v>
      </c>
      <c r="J1798" s="28">
        <f>2020-Table_7[[#This Row],[Year]]</f>
        <v>14</v>
      </c>
      <c r="K1798">
        <v>57472012426.685303</v>
      </c>
      <c r="L1798">
        <v>14198.753959474399</v>
      </c>
      <c r="M1798">
        <v>0.15481137456202801</v>
      </c>
      <c r="N1798">
        <v>-8.5803430210621805</v>
      </c>
      <c r="O1798">
        <v>36.909999999999997</v>
      </c>
      <c r="P1798">
        <v>602.00199999999995</v>
      </c>
      <c r="Q1798">
        <v>44</v>
      </c>
      <c r="R1798">
        <v>12.83</v>
      </c>
    </row>
    <row r="1799" spans="1:18" x14ac:dyDescent="0.25">
      <c r="A1799" s="1" t="s">
        <v>143</v>
      </c>
      <c r="B1799" s="2" t="s">
        <v>144</v>
      </c>
      <c r="C1799" s="19">
        <v>38</v>
      </c>
      <c r="D1799" s="3" t="s">
        <v>496</v>
      </c>
      <c r="E1799" s="3" t="s">
        <v>31</v>
      </c>
      <c r="F1799" s="23">
        <v>72882</v>
      </c>
      <c r="G1799" s="15">
        <v>2006</v>
      </c>
      <c r="H1799" s="15">
        <f>Table_7[[#This Row],[Listing Price (USD)]]/10000</f>
        <v>7.2881999999999998</v>
      </c>
      <c r="I1799" s="28">
        <f>Table_7[[#This Row],[Length 
(ft)]]</f>
        <v>38</v>
      </c>
      <c r="J1799" s="28">
        <f>2020-Table_7[[#This Row],[Year]]</f>
        <v>14</v>
      </c>
      <c r="K1799">
        <v>57472012426.685303</v>
      </c>
      <c r="L1799">
        <v>14198.753959474399</v>
      </c>
      <c r="M1799">
        <v>0.15481137456202801</v>
      </c>
      <c r="N1799">
        <v>-8.5803430210621805</v>
      </c>
      <c r="O1799">
        <v>36.909999999999997</v>
      </c>
      <c r="P1799">
        <v>602.00199999999995</v>
      </c>
      <c r="Q1799">
        <v>44</v>
      </c>
      <c r="R1799">
        <v>12.83</v>
      </c>
    </row>
    <row r="1800" spans="1:18" x14ac:dyDescent="0.25">
      <c r="A1800" s="1" t="s">
        <v>143</v>
      </c>
      <c r="B1800" s="2" t="s">
        <v>144</v>
      </c>
      <c r="C1800" s="19">
        <v>38</v>
      </c>
      <c r="D1800" s="3" t="s">
        <v>496</v>
      </c>
      <c r="E1800" s="3" t="s">
        <v>31</v>
      </c>
      <c r="F1800" s="23">
        <v>93076</v>
      </c>
      <c r="G1800" s="15">
        <v>2006</v>
      </c>
      <c r="H1800" s="15">
        <f>Table_7[[#This Row],[Listing Price (USD)]]/10000</f>
        <v>9.3076000000000008</v>
      </c>
      <c r="I1800" s="28">
        <f>Table_7[[#This Row],[Length 
(ft)]]</f>
        <v>38</v>
      </c>
      <c r="J1800" s="28">
        <f>2020-Table_7[[#This Row],[Year]]</f>
        <v>14</v>
      </c>
      <c r="K1800">
        <v>57472012426.685303</v>
      </c>
      <c r="L1800">
        <v>14198.753959474399</v>
      </c>
      <c r="M1800">
        <v>0.15481137456202801</v>
      </c>
      <c r="N1800">
        <v>-8.5803430210621805</v>
      </c>
      <c r="O1800">
        <v>36.909999999999997</v>
      </c>
      <c r="P1800">
        <v>602.00199999999995</v>
      </c>
      <c r="Q1800">
        <v>44</v>
      </c>
      <c r="R1800">
        <v>12.83</v>
      </c>
    </row>
    <row r="1801" spans="1:18" x14ac:dyDescent="0.25">
      <c r="A1801" s="1" t="s">
        <v>143</v>
      </c>
      <c r="B1801" s="2" t="s">
        <v>144</v>
      </c>
      <c r="C1801" s="19">
        <v>38</v>
      </c>
      <c r="D1801" s="3" t="s">
        <v>496</v>
      </c>
      <c r="E1801" s="3" t="s">
        <v>31</v>
      </c>
      <c r="F1801" s="23">
        <v>100212</v>
      </c>
      <c r="G1801" s="15">
        <v>2006</v>
      </c>
      <c r="H1801" s="15">
        <f>Table_7[[#This Row],[Listing Price (USD)]]/10000</f>
        <v>10.0212</v>
      </c>
      <c r="I1801" s="28">
        <f>Table_7[[#This Row],[Length 
(ft)]]</f>
        <v>38</v>
      </c>
      <c r="J1801" s="28">
        <f>2020-Table_7[[#This Row],[Year]]</f>
        <v>14</v>
      </c>
      <c r="K1801">
        <v>57472012426.685303</v>
      </c>
      <c r="L1801">
        <v>14198.753959474399</v>
      </c>
      <c r="M1801">
        <v>0.15481137456202801</v>
      </c>
      <c r="N1801">
        <v>-8.5803430210621805</v>
      </c>
      <c r="O1801">
        <v>36.909999999999997</v>
      </c>
      <c r="P1801">
        <v>602.00199999999995</v>
      </c>
      <c r="Q1801">
        <v>44</v>
      </c>
      <c r="R1801">
        <v>12.83</v>
      </c>
    </row>
    <row r="1802" spans="1:18" x14ac:dyDescent="0.25">
      <c r="A1802" s="1" t="s">
        <v>143</v>
      </c>
      <c r="B1802" s="2" t="s">
        <v>144</v>
      </c>
      <c r="C1802" s="19">
        <v>38</v>
      </c>
      <c r="D1802" s="3" t="s">
        <v>496</v>
      </c>
      <c r="E1802" s="3" t="s">
        <v>31</v>
      </c>
      <c r="F1802" s="23">
        <v>109201</v>
      </c>
      <c r="G1802" s="15">
        <v>2010</v>
      </c>
      <c r="H1802" s="15">
        <f>Table_7[[#This Row],[Listing Price (USD)]]/10000</f>
        <v>10.9201</v>
      </c>
      <c r="I1802" s="28">
        <f>Table_7[[#This Row],[Length 
(ft)]]</f>
        <v>38</v>
      </c>
      <c r="J1802" s="28">
        <f>2020-Table_7[[#This Row],[Year]]</f>
        <v>10</v>
      </c>
      <c r="K1802">
        <v>57472012426.685303</v>
      </c>
      <c r="L1802">
        <v>14198.753959474399</v>
      </c>
      <c r="M1802">
        <v>0.15481137456202801</v>
      </c>
      <c r="N1802">
        <v>-8.5803430210621805</v>
      </c>
      <c r="O1802">
        <v>36.909999999999997</v>
      </c>
      <c r="P1802">
        <v>602.00199999999995</v>
      </c>
      <c r="Q1802">
        <v>44</v>
      </c>
      <c r="R1802">
        <v>12.83</v>
      </c>
    </row>
    <row r="1803" spans="1:18" x14ac:dyDescent="0.25">
      <c r="A1803" s="1" t="s">
        <v>143</v>
      </c>
      <c r="B1803" s="2" t="s">
        <v>146</v>
      </c>
      <c r="C1803" s="19">
        <v>39</v>
      </c>
      <c r="D1803" s="3" t="s">
        <v>496</v>
      </c>
      <c r="E1803" s="3" t="s">
        <v>31</v>
      </c>
      <c r="F1803" s="23">
        <v>144549</v>
      </c>
      <c r="G1803" s="15">
        <v>2012</v>
      </c>
      <c r="H1803" s="15">
        <f>Table_7[[#This Row],[Listing Price (USD)]]/10000</f>
        <v>14.4549</v>
      </c>
      <c r="I1803" s="28">
        <f>Table_7[[#This Row],[Length 
(ft)]]</f>
        <v>39</v>
      </c>
      <c r="J1803" s="28">
        <f>2020-Table_7[[#This Row],[Year]]</f>
        <v>8</v>
      </c>
      <c r="K1803">
        <v>57472012426.685303</v>
      </c>
      <c r="L1803">
        <v>14198.753959474399</v>
      </c>
      <c r="M1803">
        <v>0.15481137456202801</v>
      </c>
      <c r="N1803">
        <v>-8.5803430210621805</v>
      </c>
      <c r="O1803">
        <v>32.840000000000003</v>
      </c>
      <c r="P1803">
        <v>633.00199999999995</v>
      </c>
      <c r="Q1803">
        <v>44</v>
      </c>
      <c r="R1803">
        <v>12.83</v>
      </c>
    </row>
    <row r="1804" spans="1:18" x14ac:dyDescent="0.25">
      <c r="A1804" s="1" t="s">
        <v>283</v>
      </c>
      <c r="B1804" s="2">
        <v>12</v>
      </c>
      <c r="C1804" s="19">
        <v>39</v>
      </c>
      <c r="D1804" s="3" t="s">
        <v>496</v>
      </c>
      <c r="E1804" s="3" t="s">
        <v>9</v>
      </c>
      <c r="F1804" s="23">
        <v>229636</v>
      </c>
      <c r="G1804" s="15">
        <v>2013</v>
      </c>
      <c r="H1804" s="15">
        <f>Table_7[[#This Row],[Listing Price (USD)]]/10000</f>
        <v>22.9636</v>
      </c>
      <c r="I1804" s="28">
        <f>Table_7[[#This Row],[Length 
(ft)]]</f>
        <v>39</v>
      </c>
      <c r="J1804" s="28">
        <f>2020-Table_7[[#This Row],[Year]]</f>
        <v>7</v>
      </c>
      <c r="K1804">
        <v>1276962685648.25</v>
      </c>
      <c r="L1804">
        <v>26959.675436732599</v>
      </c>
      <c r="M1804">
        <v>-0.32275301729970501</v>
      </c>
      <c r="N1804">
        <v>-11.3254383222864</v>
      </c>
      <c r="O1804">
        <v>30.02</v>
      </c>
      <c r="P1804">
        <v>615</v>
      </c>
      <c r="Q1804">
        <v>42</v>
      </c>
      <c r="R1804">
        <v>11.88</v>
      </c>
    </row>
    <row r="1805" spans="1:18" x14ac:dyDescent="0.25">
      <c r="A1805" s="1" t="s">
        <v>283</v>
      </c>
      <c r="B1805" s="2">
        <v>12</v>
      </c>
      <c r="C1805" s="19">
        <v>39</v>
      </c>
      <c r="D1805" s="3" t="s">
        <v>496</v>
      </c>
      <c r="E1805" s="3" t="s">
        <v>9</v>
      </c>
      <c r="F1805" s="23">
        <v>230792</v>
      </c>
      <c r="G1805" s="15">
        <v>2013</v>
      </c>
      <c r="H1805" s="15">
        <f>Table_7[[#This Row],[Listing Price (USD)]]/10000</f>
        <v>23.0792</v>
      </c>
      <c r="I1805" s="28">
        <f>Table_7[[#This Row],[Length 
(ft)]]</f>
        <v>39</v>
      </c>
      <c r="J1805" s="28">
        <f>2020-Table_7[[#This Row],[Year]]</f>
        <v>7</v>
      </c>
      <c r="K1805">
        <v>1276962685648.25</v>
      </c>
      <c r="L1805">
        <v>26959.675436732599</v>
      </c>
      <c r="M1805">
        <v>-0.32275301729970501</v>
      </c>
      <c r="N1805">
        <v>-11.3254383222864</v>
      </c>
      <c r="O1805">
        <v>30.02</v>
      </c>
      <c r="P1805">
        <v>615</v>
      </c>
      <c r="Q1805">
        <v>42</v>
      </c>
      <c r="R1805">
        <v>11.88</v>
      </c>
    </row>
    <row r="1806" spans="1:18" x14ac:dyDescent="0.25">
      <c r="A1806" s="1" t="s">
        <v>117</v>
      </c>
      <c r="B1806" s="3">
        <v>37</v>
      </c>
      <c r="C1806" s="19">
        <v>36</v>
      </c>
      <c r="D1806" s="3" t="s">
        <v>495</v>
      </c>
      <c r="E1806" s="3" t="s">
        <v>499</v>
      </c>
      <c r="F1806" s="23">
        <v>118000</v>
      </c>
      <c r="G1806" s="15">
        <v>2014</v>
      </c>
      <c r="H1806" s="15">
        <f>Table_7[[#This Row],[Listing Price (USD)]]/10000</f>
        <v>11.8</v>
      </c>
      <c r="I1806" s="28">
        <f>Table_7[[#This Row],[Length 
(ft)]]</f>
        <v>36</v>
      </c>
      <c r="J1806" s="28">
        <f>2020-Table_7[[#This Row],[Year]]</f>
        <v>6</v>
      </c>
      <c r="K1806">
        <v>212540000000</v>
      </c>
      <c r="L1806">
        <v>76778.559999999998</v>
      </c>
      <c r="M1806">
        <v>1.23</v>
      </c>
      <c r="N1806">
        <v>2.2000000000000002</v>
      </c>
      <c r="O1806">
        <v>34.42</v>
      </c>
      <c r="P1806">
        <v>732</v>
      </c>
      <c r="Q1806">
        <v>42</v>
      </c>
      <c r="R1806">
        <v>13.08</v>
      </c>
    </row>
    <row r="1807" spans="1:18" x14ac:dyDescent="0.25">
      <c r="A1807" s="1" t="s">
        <v>187</v>
      </c>
      <c r="B1807" s="2">
        <v>38</v>
      </c>
      <c r="C1807" s="19">
        <v>38</v>
      </c>
      <c r="D1807" s="3" t="s">
        <v>496</v>
      </c>
      <c r="E1807" s="3" t="s">
        <v>573</v>
      </c>
      <c r="F1807" s="23">
        <v>95961</v>
      </c>
      <c r="G1807" s="15">
        <v>2006</v>
      </c>
      <c r="H1807" s="15">
        <f>Table_7[[#This Row],[Listing Price (USD)]]/10000</f>
        <v>9.5960999999999999</v>
      </c>
      <c r="I1807" s="28">
        <f>Table_7[[#This Row],[Length 
(ft)]]</f>
        <v>38</v>
      </c>
      <c r="J1807" s="28">
        <f>2020-Table_7[[#This Row],[Year]]</f>
        <v>14</v>
      </c>
      <c r="K1807">
        <v>930371009830.08838</v>
      </c>
      <c r="L1807">
        <v>32045.28833705237</v>
      </c>
      <c r="M1807">
        <v>0.810222564232847</v>
      </c>
      <c r="N1807">
        <v>-6.18704127562025</v>
      </c>
      <c r="O1807">
        <v>34.42</v>
      </c>
      <c r="P1807">
        <v>732</v>
      </c>
      <c r="Q1807">
        <v>42</v>
      </c>
      <c r="R1807">
        <v>13.08</v>
      </c>
    </row>
    <row r="1808" spans="1:18" x14ac:dyDescent="0.25">
      <c r="A1808" s="1" t="s">
        <v>187</v>
      </c>
      <c r="B1808" s="3">
        <v>38</v>
      </c>
      <c r="C1808" s="19">
        <v>38</v>
      </c>
      <c r="D1808" s="3" t="s">
        <v>495</v>
      </c>
      <c r="E1808" s="3" t="s">
        <v>500</v>
      </c>
      <c r="F1808" s="23">
        <v>135000</v>
      </c>
      <c r="G1808" s="15">
        <v>2009</v>
      </c>
      <c r="H1808" s="15">
        <f>Table_7[[#This Row],[Listing Price (USD)]]/10000</f>
        <v>13.5</v>
      </c>
      <c r="I1808" s="28">
        <f>Table_7[[#This Row],[Length 
(ft)]]</f>
        <v>38</v>
      </c>
      <c r="J1808" s="28">
        <f>2020-Table_7[[#This Row],[Year]]</f>
        <v>11</v>
      </c>
      <c r="K1808">
        <v>3007188000000</v>
      </c>
      <c r="L1808">
        <v>76131.839999999997</v>
      </c>
      <c r="M1808">
        <v>1.23</v>
      </c>
      <c r="N1808">
        <v>2.7</v>
      </c>
      <c r="O1808">
        <v>34.42</v>
      </c>
      <c r="P1808">
        <v>732</v>
      </c>
      <c r="Q1808">
        <v>42</v>
      </c>
      <c r="R1808">
        <v>13.08</v>
      </c>
    </row>
    <row r="1809" spans="1:18" x14ac:dyDescent="0.25">
      <c r="A1809" s="1" t="s">
        <v>164</v>
      </c>
      <c r="B1809" s="2">
        <v>39</v>
      </c>
      <c r="C1809" s="19">
        <v>40</v>
      </c>
      <c r="D1809" s="3" t="s">
        <v>496</v>
      </c>
      <c r="E1809" s="3" t="s">
        <v>3</v>
      </c>
      <c r="F1809" s="23">
        <v>259945</v>
      </c>
      <c r="G1809" s="15">
        <v>2012</v>
      </c>
      <c r="H1809" s="15">
        <f>Table_7[[#This Row],[Listing Price (USD)]]/10000</f>
        <v>25.994499999999999</v>
      </c>
      <c r="I1809" s="28">
        <f>Table_7[[#This Row],[Length 
(ft)]]</f>
        <v>40</v>
      </c>
      <c r="J1809" s="28">
        <f>2020-Table_7[[#This Row],[Year]]</f>
        <v>8</v>
      </c>
      <c r="K1809">
        <v>2639008701648.2598</v>
      </c>
      <c r="L1809">
        <v>39055.282928075401</v>
      </c>
      <c r="M1809">
        <v>0.47649885272508302</v>
      </c>
      <c r="N1809">
        <v>-7.7845864916787102</v>
      </c>
      <c r="O1809">
        <v>37.4</v>
      </c>
      <c r="P1809">
        <v>899</v>
      </c>
      <c r="Q1809">
        <v>42</v>
      </c>
      <c r="R1809">
        <v>13.68</v>
      </c>
    </row>
    <row r="1810" spans="1:18" x14ac:dyDescent="0.25">
      <c r="A1810" s="1" t="s">
        <v>239</v>
      </c>
      <c r="B1810" s="2">
        <v>40</v>
      </c>
      <c r="C1810" s="19">
        <v>40</v>
      </c>
      <c r="D1810" s="3" t="s">
        <v>496</v>
      </c>
      <c r="E1810" s="3" t="s">
        <v>19</v>
      </c>
      <c r="F1810" s="23">
        <v>332413</v>
      </c>
      <c r="G1810" s="15">
        <v>2008</v>
      </c>
      <c r="H1810" s="15">
        <f>Table_7[[#This Row],[Listing Price (USD)]]/10000</f>
        <v>33.241300000000003</v>
      </c>
      <c r="I1810" s="28">
        <f>Table_7[[#This Row],[Length 
(ft)]]</f>
        <v>40</v>
      </c>
      <c r="J1810" s="28">
        <f>2020-Table_7[[#This Row],[Year]]</f>
        <v>12</v>
      </c>
      <c r="K1810">
        <v>4200000000</v>
      </c>
      <c r="L1810">
        <v>39553.199999999997</v>
      </c>
      <c r="M1810">
        <v>4.0999999999999996</v>
      </c>
      <c r="N1810">
        <v>-2.1</v>
      </c>
      <c r="O1810">
        <v>37.4</v>
      </c>
      <c r="P1810">
        <v>899</v>
      </c>
      <c r="Q1810">
        <v>42</v>
      </c>
      <c r="R1810">
        <v>13.68</v>
      </c>
    </row>
    <row r="1811" spans="1:18" x14ac:dyDescent="0.25">
      <c r="A1811" s="1" t="s">
        <v>175</v>
      </c>
      <c r="B1811" s="2">
        <v>40</v>
      </c>
      <c r="C1811" s="19">
        <v>40</v>
      </c>
      <c r="D1811" s="3" t="s">
        <v>496</v>
      </c>
      <c r="E1811" s="3" t="s">
        <v>536</v>
      </c>
      <c r="F1811" s="23">
        <v>407217</v>
      </c>
      <c r="G1811" s="15">
        <v>2007</v>
      </c>
      <c r="H1811" s="15">
        <f>Table_7[[#This Row],[Listing Price (USD)]]/10000</f>
        <v>40.721699999999998</v>
      </c>
      <c r="I1811" s="28">
        <f>Table_7[[#This Row],[Length 
(ft)]]</f>
        <v>40</v>
      </c>
      <c r="J1811" s="28">
        <f>2020-Table_7[[#This Row],[Year]]</f>
        <v>13</v>
      </c>
      <c r="K1811">
        <v>355222449505.211</v>
      </c>
      <c r="L1811">
        <v>60915.424399546202</v>
      </c>
      <c r="M1811">
        <v>0.42071197411002598</v>
      </c>
      <c r="N1811">
        <v>-1.99460756850381</v>
      </c>
      <c r="O1811">
        <v>37.4</v>
      </c>
      <c r="P1811">
        <v>899</v>
      </c>
      <c r="Q1811">
        <v>42</v>
      </c>
      <c r="R1811">
        <v>13.68</v>
      </c>
    </row>
    <row r="1812" spans="1:18" x14ac:dyDescent="0.25">
      <c r="A1812" s="1" t="s">
        <v>117</v>
      </c>
      <c r="B1812" s="2">
        <v>41</v>
      </c>
      <c r="C1812" s="19">
        <v>40</v>
      </c>
      <c r="D1812" s="3" t="s">
        <v>496</v>
      </c>
      <c r="E1812" s="3" t="s">
        <v>63</v>
      </c>
      <c r="F1812" s="23">
        <v>200425</v>
      </c>
      <c r="G1812" s="15">
        <v>2011</v>
      </c>
      <c r="H1812" s="15">
        <f>Table_7[[#This Row],[Listing Price (USD)]]/10000</f>
        <v>20.0425</v>
      </c>
      <c r="I1812" s="28">
        <f>Table_7[[#This Row],[Length 
(ft)]]</f>
        <v>40</v>
      </c>
      <c r="J1812" s="28">
        <f>2020-Table_7[[#This Row],[Year]]</f>
        <v>9</v>
      </c>
      <c r="K1812">
        <v>720290000000</v>
      </c>
      <c r="L1812">
        <v>13341.6</v>
      </c>
      <c r="M1812">
        <v>13</v>
      </c>
      <c r="N1812">
        <v>-3</v>
      </c>
      <c r="O1812">
        <v>37.4</v>
      </c>
      <c r="P1812">
        <v>899</v>
      </c>
      <c r="Q1812">
        <v>42</v>
      </c>
      <c r="R1812">
        <v>13.68</v>
      </c>
    </row>
    <row r="1813" spans="1:18" x14ac:dyDescent="0.25">
      <c r="A1813" s="1" t="s">
        <v>328</v>
      </c>
      <c r="B1813" s="3">
        <v>115</v>
      </c>
      <c r="C1813" s="19">
        <v>38</v>
      </c>
      <c r="D1813" s="3" t="s">
        <v>495</v>
      </c>
      <c r="E1813" s="3" t="s">
        <v>500</v>
      </c>
      <c r="F1813" s="23">
        <v>129900</v>
      </c>
      <c r="G1813" s="15">
        <v>2006</v>
      </c>
      <c r="H1813" s="15">
        <f>Table_7[[#This Row],[Listing Price (USD)]]/10000</f>
        <v>12.99</v>
      </c>
      <c r="I1813" s="28">
        <f>Table_7[[#This Row],[Length 
(ft)]]</f>
        <v>38</v>
      </c>
      <c r="J1813" s="28">
        <f>2020-Table_7[[#This Row],[Year]]</f>
        <v>14</v>
      </c>
      <c r="K1813">
        <v>3007188000000</v>
      </c>
      <c r="L1813">
        <v>76131.839999999997</v>
      </c>
      <c r="M1813">
        <v>1.23</v>
      </c>
      <c r="N1813">
        <v>2.7</v>
      </c>
      <c r="O1813">
        <v>34.42</v>
      </c>
      <c r="P1813">
        <v>732</v>
      </c>
      <c r="Q1813">
        <v>42</v>
      </c>
      <c r="R1813">
        <v>13.08</v>
      </c>
    </row>
    <row r="1814" spans="1:18" x14ac:dyDescent="0.25">
      <c r="A1814" s="1" t="s">
        <v>328</v>
      </c>
      <c r="B1814" s="3">
        <v>121</v>
      </c>
      <c r="C1814" s="19">
        <v>40</v>
      </c>
      <c r="D1814" s="3" t="s">
        <v>495</v>
      </c>
      <c r="E1814" s="3" t="s">
        <v>521</v>
      </c>
      <c r="F1814" s="23">
        <v>184900</v>
      </c>
      <c r="G1814" s="15">
        <v>2005</v>
      </c>
      <c r="H1814" s="15">
        <f>Table_7[[#This Row],[Listing Price (USD)]]/10000</f>
        <v>18.489999999999998</v>
      </c>
      <c r="I1814" s="28">
        <f>Table_7[[#This Row],[Length 
(ft)]]</f>
        <v>40</v>
      </c>
      <c r="J1814" s="28">
        <f>2020-Table_7[[#This Row],[Year]]</f>
        <v>15</v>
      </c>
      <c r="K1814">
        <v>60556000000</v>
      </c>
      <c r="L1814">
        <v>55240.56</v>
      </c>
      <c r="M1814">
        <v>3</v>
      </c>
      <c r="N1814">
        <v>2.2000000000000002</v>
      </c>
      <c r="O1814">
        <v>37.4</v>
      </c>
      <c r="P1814">
        <v>899</v>
      </c>
      <c r="Q1814">
        <v>42</v>
      </c>
      <c r="R1814">
        <v>13.68</v>
      </c>
    </row>
    <row r="1815" spans="1:18" x14ac:dyDescent="0.25">
      <c r="A1815" s="1" t="s">
        <v>191</v>
      </c>
      <c r="B1815" s="3">
        <v>370</v>
      </c>
      <c r="C1815" s="19">
        <v>38</v>
      </c>
      <c r="D1815" s="3" t="s">
        <v>495</v>
      </c>
      <c r="E1815" s="3" t="s">
        <v>333</v>
      </c>
      <c r="F1815" s="23">
        <v>169900</v>
      </c>
      <c r="G1815" s="15">
        <v>2005</v>
      </c>
      <c r="H1815" s="15">
        <f>Table_7[[#This Row],[Listing Price (USD)]]/10000</f>
        <v>16.989999999999998</v>
      </c>
      <c r="I1815" s="28">
        <f>Table_7[[#This Row],[Length 
(ft)]]</f>
        <v>38</v>
      </c>
      <c r="J1815" s="28">
        <f>2020-Table_7[[#This Row],[Year]]</f>
        <v>15</v>
      </c>
      <c r="K1815">
        <v>1106036000000</v>
      </c>
      <c r="L1815">
        <v>51276.72</v>
      </c>
      <c r="M1815">
        <v>1.23</v>
      </c>
      <c r="N1815">
        <v>2.9</v>
      </c>
      <c r="O1815">
        <v>34.42</v>
      </c>
      <c r="P1815">
        <v>732</v>
      </c>
      <c r="Q1815">
        <v>42</v>
      </c>
      <c r="R1815">
        <v>13.08</v>
      </c>
    </row>
    <row r="1816" spans="1:18" x14ac:dyDescent="0.25">
      <c r="A1816" s="1" t="s">
        <v>103</v>
      </c>
      <c r="B1816" s="2">
        <v>375</v>
      </c>
      <c r="C1816" s="19">
        <v>38</v>
      </c>
      <c r="D1816" s="3" t="s">
        <v>496</v>
      </c>
      <c r="E1816" s="3" t="s">
        <v>516</v>
      </c>
      <c r="F1816" s="23">
        <v>173094</v>
      </c>
      <c r="G1816" s="15">
        <v>2011</v>
      </c>
      <c r="H1816" s="15">
        <f>Table_7[[#This Row],[Listing Price (USD)]]/10000</f>
        <v>17.3094</v>
      </c>
      <c r="I1816" s="28">
        <f>Table_7[[#This Row],[Length 
(ft)]]</f>
        <v>38</v>
      </c>
      <c r="J1816" s="28">
        <f>2020-Table_7[[#This Row],[Year]]</f>
        <v>9</v>
      </c>
      <c r="K1816">
        <v>909793466661.48096</v>
      </c>
      <c r="L1816">
        <v>52162.570115040602</v>
      </c>
      <c r="M1816">
        <v>1.2724603778917001</v>
      </c>
      <c r="N1816">
        <v>-3.88608391819609</v>
      </c>
      <c r="O1816">
        <v>34.42</v>
      </c>
      <c r="P1816">
        <v>732</v>
      </c>
      <c r="Q1816">
        <v>42</v>
      </c>
      <c r="R1816">
        <v>13.08</v>
      </c>
    </row>
    <row r="1817" spans="1:18" x14ac:dyDescent="0.25">
      <c r="A1817" s="1" t="s">
        <v>187</v>
      </c>
      <c r="B1817" s="3">
        <v>380</v>
      </c>
      <c r="C1817" s="19">
        <v>37</v>
      </c>
      <c r="D1817" s="3" t="s">
        <v>495</v>
      </c>
      <c r="E1817" s="3" t="s">
        <v>333</v>
      </c>
      <c r="F1817" s="23">
        <v>109000</v>
      </c>
      <c r="G1817" s="15">
        <v>2006</v>
      </c>
      <c r="H1817" s="15">
        <f>Table_7[[#This Row],[Listing Price (USD)]]/10000</f>
        <v>10.9</v>
      </c>
      <c r="I1817" s="28">
        <f>Table_7[[#This Row],[Length 
(ft)]]</f>
        <v>37</v>
      </c>
      <c r="J1817" s="28">
        <f>2020-Table_7[[#This Row],[Year]]</f>
        <v>14</v>
      </c>
      <c r="K1817">
        <v>1106036000000</v>
      </c>
      <c r="L1817">
        <v>51276.72</v>
      </c>
      <c r="M1817">
        <v>1.23</v>
      </c>
      <c r="N1817">
        <v>2.9</v>
      </c>
      <c r="O1817">
        <v>34.42</v>
      </c>
      <c r="P1817">
        <v>732</v>
      </c>
      <c r="Q1817">
        <v>42</v>
      </c>
      <c r="R1817">
        <v>13.08</v>
      </c>
    </row>
    <row r="1818" spans="1:18" x14ac:dyDescent="0.25">
      <c r="A1818" s="1" t="s">
        <v>128</v>
      </c>
      <c r="B1818" s="3">
        <v>385</v>
      </c>
      <c r="C1818" s="19">
        <v>38</v>
      </c>
      <c r="D1818" s="3" t="s">
        <v>497</v>
      </c>
      <c r="E1818" s="3" t="s">
        <v>506</v>
      </c>
      <c r="F1818" s="23">
        <v>72908</v>
      </c>
      <c r="G1818" s="15">
        <v>2007</v>
      </c>
      <c r="H1818" s="15">
        <f>Table_7[[#This Row],[Listing Price (USD)]]/10000</f>
        <v>7.2907999999999999</v>
      </c>
      <c r="I1818" s="28">
        <f>Table_7[[#This Row],[Length 
(ft)]]</f>
        <v>38</v>
      </c>
      <c r="J1818" s="28">
        <f>2020-Table_7[[#This Row],[Year]]</f>
        <v>13</v>
      </c>
      <c r="K1818">
        <v>1370281481.4814799</v>
      </c>
      <c r="L1818">
        <v>14787.6357752901</v>
      </c>
      <c r="M1818">
        <v>0.62598970704669799</v>
      </c>
      <c r="N1818">
        <v>-20.1923705722071</v>
      </c>
      <c r="O1818">
        <v>34.42</v>
      </c>
      <c r="P1818">
        <v>732</v>
      </c>
      <c r="Q1818">
        <v>42</v>
      </c>
      <c r="R1818">
        <v>13.08</v>
      </c>
    </row>
    <row r="1819" spans="1:18" x14ac:dyDescent="0.25">
      <c r="A1819" s="1" t="s">
        <v>128</v>
      </c>
      <c r="B1819" s="2">
        <v>385</v>
      </c>
      <c r="C1819" s="19">
        <v>38</v>
      </c>
      <c r="D1819" s="3" t="s">
        <v>496</v>
      </c>
      <c r="E1819" s="3" t="s">
        <v>31</v>
      </c>
      <c r="F1819" s="23">
        <v>87458</v>
      </c>
      <c r="G1819" s="15">
        <v>2005</v>
      </c>
      <c r="H1819" s="15">
        <f>Table_7[[#This Row],[Listing Price (USD)]]/10000</f>
        <v>8.7457999999999991</v>
      </c>
      <c r="I1819" s="28">
        <f>Table_7[[#This Row],[Length 
(ft)]]</f>
        <v>38</v>
      </c>
      <c r="J1819" s="28">
        <f>2020-Table_7[[#This Row],[Year]]</f>
        <v>15</v>
      </c>
      <c r="K1819">
        <v>57472012426.685303</v>
      </c>
      <c r="L1819">
        <v>14198.753959474399</v>
      </c>
      <c r="M1819">
        <v>0.15481137456202801</v>
      </c>
      <c r="N1819">
        <v>-8.5803430210621805</v>
      </c>
      <c r="O1819">
        <v>34.42</v>
      </c>
      <c r="P1819">
        <v>732</v>
      </c>
      <c r="Q1819">
        <v>42</v>
      </c>
      <c r="R1819">
        <v>13.08</v>
      </c>
    </row>
    <row r="1820" spans="1:18" x14ac:dyDescent="0.25">
      <c r="A1820" s="1" t="s">
        <v>128</v>
      </c>
      <c r="B1820" s="2">
        <v>385</v>
      </c>
      <c r="C1820" s="19">
        <v>38</v>
      </c>
      <c r="D1820" s="3" t="s">
        <v>496</v>
      </c>
      <c r="E1820" s="3" t="s">
        <v>63</v>
      </c>
      <c r="F1820" s="23">
        <v>98591</v>
      </c>
      <c r="G1820" s="15">
        <v>2005</v>
      </c>
      <c r="H1820" s="15">
        <f>Table_7[[#This Row],[Listing Price (USD)]]/10000</f>
        <v>9.8590999999999998</v>
      </c>
      <c r="I1820" s="28">
        <f>Table_7[[#This Row],[Length 
(ft)]]</f>
        <v>38</v>
      </c>
      <c r="J1820" s="28">
        <f>2020-Table_7[[#This Row],[Year]]</f>
        <v>15</v>
      </c>
      <c r="K1820">
        <v>720290000019</v>
      </c>
      <c r="L1820">
        <v>13341.6</v>
      </c>
      <c r="M1820">
        <v>13</v>
      </c>
      <c r="N1820">
        <v>-3</v>
      </c>
      <c r="O1820">
        <v>34.42</v>
      </c>
      <c r="P1820">
        <v>732</v>
      </c>
      <c r="Q1820">
        <v>42</v>
      </c>
      <c r="R1820">
        <v>13.08</v>
      </c>
    </row>
    <row r="1821" spans="1:18" x14ac:dyDescent="0.25">
      <c r="A1821" s="1" t="s">
        <v>103</v>
      </c>
      <c r="B1821" s="3">
        <v>385</v>
      </c>
      <c r="C1821" s="19">
        <v>38</v>
      </c>
      <c r="D1821" s="3" t="s">
        <v>495</v>
      </c>
      <c r="E1821" s="3" t="s">
        <v>500</v>
      </c>
      <c r="F1821" s="23">
        <v>199000</v>
      </c>
      <c r="G1821" s="15">
        <v>2012</v>
      </c>
      <c r="H1821" s="15">
        <f>Table_7[[#This Row],[Listing Price (USD)]]/10000</f>
        <v>19.899999999999999</v>
      </c>
      <c r="I1821" s="28">
        <f>Table_7[[#This Row],[Length 
(ft)]]</f>
        <v>38</v>
      </c>
      <c r="J1821" s="28">
        <f>2020-Table_7[[#This Row],[Year]]</f>
        <v>8</v>
      </c>
      <c r="K1821">
        <v>3007188000000</v>
      </c>
      <c r="L1821">
        <v>76131.839999999997</v>
      </c>
      <c r="M1821">
        <v>1.23</v>
      </c>
      <c r="N1821">
        <v>2.7</v>
      </c>
      <c r="O1821">
        <v>34.42</v>
      </c>
      <c r="P1821">
        <v>732</v>
      </c>
      <c r="Q1821">
        <v>42</v>
      </c>
      <c r="R1821">
        <v>13.08</v>
      </c>
    </row>
    <row r="1822" spans="1:18" x14ac:dyDescent="0.25">
      <c r="A1822" s="1" t="s">
        <v>177</v>
      </c>
      <c r="B1822" s="3">
        <v>385</v>
      </c>
      <c r="C1822" s="19">
        <v>37</v>
      </c>
      <c r="D1822" s="3" t="s">
        <v>495</v>
      </c>
      <c r="E1822" s="3" t="s">
        <v>500</v>
      </c>
      <c r="F1822" s="23">
        <v>199000</v>
      </c>
      <c r="G1822" s="15">
        <v>2015</v>
      </c>
      <c r="H1822" s="15">
        <f>Table_7[[#This Row],[Listing Price (USD)]]/10000</f>
        <v>19.899999999999999</v>
      </c>
      <c r="I1822" s="28">
        <f>Table_7[[#This Row],[Length 
(ft)]]</f>
        <v>37</v>
      </c>
      <c r="J1822" s="28">
        <f>2020-Table_7[[#This Row],[Year]]</f>
        <v>5</v>
      </c>
      <c r="K1822">
        <v>3007188000000</v>
      </c>
      <c r="L1822">
        <v>76131.839999999997</v>
      </c>
      <c r="M1822">
        <v>1.23</v>
      </c>
      <c r="N1822">
        <v>2.7</v>
      </c>
      <c r="O1822">
        <v>34.42</v>
      </c>
      <c r="P1822">
        <v>732</v>
      </c>
      <c r="Q1822">
        <v>42</v>
      </c>
      <c r="R1822">
        <v>13.08</v>
      </c>
    </row>
    <row r="1823" spans="1:18" x14ac:dyDescent="0.25">
      <c r="A1823" s="1" t="s">
        <v>103</v>
      </c>
      <c r="B1823" s="3">
        <v>385</v>
      </c>
      <c r="C1823" s="19">
        <v>39</v>
      </c>
      <c r="D1823" s="3" t="s">
        <v>495</v>
      </c>
      <c r="E1823" s="3" t="s">
        <v>519</v>
      </c>
      <c r="F1823" s="23">
        <v>215000</v>
      </c>
      <c r="G1823" s="15">
        <v>2013</v>
      </c>
      <c r="H1823" s="15">
        <f>Table_7[[#This Row],[Listing Price (USD)]]/10000</f>
        <v>21.5</v>
      </c>
      <c r="I1823" s="28">
        <f>Table_7[[#This Row],[Length 
(ft)]]</f>
        <v>39</v>
      </c>
      <c r="J1823" s="28">
        <f>2020-Table_7[[#This Row],[Year]]</f>
        <v>7</v>
      </c>
      <c r="K1823">
        <v>589829000000</v>
      </c>
      <c r="L1823">
        <v>56404.23</v>
      </c>
      <c r="M1823">
        <v>1.23</v>
      </c>
      <c r="N1823">
        <v>2.8</v>
      </c>
      <c r="O1823">
        <v>34.42</v>
      </c>
      <c r="P1823">
        <v>732</v>
      </c>
      <c r="Q1823">
        <v>42</v>
      </c>
      <c r="R1823">
        <v>13.08</v>
      </c>
    </row>
    <row r="1824" spans="1:18" x14ac:dyDescent="0.25">
      <c r="A1824" s="1" t="s">
        <v>103</v>
      </c>
      <c r="B1824" s="3">
        <v>385</v>
      </c>
      <c r="C1824" s="19">
        <v>38</v>
      </c>
      <c r="D1824" s="3" t="s">
        <v>495</v>
      </c>
      <c r="E1824" s="3" t="s">
        <v>500</v>
      </c>
      <c r="F1824" s="23">
        <v>249900</v>
      </c>
      <c r="G1824" s="15">
        <v>2015</v>
      </c>
      <c r="H1824" s="15">
        <f>Table_7[[#This Row],[Listing Price (USD)]]/10000</f>
        <v>24.99</v>
      </c>
      <c r="I1824" s="28">
        <f>Table_7[[#This Row],[Length 
(ft)]]</f>
        <v>38</v>
      </c>
      <c r="J1824" s="28">
        <f>2020-Table_7[[#This Row],[Year]]</f>
        <v>5</v>
      </c>
      <c r="K1824">
        <v>3007188000000</v>
      </c>
      <c r="L1824">
        <v>76131.839999999997</v>
      </c>
      <c r="M1824">
        <v>1.23</v>
      </c>
      <c r="N1824">
        <v>2.7</v>
      </c>
      <c r="O1824">
        <v>34.42</v>
      </c>
      <c r="P1824">
        <v>732</v>
      </c>
      <c r="Q1824">
        <v>42</v>
      </c>
      <c r="R1824">
        <v>13.08</v>
      </c>
    </row>
    <row r="1825" spans="1:18" x14ac:dyDescent="0.25">
      <c r="A1825" s="1" t="s">
        <v>250</v>
      </c>
      <c r="B1825" s="2">
        <v>385</v>
      </c>
      <c r="C1825" s="19">
        <v>38</v>
      </c>
      <c r="D1825" s="3" t="s">
        <v>496</v>
      </c>
      <c r="E1825" s="3" t="s">
        <v>9</v>
      </c>
      <c r="F1825" s="23">
        <v>306497</v>
      </c>
      <c r="G1825" s="15">
        <v>2005</v>
      </c>
      <c r="H1825" s="15">
        <f>Table_7[[#This Row],[Listing Price (USD)]]/10000</f>
        <v>30.649699999999999</v>
      </c>
      <c r="I1825" s="28">
        <f>Table_7[[#This Row],[Length 
(ft)]]</f>
        <v>38</v>
      </c>
      <c r="J1825" s="28">
        <f>2020-Table_7[[#This Row],[Year]]</f>
        <v>15</v>
      </c>
      <c r="K1825">
        <v>1276962685648.25</v>
      </c>
      <c r="L1825">
        <v>26959.675436732599</v>
      </c>
      <c r="M1825">
        <v>-0.32275301729970501</v>
      </c>
      <c r="N1825">
        <v>-11.3254383222864</v>
      </c>
      <c r="O1825">
        <v>34.42</v>
      </c>
      <c r="P1825">
        <v>732</v>
      </c>
      <c r="Q1825">
        <v>42</v>
      </c>
      <c r="R1825">
        <v>13.08</v>
      </c>
    </row>
    <row r="1826" spans="1:18" x14ac:dyDescent="0.25">
      <c r="A1826" s="1" t="s">
        <v>362</v>
      </c>
      <c r="B1826" s="3">
        <v>386</v>
      </c>
      <c r="C1826" s="19">
        <v>38</v>
      </c>
      <c r="D1826" s="3" t="s">
        <v>495</v>
      </c>
      <c r="E1826" s="3" t="s">
        <v>518</v>
      </c>
      <c r="F1826" s="23">
        <v>194995</v>
      </c>
      <c r="G1826" s="15">
        <v>2006</v>
      </c>
      <c r="H1826" s="15">
        <f>Table_7[[#This Row],[Listing Price (USD)]]/10000</f>
        <v>19.499500000000001</v>
      </c>
      <c r="I1826" s="28">
        <f>Table_7[[#This Row],[Length 
(ft)]]</f>
        <v>38</v>
      </c>
      <c r="J1826" s="28">
        <f>2020-Table_7[[#This Row],[Year]]</f>
        <v>14</v>
      </c>
      <c r="K1826">
        <v>1724759000000</v>
      </c>
      <c r="L1826">
        <v>85575.039999999994</v>
      </c>
      <c r="M1826">
        <v>1.23</v>
      </c>
      <c r="N1826">
        <v>3.8</v>
      </c>
      <c r="O1826">
        <v>34.42</v>
      </c>
      <c r="P1826">
        <v>732</v>
      </c>
      <c r="Q1826">
        <v>42</v>
      </c>
      <c r="R1826">
        <v>13.08</v>
      </c>
    </row>
    <row r="1827" spans="1:18" x14ac:dyDescent="0.25">
      <c r="A1827" s="1" t="s">
        <v>103</v>
      </c>
      <c r="B1827" s="3">
        <v>387</v>
      </c>
      <c r="C1827" s="19">
        <v>38</v>
      </c>
      <c r="D1827" s="3" t="s">
        <v>495</v>
      </c>
      <c r="E1827" s="3" t="s">
        <v>515</v>
      </c>
      <c r="F1827" s="23">
        <v>125000</v>
      </c>
      <c r="G1827" s="15">
        <v>2005</v>
      </c>
      <c r="H1827" s="15">
        <f>Table_7[[#This Row],[Listing Price (USD)]]/10000</f>
        <v>12.5</v>
      </c>
      <c r="I1827" s="28">
        <f>Table_7[[#This Row],[Length 
(ft)]]</f>
        <v>38</v>
      </c>
      <c r="J1827" s="28">
        <f>2020-Table_7[[#This Row],[Year]]</f>
        <v>15</v>
      </c>
      <c r="K1827">
        <v>410675000000</v>
      </c>
      <c r="L1827">
        <v>66531.03</v>
      </c>
      <c r="M1827">
        <v>1.23</v>
      </c>
      <c r="N1827">
        <v>1.8</v>
      </c>
      <c r="O1827">
        <v>34.42</v>
      </c>
      <c r="P1827">
        <v>732</v>
      </c>
      <c r="Q1827">
        <v>42</v>
      </c>
      <c r="R1827">
        <v>13.08</v>
      </c>
    </row>
    <row r="1828" spans="1:18" x14ac:dyDescent="0.25">
      <c r="A1828" s="1" t="s">
        <v>103</v>
      </c>
      <c r="B1828" s="3">
        <v>387</v>
      </c>
      <c r="C1828" s="19">
        <v>38</v>
      </c>
      <c r="D1828" s="3" t="s">
        <v>495</v>
      </c>
      <c r="E1828" s="3" t="s">
        <v>515</v>
      </c>
      <c r="F1828" s="23">
        <v>135900</v>
      </c>
      <c r="G1828" s="15">
        <v>2006</v>
      </c>
      <c r="H1828" s="15">
        <f>Table_7[[#This Row],[Listing Price (USD)]]/10000</f>
        <v>13.59</v>
      </c>
      <c r="I1828" s="28">
        <f>Table_7[[#This Row],[Length 
(ft)]]</f>
        <v>38</v>
      </c>
      <c r="J1828" s="28">
        <f>2020-Table_7[[#This Row],[Year]]</f>
        <v>14</v>
      </c>
      <c r="K1828">
        <v>410675000000</v>
      </c>
      <c r="L1828">
        <v>66531.03</v>
      </c>
      <c r="M1828">
        <v>1.23</v>
      </c>
      <c r="N1828">
        <v>1.8</v>
      </c>
      <c r="O1828">
        <v>34.42</v>
      </c>
      <c r="P1828">
        <v>732</v>
      </c>
      <c r="Q1828">
        <v>42</v>
      </c>
      <c r="R1828">
        <v>13.08</v>
      </c>
    </row>
    <row r="1829" spans="1:18" x14ac:dyDescent="0.25">
      <c r="A1829" s="1" t="s">
        <v>103</v>
      </c>
      <c r="B1829" s="3">
        <v>387</v>
      </c>
      <c r="C1829" s="19">
        <v>38</v>
      </c>
      <c r="D1829" s="3" t="s">
        <v>495</v>
      </c>
      <c r="E1829" s="3" t="s">
        <v>519</v>
      </c>
      <c r="F1829" s="23">
        <v>159900</v>
      </c>
      <c r="G1829" s="15">
        <v>2006</v>
      </c>
      <c r="H1829" s="15">
        <f>Table_7[[#This Row],[Listing Price (USD)]]/10000</f>
        <v>15.99</v>
      </c>
      <c r="I1829" s="28">
        <f>Table_7[[#This Row],[Length 
(ft)]]</f>
        <v>38</v>
      </c>
      <c r="J1829" s="28">
        <f>2020-Table_7[[#This Row],[Year]]</f>
        <v>14</v>
      </c>
      <c r="K1829">
        <v>589829000000</v>
      </c>
      <c r="L1829">
        <v>56404.23</v>
      </c>
      <c r="M1829">
        <v>1.23</v>
      </c>
      <c r="N1829">
        <v>2.8</v>
      </c>
      <c r="O1829">
        <v>34.42</v>
      </c>
      <c r="P1829">
        <v>732</v>
      </c>
      <c r="Q1829">
        <v>42</v>
      </c>
      <c r="R1829">
        <v>13.08</v>
      </c>
    </row>
    <row r="1830" spans="1:18" x14ac:dyDescent="0.25">
      <c r="A1830" s="1" t="s">
        <v>103</v>
      </c>
      <c r="B1830" s="3">
        <v>387</v>
      </c>
      <c r="C1830" s="19">
        <v>38</v>
      </c>
      <c r="D1830" s="3" t="s">
        <v>495</v>
      </c>
      <c r="E1830" s="3" t="s">
        <v>523</v>
      </c>
      <c r="F1830" s="23">
        <v>219999</v>
      </c>
      <c r="G1830" s="15">
        <v>2013</v>
      </c>
      <c r="H1830" s="15">
        <f>Table_7[[#This Row],[Listing Price (USD)]]/10000</f>
        <v>21.9999</v>
      </c>
      <c r="I1830" s="28">
        <f>Table_7[[#This Row],[Length 
(ft)]]</f>
        <v>38</v>
      </c>
      <c r="J1830" s="28">
        <f>2020-Table_7[[#This Row],[Year]]</f>
        <v>7</v>
      </c>
      <c r="K1830">
        <v>1775588000000</v>
      </c>
      <c r="L1830">
        <v>60771.06</v>
      </c>
      <c r="M1830">
        <v>1.23</v>
      </c>
      <c r="N1830">
        <v>5.0999999999999996</v>
      </c>
      <c r="O1830">
        <v>34.42</v>
      </c>
      <c r="P1830">
        <v>732</v>
      </c>
      <c r="Q1830">
        <v>42</v>
      </c>
      <c r="R1830">
        <v>13.08</v>
      </c>
    </row>
    <row r="1831" spans="1:18" x14ac:dyDescent="0.25">
      <c r="A1831" s="1" t="s">
        <v>177</v>
      </c>
      <c r="B1831" s="2">
        <v>388</v>
      </c>
      <c r="C1831" s="19">
        <v>37</v>
      </c>
      <c r="D1831" s="3" t="s">
        <v>496</v>
      </c>
      <c r="E1831" s="3" t="s">
        <v>31</v>
      </c>
      <c r="F1831" s="23">
        <v>179775</v>
      </c>
      <c r="G1831" s="15">
        <v>2019</v>
      </c>
      <c r="H1831" s="15">
        <f>Table_7[[#This Row],[Listing Price (USD)]]/10000</f>
        <v>17.977499999999999</v>
      </c>
      <c r="I1831" s="28">
        <f>Table_7[[#This Row],[Length 
(ft)]]</f>
        <v>37</v>
      </c>
      <c r="J1831" s="28">
        <f>2020-Table_7[[#This Row],[Year]]</f>
        <v>1</v>
      </c>
      <c r="K1831">
        <v>57472012426.685303</v>
      </c>
      <c r="L1831">
        <v>14198.753959474399</v>
      </c>
      <c r="M1831">
        <v>0.15481137456202801</v>
      </c>
      <c r="N1831">
        <v>-8.5803430210621805</v>
      </c>
      <c r="O1831">
        <v>34.42</v>
      </c>
      <c r="P1831">
        <v>732</v>
      </c>
      <c r="Q1831">
        <v>42</v>
      </c>
      <c r="R1831">
        <v>13.08</v>
      </c>
    </row>
    <row r="1832" spans="1:18" x14ac:dyDescent="0.25">
      <c r="A1832" s="1" t="s">
        <v>128</v>
      </c>
      <c r="B1832" s="2">
        <v>390</v>
      </c>
      <c r="C1832" s="19">
        <v>39</v>
      </c>
      <c r="D1832" s="3" t="s">
        <v>496</v>
      </c>
      <c r="E1832" s="3" t="s">
        <v>24</v>
      </c>
      <c r="F1832" s="23">
        <v>204121</v>
      </c>
      <c r="G1832" s="15">
        <v>2019</v>
      </c>
      <c r="H1832" s="15">
        <f>Table_7[[#This Row],[Listing Price (USD)]]/10000</f>
        <v>20.412099999999999</v>
      </c>
      <c r="I1832" s="28">
        <f>Table_7[[#This Row],[Length 
(ft)]]</f>
        <v>39</v>
      </c>
      <c r="J1832" s="28">
        <f>2020-Table_7[[#This Row],[Year]]</f>
        <v>1</v>
      </c>
      <c r="K1832">
        <v>1896755301518.1399</v>
      </c>
      <c r="L1832">
        <v>31911.0357890017</v>
      </c>
      <c r="M1832">
        <v>-0.13770757391656999</v>
      </c>
      <c r="N1832">
        <v>-9.0399534112288507</v>
      </c>
      <c r="O1832">
        <v>34.42</v>
      </c>
      <c r="P1832">
        <v>732</v>
      </c>
      <c r="Q1832">
        <v>42</v>
      </c>
      <c r="R1832">
        <v>13.08</v>
      </c>
    </row>
    <row r="1833" spans="1:18" x14ac:dyDescent="0.25">
      <c r="A1833" s="1" t="s">
        <v>177</v>
      </c>
      <c r="B1833" s="2">
        <v>400</v>
      </c>
      <c r="C1833" s="19">
        <v>40</v>
      </c>
      <c r="D1833" s="3" t="s">
        <v>496</v>
      </c>
      <c r="E1833" s="3" t="s">
        <v>24</v>
      </c>
      <c r="F1833" s="23">
        <v>103249</v>
      </c>
      <c r="G1833" s="15">
        <v>2007</v>
      </c>
      <c r="H1833" s="15">
        <f>Table_7[[#This Row],[Listing Price (USD)]]/10000</f>
        <v>10.3249</v>
      </c>
      <c r="I1833" s="28">
        <f>Table_7[[#This Row],[Length 
(ft)]]</f>
        <v>40</v>
      </c>
      <c r="J1833" s="28">
        <f>2020-Table_7[[#This Row],[Year]]</f>
        <v>13</v>
      </c>
      <c r="K1833">
        <v>1896755301518.1399</v>
      </c>
      <c r="L1833">
        <v>31911.0357890017</v>
      </c>
      <c r="M1833">
        <v>-0.13770757391656999</v>
      </c>
      <c r="N1833">
        <v>-9.0399534112288507</v>
      </c>
      <c r="O1833">
        <v>37.4</v>
      </c>
      <c r="P1833">
        <v>899</v>
      </c>
      <c r="Q1833">
        <v>42</v>
      </c>
      <c r="R1833">
        <v>13.68</v>
      </c>
    </row>
    <row r="1834" spans="1:18" x14ac:dyDescent="0.25">
      <c r="A1834" s="1" t="s">
        <v>128</v>
      </c>
      <c r="B1834" s="3">
        <v>405</v>
      </c>
      <c r="C1834" s="19">
        <v>40</v>
      </c>
      <c r="D1834" s="3" t="s">
        <v>497</v>
      </c>
      <c r="E1834" s="3" t="s">
        <v>392</v>
      </c>
      <c r="F1834" s="23">
        <v>91106</v>
      </c>
      <c r="G1834" s="15">
        <v>2011</v>
      </c>
      <c r="H1834" s="15">
        <f>Table_7[[#This Row],[Listing Price (USD)]]/10000</f>
        <v>9.1105999999999998</v>
      </c>
      <c r="I1834" s="28">
        <f>Table_7[[#This Row],[Length 
(ft)]]</f>
        <v>40</v>
      </c>
      <c r="J1834" s="28">
        <f>2020-Table_7[[#This Row],[Year]]</f>
        <v>9</v>
      </c>
      <c r="K1834">
        <v>1043414814.81481</v>
      </c>
      <c r="L1834">
        <v>8437.5667322870595</v>
      </c>
      <c r="M1834">
        <v>-0.74073259704550098</v>
      </c>
      <c r="N1834">
        <v>-13.7559294530644</v>
      </c>
      <c r="O1834">
        <v>37.4</v>
      </c>
      <c r="P1834">
        <v>899</v>
      </c>
      <c r="Q1834">
        <v>42</v>
      </c>
      <c r="R1834">
        <v>13.68</v>
      </c>
    </row>
    <row r="1835" spans="1:18" x14ac:dyDescent="0.25">
      <c r="A1835" s="1" t="s">
        <v>177</v>
      </c>
      <c r="B1835" s="2">
        <v>411</v>
      </c>
      <c r="C1835" s="19">
        <v>40</v>
      </c>
      <c r="D1835" s="3" t="s">
        <v>496</v>
      </c>
      <c r="E1835" s="3" t="s">
        <v>18</v>
      </c>
      <c r="F1835" s="23">
        <v>108108</v>
      </c>
      <c r="G1835" s="15">
        <v>2005</v>
      </c>
      <c r="H1835" s="15">
        <f>Table_7[[#This Row],[Listing Price (USD)]]/10000</f>
        <v>10.8108</v>
      </c>
      <c r="I1835" s="28">
        <f>Table_7[[#This Row],[Length 
(ft)]]</f>
        <v>40</v>
      </c>
      <c r="J1835" s="28">
        <f>2020-Table_7[[#This Row],[Year]]</f>
        <v>15</v>
      </c>
      <c r="K1835">
        <v>188925995936.80701</v>
      </c>
      <c r="L1835">
        <v>17658.947301119199</v>
      </c>
      <c r="M1835">
        <v>-1.2479835558140799</v>
      </c>
      <c r="N1835">
        <v>-9.0040436420214593</v>
      </c>
      <c r="O1835">
        <v>37.4</v>
      </c>
      <c r="P1835">
        <v>899</v>
      </c>
      <c r="Q1835">
        <v>42</v>
      </c>
      <c r="R1835">
        <v>13.68</v>
      </c>
    </row>
    <row r="1836" spans="1:18" x14ac:dyDescent="0.25">
      <c r="A1836" s="1" t="s">
        <v>177</v>
      </c>
      <c r="B1836" s="2">
        <v>415</v>
      </c>
      <c r="C1836" s="19">
        <v>40</v>
      </c>
      <c r="D1836" s="3" t="s">
        <v>496</v>
      </c>
      <c r="E1836" s="3" t="s">
        <v>31</v>
      </c>
      <c r="F1836" s="23">
        <v>126571</v>
      </c>
      <c r="G1836" s="15">
        <v>2015</v>
      </c>
      <c r="H1836" s="15">
        <f>Table_7[[#This Row],[Listing Price (USD)]]/10000</f>
        <v>12.6571</v>
      </c>
      <c r="I1836" s="28">
        <f>Table_7[[#This Row],[Length 
(ft)]]</f>
        <v>40</v>
      </c>
      <c r="J1836" s="28">
        <f>2020-Table_7[[#This Row],[Year]]</f>
        <v>5</v>
      </c>
      <c r="K1836">
        <v>57472012426.685303</v>
      </c>
      <c r="L1836">
        <v>14198.753959474399</v>
      </c>
      <c r="M1836">
        <v>0.15481137456202801</v>
      </c>
      <c r="N1836">
        <v>-8.5803430210621805</v>
      </c>
      <c r="O1836">
        <v>37.4</v>
      </c>
      <c r="P1836">
        <v>899</v>
      </c>
      <c r="Q1836">
        <v>42</v>
      </c>
      <c r="R1836">
        <v>13.68</v>
      </c>
    </row>
    <row r="1837" spans="1:18" x14ac:dyDescent="0.25">
      <c r="A1837" s="1" t="s">
        <v>177</v>
      </c>
      <c r="B1837" s="2">
        <v>415</v>
      </c>
      <c r="C1837" s="19">
        <v>40</v>
      </c>
      <c r="D1837" s="3" t="s">
        <v>496</v>
      </c>
      <c r="E1837" s="3" t="s">
        <v>31</v>
      </c>
      <c r="F1837" s="23">
        <v>133617</v>
      </c>
      <c r="G1837" s="15">
        <v>2013</v>
      </c>
      <c r="H1837" s="15">
        <f>Table_7[[#This Row],[Listing Price (USD)]]/10000</f>
        <v>13.361700000000001</v>
      </c>
      <c r="I1837" s="28">
        <f>Table_7[[#This Row],[Length 
(ft)]]</f>
        <v>40</v>
      </c>
      <c r="J1837" s="28">
        <f>2020-Table_7[[#This Row],[Year]]</f>
        <v>7</v>
      </c>
      <c r="K1837">
        <v>57472012426.685303</v>
      </c>
      <c r="L1837">
        <v>14198.753959474399</v>
      </c>
      <c r="M1837">
        <v>0.15481137456202801</v>
      </c>
      <c r="N1837">
        <v>-8.5803430210621805</v>
      </c>
      <c r="O1837">
        <v>37.4</v>
      </c>
      <c r="P1837">
        <v>899</v>
      </c>
      <c r="Q1837">
        <v>42</v>
      </c>
      <c r="R1837">
        <v>13.68</v>
      </c>
    </row>
    <row r="1838" spans="1:18" x14ac:dyDescent="0.25">
      <c r="A1838" s="1" t="s">
        <v>177</v>
      </c>
      <c r="B1838" s="2">
        <v>415</v>
      </c>
      <c r="C1838" s="19">
        <v>40</v>
      </c>
      <c r="D1838" s="3" t="s">
        <v>496</v>
      </c>
      <c r="E1838" s="3" t="s">
        <v>18</v>
      </c>
      <c r="F1838" s="23">
        <v>144549</v>
      </c>
      <c r="G1838" s="15">
        <v>2013</v>
      </c>
      <c r="H1838" s="15">
        <f>Table_7[[#This Row],[Listing Price (USD)]]/10000</f>
        <v>14.4549</v>
      </c>
      <c r="I1838" s="28">
        <f>Table_7[[#This Row],[Length 
(ft)]]</f>
        <v>40</v>
      </c>
      <c r="J1838" s="28">
        <f>2020-Table_7[[#This Row],[Year]]</f>
        <v>7</v>
      </c>
      <c r="K1838">
        <v>188925995936.80701</v>
      </c>
      <c r="L1838">
        <v>17658.947301119199</v>
      </c>
      <c r="M1838">
        <v>-1.2479835558140799</v>
      </c>
      <c r="N1838">
        <v>-9.0040436420214593</v>
      </c>
      <c r="O1838">
        <v>37.4</v>
      </c>
      <c r="P1838">
        <v>899</v>
      </c>
      <c r="Q1838">
        <v>42</v>
      </c>
      <c r="R1838">
        <v>13.68</v>
      </c>
    </row>
    <row r="1839" spans="1:18" x14ac:dyDescent="0.25">
      <c r="A1839" s="1" t="s">
        <v>177</v>
      </c>
      <c r="B1839" s="2">
        <v>415</v>
      </c>
      <c r="C1839" s="19">
        <v>40</v>
      </c>
      <c r="D1839" s="3" t="s">
        <v>496</v>
      </c>
      <c r="E1839" s="3" t="s">
        <v>18</v>
      </c>
      <c r="F1839" s="23">
        <v>144586</v>
      </c>
      <c r="G1839" s="15">
        <v>2013</v>
      </c>
      <c r="H1839" s="15">
        <f>Table_7[[#This Row],[Listing Price (USD)]]/10000</f>
        <v>14.458600000000001</v>
      </c>
      <c r="I1839" s="28">
        <f>Table_7[[#This Row],[Length 
(ft)]]</f>
        <v>40</v>
      </c>
      <c r="J1839" s="28">
        <f>2020-Table_7[[#This Row],[Year]]</f>
        <v>7</v>
      </c>
      <c r="K1839">
        <v>188925995936.80701</v>
      </c>
      <c r="L1839">
        <v>17658.947301119199</v>
      </c>
      <c r="M1839">
        <v>-1.2479835558140799</v>
      </c>
      <c r="N1839">
        <v>-9.0040436420214593</v>
      </c>
      <c r="O1839">
        <v>37.4</v>
      </c>
      <c r="P1839">
        <v>899</v>
      </c>
      <c r="Q1839">
        <v>42</v>
      </c>
      <c r="R1839">
        <v>13.68</v>
      </c>
    </row>
    <row r="1840" spans="1:18" x14ac:dyDescent="0.25">
      <c r="A1840" s="1" t="s">
        <v>177</v>
      </c>
      <c r="B1840" s="2">
        <v>415</v>
      </c>
      <c r="C1840" s="19">
        <v>40</v>
      </c>
      <c r="D1840" s="3" t="s">
        <v>496</v>
      </c>
      <c r="E1840" s="3" t="s">
        <v>18</v>
      </c>
      <c r="F1840" s="23">
        <v>157890</v>
      </c>
      <c r="G1840" s="15">
        <v>2013</v>
      </c>
      <c r="H1840" s="15">
        <f>Table_7[[#This Row],[Listing Price (USD)]]/10000</f>
        <v>15.789</v>
      </c>
      <c r="I1840" s="28">
        <f>Table_7[[#This Row],[Length 
(ft)]]</f>
        <v>40</v>
      </c>
      <c r="J1840" s="28">
        <f>2020-Table_7[[#This Row],[Year]]</f>
        <v>7</v>
      </c>
      <c r="K1840">
        <v>188925995936.80701</v>
      </c>
      <c r="L1840">
        <v>17658.947301119199</v>
      </c>
      <c r="M1840">
        <v>-1.2479835558140799</v>
      </c>
      <c r="N1840">
        <v>-9.0040436420214593</v>
      </c>
      <c r="O1840">
        <v>37.4</v>
      </c>
      <c r="P1840">
        <v>899</v>
      </c>
      <c r="Q1840">
        <v>42</v>
      </c>
      <c r="R1840">
        <v>13.68</v>
      </c>
    </row>
    <row r="1841" spans="1:18" x14ac:dyDescent="0.25">
      <c r="A1841" s="1" t="s">
        <v>177</v>
      </c>
      <c r="B1841" s="2">
        <v>415</v>
      </c>
      <c r="C1841" s="19">
        <v>40</v>
      </c>
      <c r="D1841" s="3" t="s">
        <v>496</v>
      </c>
      <c r="E1841" s="3" t="s">
        <v>22</v>
      </c>
      <c r="F1841" s="23">
        <v>166413</v>
      </c>
      <c r="G1841" s="15">
        <v>2015</v>
      </c>
      <c r="H1841" s="15">
        <f>Table_7[[#This Row],[Listing Price (USD)]]/10000</f>
        <v>16.641300000000001</v>
      </c>
      <c r="I1841" s="28">
        <f>Table_7[[#This Row],[Length 
(ft)]]</f>
        <v>40</v>
      </c>
      <c r="J1841" s="28">
        <f>2020-Table_7[[#This Row],[Year]]</f>
        <v>5</v>
      </c>
      <c r="K1841">
        <v>3889668895299.6201</v>
      </c>
      <c r="L1841">
        <v>46772.825350754501</v>
      </c>
      <c r="M1841">
        <v>0.50668988995327402</v>
      </c>
      <c r="N1841">
        <v>-3.6967887053804298</v>
      </c>
      <c r="O1841">
        <v>37.4</v>
      </c>
      <c r="P1841">
        <v>899</v>
      </c>
      <c r="Q1841">
        <v>42</v>
      </c>
      <c r="R1841">
        <v>13.68</v>
      </c>
    </row>
    <row r="1842" spans="1:18" x14ac:dyDescent="0.25">
      <c r="A1842" s="1" t="s">
        <v>177</v>
      </c>
      <c r="B1842" s="3">
        <v>415</v>
      </c>
      <c r="C1842" s="19">
        <v>40</v>
      </c>
      <c r="D1842" s="3" t="s">
        <v>497</v>
      </c>
      <c r="E1842" s="3" t="s">
        <v>506</v>
      </c>
      <c r="F1842" s="23">
        <v>168000</v>
      </c>
      <c r="G1842" s="15">
        <v>2013</v>
      </c>
      <c r="H1842" s="15">
        <f>Table_7[[#This Row],[Listing Price (USD)]]/10000</f>
        <v>16.8</v>
      </c>
      <c r="I1842" s="28">
        <f>Table_7[[#This Row],[Length 
(ft)]]</f>
        <v>40</v>
      </c>
      <c r="J1842" s="28">
        <f>2020-Table_7[[#This Row],[Year]]</f>
        <v>7</v>
      </c>
      <c r="K1842">
        <v>1370281481.4814799</v>
      </c>
      <c r="L1842">
        <v>14787.6357752901</v>
      </c>
      <c r="M1842">
        <v>0.62598970704669799</v>
      </c>
      <c r="N1842">
        <v>-20.1923705722071</v>
      </c>
      <c r="O1842">
        <v>37.4</v>
      </c>
      <c r="P1842">
        <v>899</v>
      </c>
      <c r="Q1842">
        <v>42</v>
      </c>
      <c r="R1842">
        <v>13.68</v>
      </c>
    </row>
    <row r="1843" spans="1:18" x14ac:dyDescent="0.25">
      <c r="A1843" s="1" t="s">
        <v>177</v>
      </c>
      <c r="B1843" s="2">
        <v>415</v>
      </c>
      <c r="C1843" s="19">
        <v>40</v>
      </c>
      <c r="D1843" s="3" t="s">
        <v>496</v>
      </c>
      <c r="E1843" s="3" t="s">
        <v>19</v>
      </c>
      <c r="F1843" s="23">
        <v>186430</v>
      </c>
      <c r="G1843" s="15">
        <v>2014</v>
      </c>
      <c r="H1843" s="15">
        <f>Table_7[[#This Row],[Listing Price (USD)]]/10000</f>
        <v>18.643000000000001</v>
      </c>
      <c r="I1843" s="28">
        <f>Table_7[[#This Row],[Length 
(ft)]]</f>
        <v>40</v>
      </c>
      <c r="J1843" s="28">
        <f>2020-Table_7[[#This Row],[Year]]</f>
        <v>6</v>
      </c>
      <c r="K1843">
        <v>4200000000</v>
      </c>
      <c r="L1843">
        <v>39553.199999999997</v>
      </c>
      <c r="M1843">
        <v>4.0999999999999996</v>
      </c>
      <c r="N1843">
        <v>-2.1</v>
      </c>
      <c r="O1843">
        <v>37.4</v>
      </c>
      <c r="P1843">
        <v>899</v>
      </c>
      <c r="Q1843">
        <v>42</v>
      </c>
      <c r="R1843">
        <v>13.68</v>
      </c>
    </row>
    <row r="1844" spans="1:18" x14ac:dyDescent="0.25">
      <c r="A1844" s="1" t="s">
        <v>177</v>
      </c>
      <c r="B1844" s="2">
        <v>415</v>
      </c>
      <c r="C1844" s="19">
        <v>40</v>
      </c>
      <c r="D1844" s="3" t="s">
        <v>496</v>
      </c>
      <c r="E1844" s="3" t="s">
        <v>19</v>
      </c>
      <c r="F1844" s="23">
        <v>186468</v>
      </c>
      <c r="G1844" s="15">
        <v>2014</v>
      </c>
      <c r="H1844" s="15">
        <f>Table_7[[#This Row],[Listing Price (USD)]]/10000</f>
        <v>18.646799999999999</v>
      </c>
      <c r="I1844" s="28">
        <f>Table_7[[#This Row],[Length 
(ft)]]</f>
        <v>40</v>
      </c>
      <c r="J1844" s="28">
        <f>2020-Table_7[[#This Row],[Year]]</f>
        <v>6</v>
      </c>
      <c r="K1844">
        <v>4200000000</v>
      </c>
      <c r="L1844">
        <v>39553.199999999997</v>
      </c>
      <c r="M1844">
        <v>4.0999999999999996</v>
      </c>
      <c r="N1844">
        <v>-2.1</v>
      </c>
      <c r="O1844">
        <v>37.4</v>
      </c>
      <c r="P1844">
        <v>899</v>
      </c>
      <c r="Q1844">
        <v>42</v>
      </c>
      <c r="R1844">
        <v>13.68</v>
      </c>
    </row>
    <row r="1845" spans="1:18" x14ac:dyDescent="0.25">
      <c r="A1845" s="1" t="s">
        <v>177</v>
      </c>
      <c r="B1845" s="3">
        <v>415</v>
      </c>
      <c r="C1845" s="19">
        <v>40</v>
      </c>
      <c r="D1845" s="3" t="s">
        <v>497</v>
      </c>
      <c r="E1845" s="3" t="s">
        <v>370</v>
      </c>
      <c r="F1845" s="23">
        <v>189000</v>
      </c>
      <c r="G1845" s="15">
        <v>2017</v>
      </c>
      <c r="H1845" s="15">
        <f>Table_7[[#This Row],[Listing Price (USD)]]/10000</f>
        <v>18.899999999999999</v>
      </c>
      <c r="I1845" s="28">
        <f>Table_7[[#This Row],[Length 
(ft)]]</f>
        <v>40</v>
      </c>
      <c r="J1845" s="28">
        <f>2020-Table_7[[#This Row],[Year]]</f>
        <v>3</v>
      </c>
      <c r="K1845">
        <v>500000000</v>
      </c>
      <c r="L1845">
        <v>34200</v>
      </c>
      <c r="M1845">
        <v>1.1000000000000001</v>
      </c>
      <c r="N1845">
        <v>2</v>
      </c>
      <c r="O1845">
        <v>37.4</v>
      </c>
      <c r="P1845">
        <v>899</v>
      </c>
      <c r="Q1845">
        <v>42</v>
      </c>
      <c r="R1845">
        <v>13.68</v>
      </c>
    </row>
    <row r="1846" spans="1:18" x14ac:dyDescent="0.25">
      <c r="A1846" s="1" t="s">
        <v>177</v>
      </c>
      <c r="B1846" s="3">
        <v>415</v>
      </c>
      <c r="C1846" s="19">
        <v>40</v>
      </c>
      <c r="D1846" s="3" t="s">
        <v>497</v>
      </c>
      <c r="E1846" s="3" t="s">
        <v>370</v>
      </c>
      <c r="F1846" s="23">
        <v>204500</v>
      </c>
      <c r="G1846" s="15">
        <v>2016</v>
      </c>
      <c r="H1846" s="15">
        <f>Table_7[[#This Row],[Listing Price (USD)]]/10000</f>
        <v>20.45</v>
      </c>
      <c r="I1846" s="28">
        <f>Table_7[[#This Row],[Length 
(ft)]]</f>
        <v>40</v>
      </c>
      <c r="J1846" s="28">
        <f>2020-Table_7[[#This Row],[Year]]</f>
        <v>4</v>
      </c>
      <c r="K1846">
        <v>500000000</v>
      </c>
      <c r="L1846">
        <v>34200</v>
      </c>
      <c r="M1846">
        <v>1.1000000000000001</v>
      </c>
      <c r="N1846">
        <v>2</v>
      </c>
      <c r="O1846">
        <v>37.4</v>
      </c>
      <c r="P1846">
        <v>899</v>
      </c>
      <c r="Q1846">
        <v>42</v>
      </c>
      <c r="R1846">
        <v>13.68</v>
      </c>
    </row>
    <row r="1847" spans="1:18" x14ac:dyDescent="0.25">
      <c r="A1847" s="1" t="s">
        <v>177</v>
      </c>
      <c r="B1847" s="2">
        <v>415</v>
      </c>
      <c r="C1847" s="19">
        <v>40</v>
      </c>
      <c r="D1847" s="3" t="s">
        <v>496</v>
      </c>
      <c r="E1847" s="3" t="s">
        <v>31</v>
      </c>
      <c r="F1847" s="23">
        <v>206551</v>
      </c>
      <c r="G1847" s="15">
        <v>2016</v>
      </c>
      <c r="H1847" s="15">
        <f>Table_7[[#This Row],[Listing Price (USD)]]/10000</f>
        <v>20.655100000000001</v>
      </c>
      <c r="I1847" s="28">
        <f>Table_7[[#This Row],[Length 
(ft)]]</f>
        <v>40</v>
      </c>
      <c r="J1847" s="28">
        <f>2020-Table_7[[#This Row],[Year]]</f>
        <v>4</v>
      </c>
      <c r="K1847">
        <v>57472012426.685303</v>
      </c>
      <c r="L1847">
        <v>14198.753959474399</v>
      </c>
      <c r="M1847">
        <v>0.15481137456202801</v>
      </c>
      <c r="N1847">
        <v>-8.5803430210621805</v>
      </c>
      <c r="O1847">
        <v>37.4</v>
      </c>
      <c r="P1847">
        <v>899</v>
      </c>
      <c r="Q1847">
        <v>42</v>
      </c>
      <c r="R1847">
        <v>13.68</v>
      </c>
    </row>
    <row r="1848" spans="1:18" x14ac:dyDescent="0.25">
      <c r="A1848" s="1" t="s">
        <v>177</v>
      </c>
      <c r="B1848" s="3">
        <v>415</v>
      </c>
      <c r="C1848" s="19">
        <v>40</v>
      </c>
      <c r="D1848" s="3" t="s">
        <v>495</v>
      </c>
      <c r="E1848" s="3" t="s">
        <v>333</v>
      </c>
      <c r="F1848" s="23">
        <v>229000</v>
      </c>
      <c r="G1848" s="15">
        <v>2014</v>
      </c>
      <c r="H1848" s="15">
        <f>Table_7[[#This Row],[Listing Price (USD)]]/10000</f>
        <v>22.9</v>
      </c>
      <c r="I1848" s="28">
        <f>Table_7[[#This Row],[Length 
(ft)]]</f>
        <v>40</v>
      </c>
      <c r="J1848" s="28">
        <f>2020-Table_7[[#This Row],[Year]]</f>
        <v>6</v>
      </c>
      <c r="K1848">
        <v>1106036000000</v>
      </c>
      <c r="L1848">
        <v>51276.72</v>
      </c>
      <c r="M1848">
        <v>1.23</v>
      </c>
      <c r="N1848">
        <v>2.9</v>
      </c>
      <c r="O1848">
        <v>37.4</v>
      </c>
      <c r="P1848">
        <v>899</v>
      </c>
      <c r="Q1848">
        <v>42</v>
      </c>
      <c r="R1848">
        <v>13.68</v>
      </c>
    </row>
    <row r="1849" spans="1:18" x14ac:dyDescent="0.25">
      <c r="A1849" s="1" t="s">
        <v>177</v>
      </c>
      <c r="B1849" s="2">
        <v>415</v>
      </c>
      <c r="C1849" s="19">
        <v>40</v>
      </c>
      <c r="D1849" s="3" t="s">
        <v>496</v>
      </c>
      <c r="E1849" s="3" t="s">
        <v>19</v>
      </c>
      <c r="F1849" s="23">
        <v>239849</v>
      </c>
      <c r="G1849" s="15">
        <v>2016</v>
      </c>
      <c r="H1849" s="15">
        <f>Table_7[[#This Row],[Listing Price (USD)]]/10000</f>
        <v>23.9849</v>
      </c>
      <c r="I1849" s="28">
        <f>Table_7[[#This Row],[Length 
(ft)]]</f>
        <v>40</v>
      </c>
      <c r="J1849" s="28">
        <f>2020-Table_7[[#This Row],[Year]]</f>
        <v>4</v>
      </c>
      <c r="K1849">
        <v>4200000000</v>
      </c>
      <c r="L1849">
        <v>39553.199999999997</v>
      </c>
      <c r="M1849">
        <v>4.0999999999999996</v>
      </c>
      <c r="N1849">
        <v>-2.1</v>
      </c>
      <c r="O1849">
        <v>37.4</v>
      </c>
      <c r="P1849">
        <v>899</v>
      </c>
      <c r="Q1849">
        <v>42</v>
      </c>
      <c r="R1849">
        <v>13.68</v>
      </c>
    </row>
    <row r="1850" spans="1:18" x14ac:dyDescent="0.25">
      <c r="A1850" s="1" t="s">
        <v>177</v>
      </c>
      <c r="B1850" s="3">
        <v>415</v>
      </c>
      <c r="C1850" s="19">
        <v>40</v>
      </c>
      <c r="D1850" s="3" t="s">
        <v>495</v>
      </c>
      <c r="E1850" s="3" t="s">
        <v>527</v>
      </c>
      <c r="F1850" s="23">
        <v>259000</v>
      </c>
      <c r="G1850" s="15">
        <v>2018</v>
      </c>
      <c r="H1850" s="15">
        <f>Table_7[[#This Row],[Listing Price (USD)]]/10000</f>
        <v>25.9</v>
      </c>
      <c r="I1850" s="28">
        <f>Table_7[[#This Row],[Length 
(ft)]]</f>
        <v>40</v>
      </c>
      <c r="J1850" s="28">
        <f>2020-Table_7[[#This Row],[Year]]</f>
        <v>2</v>
      </c>
      <c r="K1850">
        <v>582477000000</v>
      </c>
      <c r="L1850">
        <v>82947.67</v>
      </c>
      <c r="M1850">
        <v>1.23</v>
      </c>
      <c r="N1850">
        <v>2.7</v>
      </c>
      <c r="O1850">
        <v>37.4</v>
      </c>
      <c r="P1850">
        <v>899</v>
      </c>
      <c r="Q1850">
        <v>42</v>
      </c>
      <c r="R1850">
        <v>13.68</v>
      </c>
    </row>
    <row r="1851" spans="1:18" x14ac:dyDescent="0.25">
      <c r="A1851" s="1" t="s">
        <v>128</v>
      </c>
      <c r="B1851" s="2">
        <v>425</v>
      </c>
      <c r="C1851" s="19">
        <v>42</v>
      </c>
      <c r="D1851" s="3" t="s">
        <v>496</v>
      </c>
      <c r="E1851" s="3" t="s">
        <v>9</v>
      </c>
      <c r="F1851" s="23">
        <v>151837</v>
      </c>
      <c r="G1851" s="15">
        <v>2009</v>
      </c>
      <c r="H1851" s="15">
        <f>Table_7[[#This Row],[Listing Price (USD)]]/10000</f>
        <v>15.1837</v>
      </c>
      <c r="I1851" s="28">
        <f>Table_7[[#This Row],[Length 
(ft)]]</f>
        <v>42</v>
      </c>
      <c r="J1851" s="28">
        <f>2020-Table_7[[#This Row],[Year]]</f>
        <v>11</v>
      </c>
      <c r="K1851">
        <v>1276962685648.25</v>
      </c>
      <c r="L1851">
        <v>26959.675436732599</v>
      </c>
      <c r="M1851">
        <v>-0.32275301729970501</v>
      </c>
      <c r="N1851">
        <v>-11.3254383222864</v>
      </c>
      <c r="O1851">
        <v>36.840000000000003</v>
      </c>
      <c r="P1851">
        <v>722</v>
      </c>
      <c r="Q1851">
        <v>42</v>
      </c>
      <c r="R1851">
        <v>13.65</v>
      </c>
    </row>
    <row r="1852" spans="1:18" x14ac:dyDescent="0.25">
      <c r="A1852" s="1" t="s">
        <v>243</v>
      </c>
      <c r="B1852" s="2">
        <v>1200</v>
      </c>
      <c r="C1852" s="19">
        <v>40</v>
      </c>
      <c r="D1852" s="3" t="s">
        <v>496</v>
      </c>
      <c r="E1852" s="3" t="s">
        <v>24</v>
      </c>
      <c r="F1852" s="23">
        <v>267233</v>
      </c>
      <c r="G1852" s="15">
        <v>2016</v>
      </c>
      <c r="H1852" s="15">
        <f>Table_7[[#This Row],[Listing Price (USD)]]/10000</f>
        <v>26.723299999999998</v>
      </c>
      <c r="I1852" s="28">
        <f>Table_7[[#This Row],[Length 
(ft)]]</f>
        <v>40</v>
      </c>
      <c r="J1852" s="28">
        <f>2020-Table_7[[#This Row],[Year]]</f>
        <v>4</v>
      </c>
      <c r="K1852">
        <v>1896755301518.1399</v>
      </c>
      <c r="L1852">
        <v>31911.0357890017</v>
      </c>
      <c r="M1852">
        <v>-0.13770757391656999</v>
      </c>
      <c r="N1852">
        <v>-9.0399534112288507</v>
      </c>
      <c r="O1852">
        <v>37.4</v>
      </c>
      <c r="P1852">
        <v>899</v>
      </c>
      <c r="Q1852">
        <v>42</v>
      </c>
      <c r="R1852">
        <v>13.68</v>
      </c>
    </row>
    <row r="1853" spans="1:18" x14ac:dyDescent="0.25">
      <c r="A1853" s="1" t="s">
        <v>282</v>
      </c>
      <c r="B1853" s="3">
        <v>4000</v>
      </c>
      <c r="C1853" s="19">
        <v>40</v>
      </c>
      <c r="D1853" s="3" t="s">
        <v>495</v>
      </c>
      <c r="E1853" s="3" t="s">
        <v>518</v>
      </c>
      <c r="F1853" s="23">
        <v>359000</v>
      </c>
      <c r="G1853" s="15">
        <v>2011</v>
      </c>
      <c r="H1853" s="15">
        <f>Table_7[[#This Row],[Listing Price (USD)]]/10000</f>
        <v>35.9</v>
      </c>
      <c r="I1853" s="28">
        <f>Table_7[[#This Row],[Length 
(ft)]]</f>
        <v>40</v>
      </c>
      <c r="J1853" s="28">
        <f>2020-Table_7[[#This Row],[Year]]</f>
        <v>9</v>
      </c>
      <c r="K1853">
        <v>1724759000000</v>
      </c>
      <c r="L1853">
        <v>85575.039999999994</v>
      </c>
      <c r="M1853">
        <v>1.23</v>
      </c>
      <c r="N1853">
        <v>3.8</v>
      </c>
      <c r="O1853">
        <v>37.4</v>
      </c>
      <c r="P1853">
        <v>899</v>
      </c>
      <c r="Q1853">
        <v>42</v>
      </c>
      <c r="R1853">
        <v>13.68</v>
      </c>
    </row>
    <row r="1854" spans="1:18" x14ac:dyDescent="0.25">
      <c r="A1854" s="1" t="s">
        <v>177</v>
      </c>
      <c r="B1854" s="2" t="s">
        <v>178</v>
      </c>
      <c r="C1854" s="19">
        <v>40</v>
      </c>
      <c r="D1854" s="3" t="s">
        <v>496</v>
      </c>
      <c r="E1854" s="3" t="s">
        <v>24</v>
      </c>
      <c r="F1854" s="23">
        <v>91102</v>
      </c>
      <c r="G1854" s="15">
        <v>2006</v>
      </c>
      <c r="H1854" s="15">
        <f>Table_7[[#This Row],[Listing Price (USD)]]/10000</f>
        <v>9.1102000000000007</v>
      </c>
      <c r="I1854" s="28">
        <f>Table_7[[#This Row],[Length 
(ft)]]</f>
        <v>40</v>
      </c>
      <c r="J1854" s="28">
        <f>2020-Table_7[[#This Row],[Year]]</f>
        <v>14</v>
      </c>
      <c r="K1854">
        <v>1896755301518.1399</v>
      </c>
      <c r="L1854">
        <v>31911.0357890017</v>
      </c>
      <c r="M1854">
        <v>-0.13770757391656999</v>
      </c>
      <c r="N1854">
        <v>-9.0399534112288507</v>
      </c>
      <c r="O1854">
        <v>37.4</v>
      </c>
      <c r="P1854">
        <v>899</v>
      </c>
      <c r="Q1854">
        <v>42</v>
      </c>
      <c r="R1854">
        <v>13.68</v>
      </c>
    </row>
    <row r="1855" spans="1:18" x14ac:dyDescent="0.25">
      <c r="A1855" s="1" t="s">
        <v>177</v>
      </c>
      <c r="B1855" s="2" t="s">
        <v>178</v>
      </c>
      <c r="C1855" s="19">
        <v>40</v>
      </c>
      <c r="D1855" s="3" t="s">
        <v>496</v>
      </c>
      <c r="E1855" s="3" t="s">
        <v>31</v>
      </c>
      <c r="F1855" s="23">
        <v>132402</v>
      </c>
      <c r="G1855" s="15">
        <v>2008</v>
      </c>
      <c r="H1855" s="15">
        <f>Table_7[[#This Row],[Listing Price (USD)]]/10000</f>
        <v>13.2402</v>
      </c>
      <c r="I1855" s="28">
        <f>Table_7[[#This Row],[Length 
(ft)]]</f>
        <v>40</v>
      </c>
      <c r="J1855" s="28">
        <f>2020-Table_7[[#This Row],[Year]]</f>
        <v>12</v>
      </c>
      <c r="K1855">
        <v>57472012426.685303</v>
      </c>
      <c r="L1855">
        <v>14198.753959474399</v>
      </c>
      <c r="M1855">
        <v>0.15481137456202801</v>
      </c>
      <c r="N1855">
        <v>-8.5803430210621805</v>
      </c>
      <c r="O1855">
        <v>37.4</v>
      </c>
      <c r="P1855">
        <v>899</v>
      </c>
      <c r="Q1855">
        <v>42</v>
      </c>
      <c r="R1855">
        <v>13.68</v>
      </c>
    </row>
    <row r="1856" spans="1:18" x14ac:dyDescent="0.25">
      <c r="A1856" s="1" t="s">
        <v>177</v>
      </c>
      <c r="B1856" s="2" t="s">
        <v>178</v>
      </c>
      <c r="C1856" s="19">
        <v>40</v>
      </c>
      <c r="D1856" s="3" t="s">
        <v>496</v>
      </c>
      <c r="E1856" s="3" t="s">
        <v>516</v>
      </c>
      <c r="F1856" s="23">
        <v>139690</v>
      </c>
      <c r="G1856" s="15">
        <v>2006</v>
      </c>
      <c r="H1856" s="15">
        <f>Table_7[[#This Row],[Listing Price (USD)]]/10000</f>
        <v>13.968999999999999</v>
      </c>
      <c r="I1856" s="28">
        <f>Table_7[[#This Row],[Length 
(ft)]]</f>
        <v>40</v>
      </c>
      <c r="J1856" s="28">
        <f>2020-Table_7[[#This Row],[Year]]</f>
        <v>14</v>
      </c>
      <c r="K1856">
        <v>909793466661.48096</v>
      </c>
      <c r="L1856">
        <v>52162.570115040602</v>
      </c>
      <c r="M1856">
        <v>1.2724603778917001</v>
      </c>
      <c r="N1856">
        <v>-3.88608391819609</v>
      </c>
      <c r="O1856">
        <v>37.4</v>
      </c>
      <c r="P1856">
        <v>899</v>
      </c>
      <c r="Q1856">
        <v>42</v>
      </c>
      <c r="R1856">
        <v>13.68</v>
      </c>
    </row>
    <row r="1857" spans="1:18" x14ac:dyDescent="0.25">
      <c r="A1857" s="1" t="s">
        <v>128</v>
      </c>
      <c r="B1857" s="2" t="s">
        <v>562</v>
      </c>
      <c r="C1857" s="19">
        <v>42</v>
      </c>
      <c r="D1857" s="3" t="s">
        <v>496</v>
      </c>
      <c r="E1857" s="3" t="s">
        <v>24</v>
      </c>
      <c r="F1857" s="23">
        <v>127526</v>
      </c>
      <c r="G1857" s="15">
        <v>2009</v>
      </c>
      <c r="H1857" s="15">
        <f>Table_7[[#This Row],[Listing Price (USD)]]/10000</f>
        <v>12.752599999999999</v>
      </c>
      <c r="I1857" s="28">
        <f>Table_7[[#This Row],[Length 
(ft)]]</f>
        <v>42</v>
      </c>
      <c r="J1857" s="28">
        <f>2020-Table_7[[#This Row],[Year]]</f>
        <v>11</v>
      </c>
      <c r="K1857">
        <v>1896755301518.1399</v>
      </c>
      <c r="L1857">
        <v>31911.0357890017</v>
      </c>
      <c r="M1857">
        <v>-0.13770757391656999</v>
      </c>
      <c r="N1857">
        <v>-9.0399534112288507</v>
      </c>
      <c r="O1857">
        <v>36.840000000000003</v>
      </c>
      <c r="P1857">
        <v>722</v>
      </c>
      <c r="Q1857">
        <v>42</v>
      </c>
      <c r="R1857">
        <v>13.65</v>
      </c>
    </row>
    <row r="1858" spans="1:18" x14ac:dyDescent="0.25">
      <c r="A1858" s="1" t="s">
        <v>128</v>
      </c>
      <c r="B1858" s="2" t="s">
        <v>562</v>
      </c>
      <c r="C1858" s="19">
        <v>42</v>
      </c>
      <c r="D1858" s="3" t="s">
        <v>496</v>
      </c>
      <c r="E1858" s="3" t="s">
        <v>24</v>
      </c>
      <c r="F1858" s="23">
        <v>139690</v>
      </c>
      <c r="G1858" s="15">
        <v>2008</v>
      </c>
      <c r="H1858" s="15">
        <f>Table_7[[#This Row],[Listing Price (USD)]]/10000</f>
        <v>13.968999999999999</v>
      </c>
      <c r="I1858" s="28">
        <f>Table_7[[#This Row],[Length 
(ft)]]</f>
        <v>42</v>
      </c>
      <c r="J1858" s="28">
        <f>2020-Table_7[[#This Row],[Year]]</f>
        <v>12</v>
      </c>
      <c r="K1858">
        <v>1896755301518.1399</v>
      </c>
      <c r="L1858">
        <v>31911.0357890017</v>
      </c>
      <c r="M1858">
        <v>-0.13770757391656999</v>
      </c>
      <c r="N1858">
        <v>-9.0399534112288507</v>
      </c>
      <c r="O1858">
        <v>36.840000000000003</v>
      </c>
      <c r="P1858">
        <v>722</v>
      </c>
      <c r="Q1858">
        <v>42</v>
      </c>
      <c r="R1858">
        <v>13.65</v>
      </c>
    </row>
    <row r="1859" spans="1:18" x14ac:dyDescent="0.25">
      <c r="A1859" s="1" t="s">
        <v>128</v>
      </c>
      <c r="B1859" s="2" t="s">
        <v>562</v>
      </c>
      <c r="C1859" s="19">
        <v>42</v>
      </c>
      <c r="D1859" s="3" t="s">
        <v>496</v>
      </c>
      <c r="E1859" s="3" t="s">
        <v>56</v>
      </c>
      <c r="F1859" s="23">
        <v>163962</v>
      </c>
      <c r="G1859" s="15">
        <v>2011</v>
      </c>
      <c r="H1859" s="15">
        <f>Table_7[[#This Row],[Listing Price (USD)]]/10000</f>
        <v>16.3962</v>
      </c>
      <c r="I1859" s="28">
        <f>Table_7[[#This Row],[Length 
(ft)]]</f>
        <v>42</v>
      </c>
      <c r="J1859" s="28">
        <f>2020-Table_7[[#This Row],[Year]]</f>
        <v>9</v>
      </c>
      <c r="K1859">
        <v>14933066818.9606</v>
      </c>
      <c r="L1859">
        <v>28977.565567363599</v>
      </c>
      <c r="M1859">
        <v>0.63854495677665302</v>
      </c>
      <c r="N1859">
        <v>-8.3242832319722009</v>
      </c>
      <c r="O1859">
        <v>36.840000000000003</v>
      </c>
      <c r="P1859">
        <v>722</v>
      </c>
      <c r="Q1859">
        <v>42</v>
      </c>
      <c r="R1859">
        <v>13.65</v>
      </c>
    </row>
    <row r="1860" spans="1:18" x14ac:dyDescent="0.25">
      <c r="A1860" s="1" t="s">
        <v>128</v>
      </c>
      <c r="B1860" s="2" t="s">
        <v>562</v>
      </c>
      <c r="C1860" s="19">
        <v>42</v>
      </c>
      <c r="D1860" s="3" t="s">
        <v>496</v>
      </c>
      <c r="E1860" s="3" t="s">
        <v>24</v>
      </c>
      <c r="F1860" s="23">
        <v>176107</v>
      </c>
      <c r="G1860" s="15">
        <v>2010</v>
      </c>
      <c r="H1860" s="15">
        <f>Table_7[[#This Row],[Listing Price (USD)]]/10000</f>
        <v>17.610700000000001</v>
      </c>
      <c r="I1860" s="28">
        <f>Table_7[[#This Row],[Length 
(ft)]]</f>
        <v>42</v>
      </c>
      <c r="J1860" s="28">
        <f>2020-Table_7[[#This Row],[Year]]</f>
        <v>10</v>
      </c>
      <c r="K1860">
        <v>1896755301518.1399</v>
      </c>
      <c r="L1860">
        <v>31911.0357890017</v>
      </c>
      <c r="M1860">
        <v>-0.13770757391656999</v>
      </c>
      <c r="N1860">
        <v>-9.0399534112288507</v>
      </c>
      <c r="O1860">
        <v>36.840000000000003</v>
      </c>
      <c r="P1860">
        <v>722</v>
      </c>
      <c r="Q1860">
        <v>42</v>
      </c>
      <c r="R1860">
        <v>13.65</v>
      </c>
    </row>
    <row r="1861" spans="1:18" x14ac:dyDescent="0.25">
      <c r="A1861" s="1" t="s">
        <v>257</v>
      </c>
      <c r="B1861" s="2" t="s">
        <v>258</v>
      </c>
      <c r="C1861" s="19">
        <v>38</v>
      </c>
      <c r="D1861" s="3" t="s">
        <v>496</v>
      </c>
      <c r="E1861" s="3" t="s">
        <v>3</v>
      </c>
      <c r="F1861" s="23">
        <v>200425</v>
      </c>
      <c r="G1861" s="15">
        <v>2006</v>
      </c>
      <c r="H1861" s="15">
        <f>Table_7[[#This Row],[Listing Price (USD)]]/10000</f>
        <v>20.0425</v>
      </c>
      <c r="I1861" s="28">
        <f>Table_7[[#This Row],[Length 
(ft)]]</f>
        <v>38</v>
      </c>
      <c r="J1861" s="28">
        <f>2020-Table_7[[#This Row],[Year]]</f>
        <v>14</v>
      </c>
      <c r="K1861">
        <v>2639008701648.2598</v>
      </c>
      <c r="L1861">
        <v>39055.282928075401</v>
      </c>
      <c r="M1861">
        <v>0.47649885272508302</v>
      </c>
      <c r="N1861">
        <v>-7.7845864916787102</v>
      </c>
      <c r="O1861">
        <v>34.42</v>
      </c>
      <c r="P1861">
        <v>732</v>
      </c>
      <c r="Q1861">
        <v>42</v>
      </c>
      <c r="R1861">
        <v>13.08</v>
      </c>
    </row>
    <row r="1862" spans="1:18" x14ac:dyDescent="0.25">
      <c r="A1862" s="1" t="s">
        <v>45</v>
      </c>
      <c r="B1862" s="2" t="s">
        <v>51</v>
      </c>
      <c r="C1862" s="19">
        <v>40</v>
      </c>
      <c r="D1862" s="3" t="s">
        <v>496</v>
      </c>
      <c r="E1862" s="3" t="s">
        <v>31</v>
      </c>
      <c r="F1862" s="23">
        <v>91125</v>
      </c>
      <c r="G1862" s="15">
        <v>2007</v>
      </c>
      <c r="H1862" s="15">
        <f>Table_7[[#This Row],[Listing Price (USD)]]/10000</f>
        <v>9.1125000000000007</v>
      </c>
      <c r="I1862" s="28">
        <f>Table_7[[#This Row],[Length 
(ft)]]</f>
        <v>40</v>
      </c>
      <c r="J1862" s="28">
        <f>2020-Table_7[[#This Row],[Year]]</f>
        <v>13</v>
      </c>
      <c r="K1862">
        <v>57472012426.685303</v>
      </c>
      <c r="L1862">
        <v>14198.753959474399</v>
      </c>
      <c r="M1862">
        <v>0.15481137456202801</v>
      </c>
      <c r="N1862">
        <v>-8.5803430210621805</v>
      </c>
      <c r="O1862">
        <v>37.4</v>
      </c>
      <c r="P1862">
        <v>899</v>
      </c>
      <c r="Q1862">
        <v>42</v>
      </c>
      <c r="R1862">
        <v>13.68</v>
      </c>
    </row>
    <row r="1863" spans="1:18" x14ac:dyDescent="0.25">
      <c r="A1863" s="1" t="s">
        <v>304</v>
      </c>
      <c r="B1863" s="3" t="s">
        <v>368</v>
      </c>
      <c r="C1863" s="19">
        <v>38</v>
      </c>
      <c r="D1863" s="3" t="s">
        <v>495</v>
      </c>
      <c r="E1863" s="3" t="s">
        <v>500</v>
      </c>
      <c r="F1863" s="23">
        <v>350000</v>
      </c>
      <c r="G1863" s="15">
        <v>2015</v>
      </c>
      <c r="H1863" s="15">
        <f>Table_7[[#This Row],[Listing Price (USD)]]/10000</f>
        <v>35</v>
      </c>
      <c r="I1863" s="28">
        <f>Table_7[[#This Row],[Length 
(ft)]]</f>
        <v>38</v>
      </c>
      <c r="J1863" s="28">
        <f>2020-Table_7[[#This Row],[Year]]</f>
        <v>5</v>
      </c>
      <c r="K1863">
        <v>3007188000000</v>
      </c>
      <c r="L1863">
        <v>76131.839999999997</v>
      </c>
      <c r="M1863">
        <v>1.23</v>
      </c>
      <c r="N1863">
        <v>2.7</v>
      </c>
      <c r="O1863">
        <v>34.42</v>
      </c>
      <c r="P1863">
        <v>732</v>
      </c>
      <c r="Q1863">
        <v>42</v>
      </c>
      <c r="R1863">
        <v>13.08</v>
      </c>
    </row>
    <row r="1864" spans="1:18" x14ac:dyDescent="0.25">
      <c r="A1864" s="1" t="s">
        <v>117</v>
      </c>
      <c r="B1864" s="2">
        <v>42</v>
      </c>
      <c r="C1864" s="19">
        <v>42</v>
      </c>
      <c r="D1864" s="3" t="s">
        <v>496</v>
      </c>
      <c r="E1864" s="3" t="s">
        <v>22</v>
      </c>
      <c r="F1864" s="23">
        <v>241692</v>
      </c>
      <c r="G1864" s="15">
        <v>2016</v>
      </c>
      <c r="H1864" s="15">
        <f>Table_7[[#This Row],[Listing Price (USD)]]/10000</f>
        <v>24.1692</v>
      </c>
      <c r="I1864" s="28">
        <f>Table_7[[#This Row],[Length 
(ft)]]</f>
        <v>42</v>
      </c>
      <c r="J1864" s="28">
        <f>2020-Table_7[[#This Row],[Year]]</f>
        <v>4</v>
      </c>
      <c r="K1864">
        <v>3889668895299.6201</v>
      </c>
      <c r="L1864">
        <v>46772.825350754501</v>
      </c>
      <c r="M1864">
        <v>0.50668988995327402</v>
      </c>
      <c r="N1864">
        <v>-3.6967887053804298</v>
      </c>
      <c r="O1864">
        <v>37.729999999999997</v>
      </c>
      <c r="P1864">
        <v>1000</v>
      </c>
      <c r="Q1864">
        <v>41</v>
      </c>
      <c r="R1864">
        <v>12.83</v>
      </c>
    </row>
    <row r="1865" spans="1:18" x14ac:dyDescent="0.25">
      <c r="A1865" s="1" t="s">
        <v>117</v>
      </c>
      <c r="B1865" s="2">
        <v>42</v>
      </c>
      <c r="C1865" s="19">
        <v>42</v>
      </c>
      <c r="D1865" s="3" t="s">
        <v>496</v>
      </c>
      <c r="E1865" s="3" t="s">
        <v>22</v>
      </c>
      <c r="F1865" s="23">
        <v>255086</v>
      </c>
      <c r="G1865" s="15">
        <v>2016</v>
      </c>
      <c r="H1865" s="15">
        <f>Table_7[[#This Row],[Listing Price (USD)]]/10000</f>
        <v>25.508600000000001</v>
      </c>
      <c r="I1865" s="28">
        <f>Table_7[[#This Row],[Length 
(ft)]]</f>
        <v>42</v>
      </c>
      <c r="J1865" s="28">
        <f>2020-Table_7[[#This Row],[Year]]</f>
        <v>4</v>
      </c>
      <c r="K1865">
        <v>3889668895299.6201</v>
      </c>
      <c r="L1865">
        <v>46772.825350754501</v>
      </c>
      <c r="M1865">
        <v>0.50668988995327402</v>
      </c>
      <c r="N1865">
        <v>-3.6967887053804298</v>
      </c>
      <c r="O1865">
        <v>37.729999999999997</v>
      </c>
      <c r="P1865">
        <v>1000</v>
      </c>
      <c r="Q1865">
        <v>41</v>
      </c>
      <c r="R1865">
        <v>12.83</v>
      </c>
    </row>
    <row r="1866" spans="1:18" x14ac:dyDescent="0.25">
      <c r="A1866" s="1" t="s">
        <v>117</v>
      </c>
      <c r="B1866" s="2">
        <v>42</v>
      </c>
      <c r="C1866" s="19">
        <v>42</v>
      </c>
      <c r="D1866" s="3" t="s">
        <v>496</v>
      </c>
      <c r="E1866" s="3" t="s">
        <v>516</v>
      </c>
      <c r="F1866" s="23">
        <v>361980</v>
      </c>
      <c r="G1866" s="15">
        <v>2018</v>
      </c>
      <c r="H1866" s="15">
        <f>Table_7[[#This Row],[Listing Price (USD)]]/10000</f>
        <v>36.198</v>
      </c>
      <c r="I1866" s="28">
        <f>Table_7[[#This Row],[Length 
(ft)]]</f>
        <v>42</v>
      </c>
      <c r="J1866" s="28">
        <f>2020-Table_7[[#This Row],[Year]]</f>
        <v>2</v>
      </c>
      <c r="K1866">
        <v>909793466661.48096</v>
      </c>
      <c r="L1866">
        <v>52162.570115040602</v>
      </c>
      <c r="M1866">
        <v>1.2724603778917001</v>
      </c>
      <c r="N1866">
        <v>-3.88608391819609</v>
      </c>
      <c r="O1866">
        <v>37.729999999999997</v>
      </c>
      <c r="P1866">
        <v>1000</v>
      </c>
      <c r="Q1866">
        <v>41</v>
      </c>
      <c r="R1866">
        <v>12.83</v>
      </c>
    </row>
    <row r="1867" spans="1:18" x14ac:dyDescent="0.25">
      <c r="A1867" s="1" t="s">
        <v>195</v>
      </c>
      <c r="B1867" s="3">
        <v>409</v>
      </c>
      <c r="C1867" s="19">
        <v>41</v>
      </c>
      <c r="D1867" s="3" t="s">
        <v>495</v>
      </c>
      <c r="E1867" s="3" t="s">
        <v>500</v>
      </c>
      <c r="F1867" s="23">
        <v>219000</v>
      </c>
      <c r="G1867" s="15">
        <v>2012</v>
      </c>
      <c r="H1867" s="15">
        <f>Table_7[[#This Row],[Listing Price (USD)]]/10000</f>
        <v>21.9</v>
      </c>
      <c r="I1867" s="28">
        <f>Table_7[[#This Row],[Length 
(ft)]]</f>
        <v>41</v>
      </c>
      <c r="J1867" s="28">
        <f>2020-Table_7[[#This Row],[Year]]</f>
        <v>8</v>
      </c>
      <c r="K1867">
        <v>3007188000000</v>
      </c>
      <c r="L1867">
        <v>76131.839999999997</v>
      </c>
      <c r="M1867">
        <v>1.23</v>
      </c>
      <c r="N1867">
        <v>2.7</v>
      </c>
      <c r="O1867">
        <v>37.729999999999997</v>
      </c>
      <c r="P1867">
        <v>1000</v>
      </c>
      <c r="Q1867">
        <v>41</v>
      </c>
      <c r="R1867">
        <v>12.83</v>
      </c>
    </row>
    <row r="1868" spans="1:18" x14ac:dyDescent="0.25">
      <c r="A1868" s="1" t="s">
        <v>177</v>
      </c>
      <c r="B1868" s="2">
        <v>418</v>
      </c>
      <c r="C1868" s="19">
        <v>41</v>
      </c>
      <c r="D1868" s="3" t="s">
        <v>496</v>
      </c>
      <c r="E1868" s="3" t="s">
        <v>31</v>
      </c>
      <c r="F1868" s="23">
        <v>163741</v>
      </c>
      <c r="G1868" s="15">
        <v>2018</v>
      </c>
      <c r="H1868" s="15">
        <f>Table_7[[#This Row],[Listing Price (USD)]]/10000</f>
        <v>16.374099999999999</v>
      </c>
      <c r="I1868" s="28">
        <f>Table_7[[#This Row],[Length 
(ft)]]</f>
        <v>41</v>
      </c>
      <c r="J1868" s="28">
        <f>2020-Table_7[[#This Row],[Year]]</f>
        <v>2</v>
      </c>
      <c r="K1868">
        <v>57472012426.685303</v>
      </c>
      <c r="L1868">
        <v>14198.753959474399</v>
      </c>
      <c r="M1868">
        <v>0.15481137456202801</v>
      </c>
      <c r="N1868">
        <v>-8.5803430210621805</v>
      </c>
      <c r="O1868">
        <v>37.729999999999997</v>
      </c>
      <c r="P1868">
        <v>1000</v>
      </c>
      <c r="Q1868">
        <v>41</v>
      </c>
      <c r="R1868">
        <v>12.83</v>
      </c>
    </row>
    <row r="1869" spans="1:18" x14ac:dyDescent="0.25">
      <c r="A1869" s="1" t="s">
        <v>177</v>
      </c>
      <c r="B1869" s="2">
        <v>418</v>
      </c>
      <c r="C1869" s="19">
        <v>41</v>
      </c>
      <c r="D1869" s="3" t="s">
        <v>496</v>
      </c>
      <c r="E1869" s="3" t="s">
        <v>9</v>
      </c>
      <c r="F1869" s="23">
        <v>278165</v>
      </c>
      <c r="G1869" s="15">
        <v>2018</v>
      </c>
      <c r="H1869" s="15">
        <f>Table_7[[#This Row],[Listing Price (USD)]]/10000</f>
        <v>27.816500000000001</v>
      </c>
      <c r="I1869" s="28">
        <f>Table_7[[#This Row],[Length 
(ft)]]</f>
        <v>41</v>
      </c>
      <c r="J1869" s="28">
        <f>2020-Table_7[[#This Row],[Year]]</f>
        <v>2</v>
      </c>
      <c r="K1869">
        <v>1276962685648.25</v>
      </c>
      <c r="L1869">
        <v>26959.675436732599</v>
      </c>
      <c r="M1869">
        <v>-0.32275301729970501</v>
      </c>
      <c r="N1869">
        <v>-11.3254383222864</v>
      </c>
      <c r="O1869">
        <v>37.729999999999997</v>
      </c>
      <c r="P1869">
        <v>1000</v>
      </c>
      <c r="Q1869">
        <v>41</v>
      </c>
      <c r="R1869">
        <v>12.83</v>
      </c>
    </row>
    <row r="1870" spans="1:18" x14ac:dyDescent="0.25">
      <c r="A1870" s="1" t="s">
        <v>177</v>
      </c>
      <c r="B1870" s="2">
        <v>418</v>
      </c>
      <c r="C1870" s="19">
        <v>41</v>
      </c>
      <c r="D1870" s="3" t="s">
        <v>496</v>
      </c>
      <c r="E1870" s="3" t="s">
        <v>9</v>
      </c>
      <c r="F1870" s="23">
        <v>278981</v>
      </c>
      <c r="G1870" s="15">
        <v>2019</v>
      </c>
      <c r="H1870" s="15">
        <f>Table_7[[#This Row],[Listing Price (USD)]]/10000</f>
        <v>27.898099999999999</v>
      </c>
      <c r="I1870" s="28">
        <f>Table_7[[#This Row],[Length 
(ft)]]</f>
        <v>41</v>
      </c>
      <c r="J1870" s="28">
        <f>2020-Table_7[[#This Row],[Year]]</f>
        <v>1</v>
      </c>
      <c r="K1870">
        <v>1276962685648.25</v>
      </c>
      <c r="L1870">
        <v>26959.675436732599</v>
      </c>
      <c r="M1870">
        <v>-0.32275301729970501</v>
      </c>
      <c r="N1870">
        <v>-11.3254383222864</v>
      </c>
      <c r="O1870">
        <v>37.729999999999997</v>
      </c>
      <c r="P1870">
        <v>1000</v>
      </c>
      <c r="Q1870">
        <v>41</v>
      </c>
      <c r="R1870">
        <v>12.83</v>
      </c>
    </row>
    <row r="1871" spans="1:18" x14ac:dyDescent="0.25">
      <c r="A1871" s="1" t="s">
        <v>270</v>
      </c>
      <c r="B1871" s="3" t="s">
        <v>364</v>
      </c>
      <c r="C1871" s="19">
        <v>41</v>
      </c>
      <c r="D1871" s="3" t="s">
        <v>495</v>
      </c>
      <c r="E1871" s="3" t="s">
        <v>333</v>
      </c>
      <c r="F1871" s="23">
        <v>230000</v>
      </c>
      <c r="G1871" s="15">
        <v>2015</v>
      </c>
      <c r="H1871" s="15">
        <f>Table_7[[#This Row],[Listing Price (USD)]]/10000</f>
        <v>23</v>
      </c>
      <c r="I1871" s="28">
        <f>Table_7[[#This Row],[Length 
(ft)]]</f>
        <v>41</v>
      </c>
      <c r="J1871" s="28">
        <f>2020-Table_7[[#This Row],[Year]]</f>
        <v>5</v>
      </c>
      <c r="K1871">
        <v>1106036000000</v>
      </c>
      <c r="L1871">
        <v>51276.72</v>
      </c>
      <c r="M1871">
        <v>1.23</v>
      </c>
      <c r="N1871">
        <v>2.9</v>
      </c>
      <c r="O1871">
        <v>37.729999999999997</v>
      </c>
      <c r="P1871">
        <v>1000</v>
      </c>
      <c r="Q1871">
        <v>41</v>
      </c>
      <c r="R1871">
        <v>12.83</v>
      </c>
    </row>
    <row r="1872" spans="1:18" x14ac:dyDescent="0.25">
      <c r="A1872" s="1" t="s">
        <v>187</v>
      </c>
      <c r="B1872" s="3">
        <v>40</v>
      </c>
      <c r="C1872" s="19">
        <v>40</v>
      </c>
      <c r="D1872" s="3" t="s">
        <v>495</v>
      </c>
      <c r="E1872" s="3" t="s">
        <v>550</v>
      </c>
      <c r="F1872" s="23">
        <v>174900</v>
      </c>
      <c r="G1872" s="15">
        <v>2013</v>
      </c>
      <c r="H1872" s="15">
        <f>Table_7[[#This Row],[Listing Price (USD)]]/10000</f>
        <v>17.489999999999998</v>
      </c>
      <c r="I1872" s="28">
        <f>Table_7[[#This Row],[Length 
(ft)]]</f>
        <v>40</v>
      </c>
      <c r="J1872" s="28">
        <f>2020-Table_7[[#This Row],[Year]]</f>
        <v>7</v>
      </c>
      <c r="K1872">
        <v>677561000000</v>
      </c>
      <c r="L1872">
        <v>57466.28</v>
      </c>
      <c r="M1872">
        <v>1.23</v>
      </c>
      <c r="N1872">
        <v>3.5</v>
      </c>
      <c r="O1872">
        <v>32.5</v>
      </c>
      <c r="P1872">
        <v>787</v>
      </c>
      <c r="Q1872">
        <v>40</v>
      </c>
      <c r="R1872">
        <v>13.42</v>
      </c>
    </row>
    <row r="1873" spans="1:18" x14ac:dyDescent="0.25">
      <c r="A1873" s="1" t="s">
        <v>187</v>
      </c>
      <c r="B1873" s="3">
        <v>40</v>
      </c>
      <c r="C1873" s="19">
        <v>40</v>
      </c>
      <c r="D1873" s="3" t="s">
        <v>495</v>
      </c>
      <c r="E1873" s="3" t="s">
        <v>527</v>
      </c>
      <c r="F1873" s="23">
        <v>186500</v>
      </c>
      <c r="G1873" s="15">
        <v>2013</v>
      </c>
      <c r="H1873" s="15">
        <f>Table_7[[#This Row],[Listing Price (USD)]]/10000</f>
        <v>18.649999999999999</v>
      </c>
      <c r="I1873" s="28">
        <f>Table_7[[#This Row],[Length 
(ft)]]</f>
        <v>40</v>
      </c>
      <c r="J1873" s="28">
        <f>2020-Table_7[[#This Row],[Year]]</f>
        <v>7</v>
      </c>
      <c r="K1873">
        <v>582477000000</v>
      </c>
      <c r="L1873">
        <v>82947.67</v>
      </c>
      <c r="M1873">
        <v>1.23</v>
      </c>
      <c r="N1873">
        <v>2.7</v>
      </c>
      <c r="O1873">
        <v>32.5</v>
      </c>
      <c r="P1873">
        <v>787</v>
      </c>
      <c r="Q1873">
        <v>40</v>
      </c>
      <c r="R1873">
        <v>13.42</v>
      </c>
    </row>
    <row r="1874" spans="1:18" x14ac:dyDescent="0.25">
      <c r="A1874" s="1" t="s">
        <v>14</v>
      </c>
      <c r="B1874" s="2" t="s">
        <v>16</v>
      </c>
      <c r="C1874" s="19">
        <v>38</v>
      </c>
      <c r="D1874" s="3" t="s">
        <v>496</v>
      </c>
      <c r="E1874" s="3" t="s">
        <v>31</v>
      </c>
      <c r="F1874" s="23">
        <v>54661</v>
      </c>
      <c r="G1874" s="15">
        <v>2005</v>
      </c>
      <c r="H1874" s="15">
        <f>Table_7[[#This Row],[Listing Price (USD)]]/10000</f>
        <v>5.4661</v>
      </c>
      <c r="I1874" s="28">
        <f>Table_7[[#This Row],[Length 
(ft)]]</f>
        <v>38</v>
      </c>
      <c r="J1874" s="28">
        <f>2020-Table_7[[#This Row],[Year]]</f>
        <v>15</v>
      </c>
      <c r="K1874">
        <v>57472012426.685303</v>
      </c>
      <c r="L1874">
        <v>14198.753959474399</v>
      </c>
      <c r="M1874">
        <v>0.15481137456202801</v>
      </c>
      <c r="N1874">
        <v>-8.5803430210621805</v>
      </c>
      <c r="O1874">
        <v>32.479999999999997</v>
      </c>
      <c r="P1874">
        <v>742.71199999999999</v>
      </c>
      <c r="Q1874">
        <v>40</v>
      </c>
      <c r="R1874">
        <v>12.8</v>
      </c>
    </row>
    <row r="1875" spans="1:18" x14ac:dyDescent="0.25">
      <c r="A1875" s="1" t="s">
        <v>14</v>
      </c>
      <c r="B1875" s="2" t="s">
        <v>16</v>
      </c>
      <c r="C1875" s="19">
        <v>38</v>
      </c>
      <c r="D1875" s="3" t="s">
        <v>496</v>
      </c>
      <c r="E1875" s="3" t="s">
        <v>31</v>
      </c>
      <c r="F1875" s="23">
        <v>66825</v>
      </c>
      <c r="G1875" s="15">
        <v>2005</v>
      </c>
      <c r="H1875" s="15">
        <f>Table_7[[#This Row],[Listing Price (USD)]]/10000</f>
        <v>6.6825000000000001</v>
      </c>
      <c r="I1875" s="28">
        <f>Table_7[[#This Row],[Length 
(ft)]]</f>
        <v>38</v>
      </c>
      <c r="J1875" s="28">
        <f>2020-Table_7[[#This Row],[Year]]</f>
        <v>15</v>
      </c>
      <c r="K1875">
        <v>57472012426.685303</v>
      </c>
      <c r="L1875">
        <v>14198.753959474399</v>
      </c>
      <c r="M1875">
        <v>0.15481137456202801</v>
      </c>
      <c r="N1875">
        <v>-8.5803430210621805</v>
      </c>
      <c r="O1875">
        <v>32.479999999999997</v>
      </c>
      <c r="P1875">
        <v>742.71199999999999</v>
      </c>
      <c r="Q1875">
        <v>40</v>
      </c>
      <c r="R1875">
        <v>12.8</v>
      </c>
    </row>
    <row r="1876" spans="1:18" x14ac:dyDescent="0.25">
      <c r="A1876" s="1" t="s">
        <v>14</v>
      </c>
      <c r="B1876" s="2" t="s">
        <v>16</v>
      </c>
      <c r="C1876" s="19">
        <v>38</v>
      </c>
      <c r="D1876" s="3" t="s">
        <v>496</v>
      </c>
      <c r="E1876" s="3" t="s">
        <v>31</v>
      </c>
      <c r="F1876" s="23">
        <v>70452</v>
      </c>
      <c r="G1876" s="15">
        <v>2009</v>
      </c>
      <c r="H1876" s="15">
        <f>Table_7[[#This Row],[Listing Price (USD)]]/10000</f>
        <v>7.0452000000000004</v>
      </c>
      <c r="I1876" s="28">
        <f>Table_7[[#This Row],[Length 
(ft)]]</f>
        <v>38</v>
      </c>
      <c r="J1876" s="28">
        <f>2020-Table_7[[#This Row],[Year]]</f>
        <v>11</v>
      </c>
      <c r="K1876">
        <v>57472012426.685303</v>
      </c>
      <c r="L1876">
        <v>14198.753959474399</v>
      </c>
      <c r="M1876">
        <v>0.15481137456202801</v>
      </c>
      <c r="N1876">
        <v>-8.5803430210621805</v>
      </c>
      <c r="O1876">
        <v>32.479999999999997</v>
      </c>
      <c r="P1876">
        <v>742.71199999999999</v>
      </c>
      <c r="Q1876">
        <v>40</v>
      </c>
      <c r="R1876">
        <v>12.8</v>
      </c>
    </row>
    <row r="1877" spans="1:18" x14ac:dyDescent="0.25">
      <c r="A1877" s="1" t="s">
        <v>14</v>
      </c>
      <c r="B1877" s="2" t="s">
        <v>575</v>
      </c>
      <c r="C1877" s="19">
        <v>38</v>
      </c>
      <c r="D1877" s="3" t="s">
        <v>496</v>
      </c>
      <c r="E1877" s="3" t="s">
        <v>31</v>
      </c>
      <c r="F1877" s="23">
        <v>75178</v>
      </c>
      <c r="G1877" s="15">
        <v>2005</v>
      </c>
      <c r="H1877" s="15">
        <f>Table_7[[#This Row],[Listing Price (USD)]]/10000</f>
        <v>7.5178000000000003</v>
      </c>
      <c r="I1877" s="28">
        <f>Table_7[[#This Row],[Length 
(ft)]]</f>
        <v>38</v>
      </c>
      <c r="J1877" s="28">
        <f>2020-Table_7[[#This Row],[Year]]</f>
        <v>15</v>
      </c>
      <c r="K1877">
        <v>57472012426.685303</v>
      </c>
      <c r="L1877">
        <v>14198.753959474399</v>
      </c>
      <c r="M1877">
        <v>0.15481137456202801</v>
      </c>
      <c r="N1877">
        <v>-8.5803430210621805</v>
      </c>
      <c r="O1877">
        <v>32.479999999999997</v>
      </c>
      <c r="P1877">
        <v>742.71199999999999</v>
      </c>
      <c r="Q1877">
        <v>40</v>
      </c>
      <c r="R1877">
        <v>12.8</v>
      </c>
    </row>
    <row r="1878" spans="1:18" x14ac:dyDescent="0.25">
      <c r="A1878" s="1" t="s">
        <v>14</v>
      </c>
      <c r="B1878" s="2" t="s">
        <v>16</v>
      </c>
      <c r="C1878" s="19">
        <v>38</v>
      </c>
      <c r="D1878" s="3" t="s">
        <v>496</v>
      </c>
      <c r="E1878" s="3" t="s">
        <v>9</v>
      </c>
      <c r="F1878" s="23">
        <v>82599</v>
      </c>
      <c r="G1878" s="15">
        <v>2008</v>
      </c>
      <c r="H1878" s="15">
        <f>Table_7[[#This Row],[Listing Price (USD)]]/10000</f>
        <v>8.2599</v>
      </c>
      <c r="I1878" s="28">
        <f>Table_7[[#This Row],[Length 
(ft)]]</f>
        <v>38</v>
      </c>
      <c r="J1878" s="28">
        <f>2020-Table_7[[#This Row],[Year]]</f>
        <v>12</v>
      </c>
      <c r="K1878">
        <v>1276962685648.25</v>
      </c>
      <c r="L1878">
        <v>26959.675436732599</v>
      </c>
      <c r="M1878">
        <v>-0.32275301729970501</v>
      </c>
      <c r="N1878">
        <v>-11.3254383222864</v>
      </c>
      <c r="O1878">
        <v>32.479999999999997</v>
      </c>
      <c r="P1878">
        <v>742.71199999999999</v>
      </c>
      <c r="Q1878">
        <v>40</v>
      </c>
      <c r="R1878">
        <v>12.8</v>
      </c>
    </row>
    <row r="1879" spans="1:18" x14ac:dyDescent="0.25">
      <c r="A1879" s="1" t="s">
        <v>14</v>
      </c>
      <c r="B1879" s="2" t="s">
        <v>16</v>
      </c>
      <c r="C1879" s="19">
        <v>38</v>
      </c>
      <c r="D1879" s="3" t="s">
        <v>496</v>
      </c>
      <c r="E1879" s="3" t="s">
        <v>18</v>
      </c>
      <c r="F1879" s="23">
        <v>91101</v>
      </c>
      <c r="G1879" s="15">
        <v>2005</v>
      </c>
      <c r="H1879" s="15">
        <f>Table_7[[#This Row],[Listing Price (USD)]]/10000</f>
        <v>9.1100999999999992</v>
      </c>
      <c r="I1879" s="28">
        <f>Table_7[[#This Row],[Length 
(ft)]]</f>
        <v>38</v>
      </c>
      <c r="J1879" s="28">
        <f>2020-Table_7[[#This Row],[Year]]</f>
        <v>15</v>
      </c>
      <c r="K1879">
        <v>188925995936.80701</v>
      </c>
      <c r="L1879">
        <v>17658.947301119199</v>
      </c>
      <c r="M1879">
        <v>-1.2479835558140799</v>
      </c>
      <c r="N1879">
        <v>-9.0040436420214593</v>
      </c>
      <c r="O1879">
        <v>32.479999999999997</v>
      </c>
      <c r="P1879">
        <v>742.71199999999999</v>
      </c>
      <c r="Q1879">
        <v>40</v>
      </c>
      <c r="R1879">
        <v>12.8</v>
      </c>
    </row>
    <row r="1880" spans="1:18" x14ac:dyDescent="0.25">
      <c r="A1880" s="1" t="s">
        <v>14</v>
      </c>
      <c r="B1880" s="3" t="s">
        <v>16</v>
      </c>
      <c r="C1880" s="19">
        <v>38</v>
      </c>
      <c r="D1880" s="3" t="s">
        <v>497</v>
      </c>
      <c r="E1880" s="3" t="s">
        <v>483</v>
      </c>
      <c r="F1880" s="23">
        <v>92351</v>
      </c>
      <c r="G1880" s="15">
        <v>2008</v>
      </c>
      <c r="H1880" s="15">
        <f>Table_7[[#This Row],[Listing Price (USD)]]/10000</f>
        <v>9.2350999999999992</v>
      </c>
      <c r="I1880" s="28">
        <f>Table_7[[#This Row],[Length 
(ft)]]</f>
        <v>38</v>
      </c>
      <c r="J1880" s="28">
        <f>2020-Table_7[[#This Row],[Year]]</f>
        <v>12</v>
      </c>
      <c r="K1880">
        <v>4200000000</v>
      </c>
      <c r="L1880">
        <v>39553.199999999997</v>
      </c>
      <c r="M1880">
        <v>2.5</v>
      </c>
      <c r="N1880">
        <v>-2.1</v>
      </c>
      <c r="O1880">
        <v>32.479999999999997</v>
      </c>
      <c r="P1880">
        <v>742.71199999999999</v>
      </c>
      <c r="Q1880">
        <v>40</v>
      </c>
      <c r="R1880">
        <v>12.8</v>
      </c>
    </row>
    <row r="1881" spans="1:18" x14ac:dyDescent="0.25">
      <c r="A1881" s="1" t="s">
        <v>14</v>
      </c>
      <c r="B1881" s="2" t="s">
        <v>16</v>
      </c>
      <c r="C1881" s="19">
        <v>38</v>
      </c>
      <c r="D1881" s="3" t="s">
        <v>496</v>
      </c>
      <c r="E1881" s="3" t="s">
        <v>516</v>
      </c>
      <c r="F1881" s="23">
        <v>96568</v>
      </c>
      <c r="G1881" s="15">
        <v>2009</v>
      </c>
      <c r="H1881" s="15">
        <f>Table_7[[#This Row],[Listing Price (USD)]]/10000</f>
        <v>9.6568000000000005</v>
      </c>
      <c r="I1881" s="28">
        <f>Table_7[[#This Row],[Length 
(ft)]]</f>
        <v>38</v>
      </c>
      <c r="J1881" s="28">
        <f>2020-Table_7[[#This Row],[Year]]</f>
        <v>11</v>
      </c>
      <c r="K1881">
        <v>909793466661.48096</v>
      </c>
      <c r="L1881">
        <v>52162.570115040602</v>
      </c>
      <c r="M1881">
        <v>1.2724603778917001</v>
      </c>
      <c r="N1881">
        <v>-3.88608391819609</v>
      </c>
      <c r="O1881">
        <v>32.479999999999997</v>
      </c>
      <c r="P1881">
        <v>742.71199999999999</v>
      </c>
      <c r="Q1881">
        <v>40</v>
      </c>
      <c r="R1881">
        <v>12.8</v>
      </c>
    </row>
    <row r="1882" spans="1:18" x14ac:dyDescent="0.25">
      <c r="A1882" s="1" t="s">
        <v>14</v>
      </c>
      <c r="B1882" s="2" t="s">
        <v>16</v>
      </c>
      <c r="C1882" s="19">
        <v>38</v>
      </c>
      <c r="D1882" s="3" t="s">
        <v>496</v>
      </c>
      <c r="E1882" s="3" t="s">
        <v>24</v>
      </c>
      <c r="F1882" s="23">
        <v>97176</v>
      </c>
      <c r="G1882" s="15">
        <v>2008</v>
      </c>
      <c r="H1882" s="15">
        <f>Table_7[[#This Row],[Listing Price (USD)]]/10000</f>
        <v>9.7175999999999991</v>
      </c>
      <c r="I1882" s="28">
        <f>Table_7[[#This Row],[Length 
(ft)]]</f>
        <v>38</v>
      </c>
      <c r="J1882" s="28">
        <f>2020-Table_7[[#This Row],[Year]]</f>
        <v>12</v>
      </c>
      <c r="K1882">
        <v>1896755301518.1399</v>
      </c>
      <c r="L1882">
        <v>31911.0357890017</v>
      </c>
      <c r="M1882">
        <v>-0.13770757391656999</v>
      </c>
      <c r="N1882">
        <v>-9.0399534112288507</v>
      </c>
      <c r="O1882">
        <v>32.479999999999997</v>
      </c>
      <c r="P1882">
        <v>742.71199999999999</v>
      </c>
      <c r="Q1882">
        <v>40</v>
      </c>
      <c r="R1882">
        <v>12.8</v>
      </c>
    </row>
    <row r="1883" spans="1:18" x14ac:dyDescent="0.25">
      <c r="A1883" s="1" t="s">
        <v>14</v>
      </c>
      <c r="B1883" s="2" t="s">
        <v>15</v>
      </c>
      <c r="C1883" s="19">
        <v>38</v>
      </c>
      <c r="D1883" s="3" t="s">
        <v>496</v>
      </c>
      <c r="E1883" s="3" t="s">
        <v>31</v>
      </c>
      <c r="F1883" s="23">
        <v>53447</v>
      </c>
      <c r="G1883" s="15">
        <v>2005</v>
      </c>
      <c r="H1883" s="15">
        <f>Table_7[[#This Row],[Listing Price (USD)]]/10000</f>
        <v>5.3446999999999996</v>
      </c>
      <c r="I1883" s="28">
        <f>Table_7[[#This Row],[Length 
(ft)]]</f>
        <v>38</v>
      </c>
      <c r="J1883" s="28">
        <f>2020-Table_7[[#This Row],[Year]]</f>
        <v>15</v>
      </c>
      <c r="K1883">
        <v>57472012426.685303</v>
      </c>
      <c r="L1883">
        <v>14198.753959474399</v>
      </c>
      <c r="M1883">
        <v>0.15481137456202801</v>
      </c>
      <c r="N1883">
        <v>-8.5803430210621805</v>
      </c>
      <c r="O1883">
        <v>32.479999999999997</v>
      </c>
      <c r="P1883">
        <v>742.71199999999999</v>
      </c>
      <c r="Q1883">
        <v>40</v>
      </c>
      <c r="R1883">
        <v>12.8</v>
      </c>
    </row>
    <row r="1884" spans="1:18" x14ac:dyDescent="0.25">
      <c r="A1884" s="1" t="s">
        <v>14</v>
      </c>
      <c r="B1884" s="2" t="s">
        <v>15</v>
      </c>
      <c r="C1884" s="19">
        <v>38</v>
      </c>
      <c r="D1884" s="3" t="s">
        <v>496</v>
      </c>
      <c r="E1884" s="3" t="s">
        <v>24</v>
      </c>
      <c r="F1884" s="23">
        <v>69238</v>
      </c>
      <c r="G1884" s="15">
        <v>2008</v>
      </c>
      <c r="H1884" s="15">
        <f>Table_7[[#This Row],[Listing Price (USD)]]/10000</f>
        <v>6.9238</v>
      </c>
      <c r="I1884" s="28">
        <f>Table_7[[#This Row],[Length 
(ft)]]</f>
        <v>38</v>
      </c>
      <c r="J1884" s="28">
        <f>2020-Table_7[[#This Row],[Year]]</f>
        <v>12</v>
      </c>
      <c r="K1884">
        <v>1896755301518.1399</v>
      </c>
      <c r="L1884">
        <v>31911.0357890017</v>
      </c>
      <c r="M1884">
        <v>-0.13770757391656999</v>
      </c>
      <c r="N1884">
        <v>-9.0399534112288507</v>
      </c>
      <c r="O1884">
        <v>32.479999999999997</v>
      </c>
      <c r="P1884">
        <v>742.71199999999999</v>
      </c>
      <c r="Q1884">
        <v>40</v>
      </c>
      <c r="R1884">
        <v>12.8</v>
      </c>
    </row>
    <row r="1885" spans="1:18" x14ac:dyDescent="0.25">
      <c r="A1885" s="1" t="s">
        <v>177</v>
      </c>
      <c r="B1885" s="2" t="s">
        <v>179</v>
      </c>
      <c r="C1885" s="19">
        <v>40</v>
      </c>
      <c r="D1885" s="3" t="s">
        <v>496</v>
      </c>
      <c r="E1885" s="3" t="s">
        <v>18</v>
      </c>
      <c r="F1885" s="23">
        <v>115396</v>
      </c>
      <c r="G1885" s="15">
        <v>2008</v>
      </c>
      <c r="H1885" s="15">
        <f>Table_7[[#This Row],[Listing Price (USD)]]/10000</f>
        <v>11.5396</v>
      </c>
      <c r="I1885" s="28">
        <f>Table_7[[#This Row],[Length 
(ft)]]</f>
        <v>40</v>
      </c>
      <c r="J1885" s="28">
        <f>2020-Table_7[[#This Row],[Year]]</f>
        <v>12</v>
      </c>
      <c r="K1885">
        <v>188925995936.80701</v>
      </c>
      <c r="L1885">
        <v>17658.947301119199</v>
      </c>
      <c r="M1885">
        <v>-1.2479835558140799</v>
      </c>
      <c r="N1885">
        <v>-9.0040436420214593</v>
      </c>
      <c r="O1885">
        <v>34.450000000000003</v>
      </c>
      <c r="P1885">
        <v>868.00199999999995</v>
      </c>
      <c r="Q1885">
        <v>40</v>
      </c>
      <c r="R1885">
        <v>12.53</v>
      </c>
    </row>
    <row r="1886" spans="1:18" x14ac:dyDescent="0.25">
      <c r="A1886" s="1" t="s">
        <v>187</v>
      </c>
      <c r="B1886" s="3" t="s">
        <v>339</v>
      </c>
      <c r="C1886" s="19">
        <v>40</v>
      </c>
      <c r="D1886" s="3" t="s">
        <v>495</v>
      </c>
      <c r="E1886" s="3" t="s">
        <v>515</v>
      </c>
      <c r="F1886" s="23">
        <v>124900</v>
      </c>
      <c r="G1886" s="15">
        <v>2005</v>
      </c>
      <c r="H1886" s="15">
        <f>Table_7[[#This Row],[Listing Price (USD)]]/10000</f>
        <v>12.49</v>
      </c>
      <c r="I1886" s="28">
        <f>Table_7[[#This Row],[Length 
(ft)]]</f>
        <v>40</v>
      </c>
      <c r="J1886" s="28">
        <f>2020-Table_7[[#This Row],[Year]]</f>
        <v>15</v>
      </c>
      <c r="K1886">
        <v>410675000000</v>
      </c>
      <c r="L1886">
        <v>66531.03</v>
      </c>
      <c r="M1886">
        <v>1.23</v>
      </c>
      <c r="N1886">
        <v>1.8</v>
      </c>
      <c r="O1886">
        <v>30.5</v>
      </c>
      <c r="P1886">
        <v>942.00199999999995</v>
      </c>
      <c r="Q1886">
        <v>40</v>
      </c>
      <c r="R1886">
        <v>11.16</v>
      </c>
    </row>
    <row r="1887" spans="1:18" x14ac:dyDescent="0.25">
      <c r="A1887" s="1" t="s">
        <v>187</v>
      </c>
      <c r="B1887" s="2" t="s">
        <v>188</v>
      </c>
      <c r="C1887" s="19">
        <v>40</v>
      </c>
      <c r="D1887" s="3" t="s">
        <v>496</v>
      </c>
      <c r="E1887" s="3" t="s">
        <v>18</v>
      </c>
      <c r="F1887" s="23">
        <v>94733</v>
      </c>
      <c r="G1887" s="15">
        <v>2006</v>
      </c>
      <c r="H1887" s="15">
        <f>Table_7[[#This Row],[Listing Price (USD)]]/10000</f>
        <v>9.4733000000000001</v>
      </c>
      <c r="I1887" s="28">
        <f>Table_7[[#This Row],[Length 
(ft)]]</f>
        <v>40</v>
      </c>
      <c r="J1887" s="28">
        <f>2020-Table_7[[#This Row],[Year]]</f>
        <v>14</v>
      </c>
      <c r="K1887">
        <v>188925995936.80701</v>
      </c>
      <c r="L1887">
        <v>17658.947301119199</v>
      </c>
      <c r="M1887">
        <v>-1.2479835558140799</v>
      </c>
      <c r="N1887">
        <v>-9.0040436420214593</v>
      </c>
      <c r="O1887">
        <v>30.5</v>
      </c>
      <c r="P1887">
        <v>942.00199999999995</v>
      </c>
      <c r="Q1887">
        <v>40</v>
      </c>
      <c r="R1887">
        <v>11.16</v>
      </c>
    </row>
    <row r="1888" spans="1:18" x14ac:dyDescent="0.25">
      <c r="A1888" s="1" t="s">
        <v>187</v>
      </c>
      <c r="B1888" s="2" t="s">
        <v>188</v>
      </c>
      <c r="C1888" s="19">
        <v>40</v>
      </c>
      <c r="D1888" s="3" t="s">
        <v>496</v>
      </c>
      <c r="E1888" s="3" t="s">
        <v>3</v>
      </c>
      <c r="F1888" s="23">
        <v>94746</v>
      </c>
      <c r="G1888" s="15">
        <v>2005</v>
      </c>
      <c r="H1888" s="15">
        <f>Table_7[[#This Row],[Listing Price (USD)]]/10000</f>
        <v>9.4746000000000006</v>
      </c>
      <c r="I1888" s="28">
        <f>Table_7[[#This Row],[Length 
(ft)]]</f>
        <v>40</v>
      </c>
      <c r="J1888" s="28">
        <f>2020-Table_7[[#This Row],[Year]]</f>
        <v>15</v>
      </c>
      <c r="K1888">
        <v>2639008701648.2598</v>
      </c>
      <c r="L1888">
        <v>39055.282928075401</v>
      </c>
      <c r="M1888">
        <v>0.47649885272508302</v>
      </c>
      <c r="N1888">
        <v>-7.7845864916787102</v>
      </c>
      <c r="O1888">
        <v>30.5</v>
      </c>
      <c r="P1888">
        <v>942.00199999999995</v>
      </c>
      <c r="Q1888">
        <v>40</v>
      </c>
      <c r="R1888">
        <v>11.16</v>
      </c>
    </row>
    <row r="1889" spans="1:18" x14ac:dyDescent="0.25">
      <c r="A1889" s="1" t="s">
        <v>14</v>
      </c>
      <c r="B1889" s="2" t="s">
        <v>25</v>
      </c>
      <c r="C1889" s="19">
        <v>41</v>
      </c>
      <c r="D1889" s="3" t="s">
        <v>496</v>
      </c>
      <c r="E1889" s="3" t="s">
        <v>31</v>
      </c>
      <c r="F1889" s="23">
        <v>57091</v>
      </c>
      <c r="G1889" s="15">
        <v>2006</v>
      </c>
      <c r="H1889" s="15">
        <f>Table_7[[#This Row],[Listing Price (USD)]]/10000</f>
        <v>5.7091000000000003</v>
      </c>
      <c r="I1889" s="28">
        <f>Table_7[[#This Row],[Length 
(ft)]]</f>
        <v>41</v>
      </c>
      <c r="J1889" s="28">
        <f>2020-Table_7[[#This Row],[Year]]</f>
        <v>14</v>
      </c>
      <c r="K1889">
        <v>57472012426.685303</v>
      </c>
      <c r="L1889">
        <v>14198.753959474399</v>
      </c>
      <c r="M1889">
        <v>0.15481137456202801</v>
      </c>
      <c r="N1889">
        <v>-8.5803430210621805</v>
      </c>
      <c r="O1889">
        <v>36.07</v>
      </c>
      <c r="P1889">
        <v>1227.002</v>
      </c>
      <c r="Q1889">
        <v>40</v>
      </c>
      <c r="R1889">
        <v>12.25</v>
      </c>
    </row>
    <row r="1890" spans="1:18" x14ac:dyDescent="0.25">
      <c r="A1890" s="1" t="s">
        <v>14</v>
      </c>
      <c r="B1890" s="2" t="s">
        <v>25</v>
      </c>
      <c r="C1890" s="19">
        <v>41</v>
      </c>
      <c r="D1890" s="3" t="s">
        <v>496</v>
      </c>
      <c r="E1890" s="3" t="s">
        <v>31</v>
      </c>
      <c r="F1890" s="23">
        <v>57091</v>
      </c>
      <c r="G1890" s="15">
        <v>2006</v>
      </c>
      <c r="H1890" s="15">
        <f>Table_7[[#This Row],[Listing Price (USD)]]/10000</f>
        <v>5.7091000000000003</v>
      </c>
      <c r="I1890" s="28">
        <f>Table_7[[#This Row],[Length 
(ft)]]</f>
        <v>41</v>
      </c>
      <c r="J1890" s="28">
        <f>2020-Table_7[[#This Row],[Year]]</f>
        <v>14</v>
      </c>
      <c r="K1890">
        <v>57472012426.685303</v>
      </c>
      <c r="L1890">
        <v>14198.753959474399</v>
      </c>
      <c r="M1890">
        <v>0.15481137456202801</v>
      </c>
      <c r="N1890">
        <v>-8.5803430210621805</v>
      </c>
      <c r="O1890">
        <v>36.07</v>
      </c>
      <c r="P1890">
        <v>1227.002</v>
      </c>
      <c r="Q1890">
        <v>40</v>
      </c>
      <c r="R1890">
        <v>12.25</v>
      </c>
    </row>
    <row r="1891" spans="1:18" x14ac:dyDescent="0.25">
      <c r="A1891" s="1" t="s">
        <v>14</v>
      </c>
      <c r="B1891" s="2" t="s">
        <v>25</v>
      </c>
      <c r="C1891" s="19">
        <v>41</v>
      </c>
      <c r="D1891" s="3" t="s">
        <v>496</v>
      </c>
      <c r="E1891" s="3" t="s">
        <v>31</v>
      </c>
      <c r="F1891" s="23">
        <v>58297</v>
      </c>
      <c r="G1891" s="15">
        <v>2005</v>
      </c>
      <c r="H1891" s="15">
        <f>Table_7[[#This Row],[Listing Price (USD)]]/10000</f>
        <v>5.8296999999999999</v>
      </c>
      <c r="I1891" s="28">
        <f>Table_7[[#This Row],[Length 
(ft)]]</f>
        <v>41</v>
      </c>
      <c r="J1891" s="28">
        <f>2020-Table_7[[#This Row],[Year]]</f>
        <v>15</v>
      </c>
      <c r="K1891">
        <v>57472012426.685303</v>
      </c>
      <c r="L1891">
        <v>14198.753959474399</v>
      </c>
      <c r="M1891">
        <v>0.15481137456202801</v>
      </c>
      <c r="N1891">
        <v>-8.5803430210621805</v>
      </c>
      <c r="O1891">
        <v>36.07</v>
      </c>
      <c r="P1891">
        <v>1227.002</v>
      </c>
      <c r="Q1891">
        <v>40</v>
      </c>
      <c r="R1891">
        <v>12.25</v>
      </c>
    </row>
    <row r="1892" spans="1:18" x14ac:dyDescent="0.25">
      <c r="A1892" s="1" t="s">
        <v>14</v>
      </c>
      <c r="B1892" s="2" t="s">
        <v>25</v>
      </c>
      <c r="C1892" s="19">
        <v>41</v>
      </c>
      <c r="D1892" s="3" t="s">
        <v>496</v>
      </c>
      <c r="E1892" s="3" t="s">
        <v>31</v>
      </c>
      <c r="F1892" s="23">
        <v>78945</v>
      </c>
      <c r="G1892" s="15">
        <v>2005</v>
      </c>
      <c r="H1892" s="15">
        <f>Table_7[[#This Row],[Listing Price (USD)]]/10000</f>
        <v>7.8944999999999999</v>
      </c>
      <c r="I1892" s="28">
        <f>Table_7[[#This Row],[Length 
(ft)]]</f>
        <v>41</v>
      </c>
      <c r="J1892" s="28">
        <f>2020-Table_7[[#This Row],[Year]]</f>
        <v>15</v>
      </c>
      <c r="K1892">
        <v>57472012426.685303</v>
      </c>
      <c r="L1892">
        <v>14198.753959474399</v>
      </c>
      <c r="M1892">
        <v>0.15481137456202801</v>
      </c>
      <c r="N1892">
        <v>-8.5803430210621805</v>
      </c>
      <c r="O1892">
        <v>36.07</v>
      </c>
      <c r="P1892">
        <v>1227.002</v>
      </c>
      <c r="Q1892">
        <v>40</v>
      </c>
      <c r="R1892">
        <v>12.25</v>
      </c>
    </row>
    <row r="1893" spans="1:18" x14ac:dyDescent="0.25">
      <c r="A1893" s="1" t="s">
        <v>14</v>
      </c>
      <c r="B1893" s="2" t="s">
        <v>36</v>
      </c>
      <c r="C1893" s="19">
        <v>46</v>
      </c>
      <c r="D1893" s="3" t="s">
        <v>496</v>
      </c>
      <c r="E1893" s="3" t="s">
        <v>19</v>
      </c>
      <c r="F1893" s="23">
        <v>299705</v>
      </c>
      <c r="G1893" s="15">
        <v>2017</v>
      </c>
      <c r="H1893" s="15">
        <f>Table_7[[#This Row],[Listing Price (USD)]]/10000</f>
        <v>29.970500000000001</v>
      </c>
      <c r="I1893" s="28">
        <f>Table_7[[#This Row],[Length 
(ft)]]</f>
        <v>46</v>
      </c>
      <c r="J1893" s="28">
        <f>2020-Table_7[[#This Row],[Year]]</f>
        <v>3</v>
      </c>
      <c r="K1893">
        <v>4200000000</v>
      </c>
      <c r="L1893">
        <v>39553.199999999997</v>
      </c>
      <c r="M1893">
        <v>4.0999999999999996</v>
      </c>
      <c r="N1893">
        <v>-2.1</v>
      </c>
      <c r="O1893">
        <v>32.22</v>
      </c>
      <c r="P1893">
        <v>776.08199999999999</v>
      </c>
      <c r="Q1893">
        <v>40</v>
      </c>
      <c r="R1893">
        <v>12.47</v>
      </c>
    </row>
    <row r="1894" spans="1:18" x14ac:dyDescent="0.25">
      <c r="A1894" s="1" t="s">
        <v>353</v>
      </c>
      <c r="B1894" s="3" t="s">
        <v>354</v>
      </c>
      <c r="C1894" s="19">
        <v>42</v>
      </c>
      <c r="D1894" s="3" t="s">
        <v>495</v>
      </c>
      <c r="E1894" s="3" t="s">
        <v>518</v>
      </c>
      <c r="F1894" s="23">
        <v>495000</v>
      </c>
      <c r="G1894" s="15">
        <v>2008</v>
      </c>
      <c r="H1894" s="15">
        <f>Table_7[[#This Row],[Listing Price (USD)]]/10000</f>
        <v>49.5</v>
      </c>
      <c r="I1894" s="28">
        <f>Table_7[[#This Row],[Length 
(ft)]]</f>
        <v>42</v>
      </c>
      <c r="J1894" s="28">
        <f>2020-Table_7[[#This Row],[Year]]</f>
        <v>12</v>
      </c>
      <c r="K1894">
        <v>1724759000000</v>
      </c>
      <c r="L1894">
        <v>85575.039999999994</v>
      </c>
      <c r="M1894">
        <v>1.23</v>
      </c>
      <c r="N1894">
        <v>3.8</v>
      </c>
      <c r="O1894">
        <v>30</v>
      </c>
      <c r="P1894">
        <v>759.00199999999995</v>
      </c>
      <c r="Q1894">
        <v>40</v>
      </c>
      <c r="R1894">
        <v>11.25</v>
      </c>
    </row>
    <row r="1895" spans="1:18" x14ac:dyDescent="0.25">
      <c r="A1895" s="1" t="s">
        <v>353</v>
      </c>
      <c r="B1895" s="3" t="s">
        <v>354</v>
      </c>
      <c r="C1895" s="19">
        <v>42</v>
      </c>
      <c r="D1895" s="3" t="s">
        <v>495</v>
      </c>
      <c r="E1895" s="3" t="s">
        <v>544</v>
      </c>
      <c r="F1895" s="23">
        <v>497000</v>
      </c>
      <c r="G1895" s="15">
        <v>2011</v>
      </c>
      <c r="H1895" s="15">
        <f>Table_7[[#This Row],[Listing Price (USD)]]/10000</f>
        <v>49.7</v>
      </c>
      <c r="I1895" s="28">
        <f>Table_7[[#This Row],[Length 
(ft)]]</f>
        <v>42</v>
      </c>
      <c r="J1895" s="28">
        <f>2020-Table_7[[#This Row],[Year]]</f>
        <v>9</v>
      </c>
      <c r="K1895">
        <v>14933066818.9606</v>
      </c>
      <c r="L1895">
        <v>28977.565567363599</v>
      </c>
      <c r="M1895">
        <v>0.63854495677665302</v>
      </c>
      <c r="N1895">
        <v>-8.3242832319722009</v>
      </c>
      <c r="O1895">
        <v>30</v>
      </c>
      <c r="P1895">
        <v>759.00199999999995</v>
      </c>
      <c r="Q1895">
        <v>40</v>
      </c>
      <c r="R1895">
        <v>11.25</v>
      </c>
    </row>
    <row r="1896" spans="1:18" x14ac:dyDescent="0.25">
      <c r="A1896" s="1" t="s">
        <v>353</v>
      </c>
      <c r="B1896" s="3" t="s">
        <v>355</v>
      </c>
      <c r="C1896" s="19">
        <v>42</v>
      </c>
      <c r="D1896" s="3" t="s">
        <v>495</v>
      </c>
      <c r="E1896" s="3" t="s">
        <v>544</v>
      </c>
      <c r="F1896" s="23">
        <v>795000</v>
      </c>
      <c r="G1896" s="15">
        <v>2015</v>
      </c>
      <c r="H1896" s="15">
        <f>Table_7[[#This Row],[Listing Price (USD)]]/10000</f>
        <v>79.5</v>
      </c>
      <c r="I1896" s="28">
        <f>Table_7[[#This Row],[Length 
(ft)]]</f>
        <v>42</v>
      </c>
      <c r="J1896" s="28">
        <f>2020-Table_7[[#This Row],[Year]]</f>
        <v>5</v>
      </c>
      <c r="K1896">
        <v>69272000000</v>
      </c>
      <c r="L1896">
        <v>50849.9</v>
      </c>
      <c r="M1896">
        <v>1.23</v>
      </c>
      <c r="N1896">
        <v>2.6</v>
      </c>
      <c r="O1896">
        <v>30</v>
      </c>
      <c r="P1896">
        <v>759.00199999999995</v>
      </c>
      <c r="Q1896">
        <v>40</v>
      </c>
      <c r="R1896">
        <v>11.25</v>
      </c>
    </row>
    <row r="1897" spans="1:18" x14ac:dyDescent="0.25">
      <c r="A1897" s="1" t="s">
        <v>304</v>
      </c>
      <c r="B1897" s="2" t="s">
        <v>305</v>
      </c>
      <c r="C1897" s="19">
        <v>38</v>
      </c>
      <c r="D1897" s="3" t="s">
        <v>496</v>
      </c>
      <c r="E1897" s="3" t="s">
        <v>3</v>
      </c>
      <c r="F1897" s="23">
        <v>252657</v>
      </c>
      <c r="G1897" s="15">
        <v>2013</v>
      </c>
      <c r="H1897" s="15">
        <f>Table_7[[#This Row],[Listing Price (USD)]]/10000</f>
        <v>25.265699999999999</v>
      </c>
      <c r="I1897" s="28">
        <f>Table_7[[#This Row],[Length 
(ft)]]</f>
        <v>38</v>
      </c>
      <c r="J1897" s="28">
        <f>2020-Table_7[[#This Row],[Year]]</f>
        <v>7</v>
      </c>
      <c r="K1897">
        <v>2639008701648.2598</v>
      </c>
      <c r="L1897">
        <v>39055.282928075401</v>
      </c>
      <c r="M1897">
        <v>0.47649885272508302</v>
      </c>
      <c r="N1897">
        <v>-7.7845864916787102</v>
      </c>
      <c r="O1897">
        <v>34</v>
      </c>
      <c r="P1897">
        <v>890.00199999999995</v>
      </c>
      <c r="Q1897">
        <v>40</v>
      </c>
      <c r="R1897">
        <v>12.14</v>
      </c>
    </row>
    <row r="1898" spans="1:18" x14ac:dyDescent="0.25">
      <c r="A1898" s="1" t="s">
        <v>304</v>
      </c>
      <c r="B1898" s="2" t="s">
        <v>305</v>
      </c>
      <c r="C1898" s="19">
        <v>38</v>
      </c>
      <c r="D1898" s="3" t="s">
        <v>496</v>
      </c>
      <c r="E1898" s="3" t="s">
        <v>24</v>
      </c>
      <c r="F1898" s="23">
        <v>255096</v>
      </c>
      <c r="G1898" s="15">
        <v>2013</v>
      </c>
      <c r="H1898" s="15">
        <f>Table_7[[#This Row],[Listing Price (USD)]]/10000</f>
        <v>25.509599999999999</v>
      </c>
      <c r="I1898" s="28">
        <f>Table_7[[#This Row],[Length 
(ft)]]</f>
        <v>38</v>
      </c>
      <c r="J1898" s="28">
        <f>2020-Table_7[[#This Row],[Year]]</f>
        <v>7</v>
      </c>
      <c r="K1898">
        <v>1896755301518.1399</v>
      </c>
      <c r="L1898">
        <v>31911.0357890017</v>
      </c>
      <c r="M1898">
        <v>-0.13770757391656999</v>
      </c>
      <c r="N1898">
        <v>-9.0399534112288507</v>
      </c>
      <c r="O1898">
        <v>34</v>
      </c>
      <c r="P1898">
        <v>890.00199999999995</v>
      </c>
      <c r="Q1898">
        <v>40</v>
      </c>
      <c r="R1898">
        <v>12.14</v>
      </c>
    </row>
    <row r="1899" spans="1:18" x14ac:dyDescent="0.25">
      <c r="A1899" s="1" t="s">
        <v>304</v>
      </c>
      <c r="B1899" s="2" t="s">
        <v>305</v>
      </c>
      <c r="C1899" s="19">
        <v>38</v>
      </c>
      <c r="D1899" s="3" t="s">
        <v>496</v>
      </c>
      <c r="E1899" s="3" t="s">
        <v>3</v>
      </c>
      <c r="F1899" s="23">
        <v>279391</v>
      </c>
      <c r="G1899" s="15">
        <v>2012</v>
      </c>
      <c r="H1899" s="15">
        <f>Table_7[[#This Row],[Listing Price (USD)]]/10000</f>
        <v>27.9391</v>
      </c>
      <c r="I1899" s="28">
        <f>Table_7[[#This Row],[Length 
(ft)]]</f>
        <v>38</v>
      </c>
      <c r="J1899" s="28">
        <f>2020-Table_7[[#This Row],[Year]]</f>
        <v>8</v>
      </c>
      <c r="K1899">
        <v>2639008701648.2598</v>
      </c>
      <c r="L1899">
        <v>39055.282928075401</v>
      </c>
      <c r="M1899">
        <v>0.47649885272508302</v>
      </c>
      <c r="N1899">
        <v>-7.7845864916787102</v>
      </c>
      <c r="O1899">
        <v>34</v>
      </c>
      <c r="P1899">
        <v>890.00199999999995</v>
      </c>
      <c r="Q1899">
        <v>40</v>
      </c>
      <c r="R1899">
        <v>12.14</v>
      </c>
    </row>
    <row r="1900" spans="1:18" x14ac:dyDescent="0.25">
      <c r="A1900" s="1" t="s">
        <v>252</v>
      </c>
      <c r="B1900" s="2" t="s">
        <v>256</v>
      </c>
      <c r="C1900" s="19">
        <v>54</v>
      </c>
      <c r="D1900" s="3" t="s">
        <v>496</v>
      </c>
      <c r="E1900" s="3" t="s">
        <v>3</v>
      </c>
      <c r="F1900" s="23">
        <v>1579105</v>
      </c>
      <c r="G1900" s="15">
        <v>2016</v>
      </c>
      <c r="H1900" s="15">
        <f>Table_7[[#This Row],[Listing Price (USD)]]/10000</f>
        <v>157.91050000000001</v>
      </c>
      <c r="I1900" s="28">
        <f>Table_7[[#This Row],[Length 
(ft)]]</f>
        <v>54</v>
      </c>
      <c r="J1900" s="28">
        <f>2020-Table_7[[#This Row],[Year]]</f>
        <v>4</v>
      </c>
      <c r="K1900">
        <v>2639008701648.2598</v>
      </c>
      <c r="L1900">
        <v>39055.282928075401</v>
      </c>
      <c r="M1900">
        <v>0.47649885272508302</v>
      </c>
      <c r="N1900">
        <v>-7.7845864916787102</v>
      </c>
      <c r="O1900">
        <v>37.04</v>
      </c>
      <c r="P1900">
        <v>1018.002</v>
      </c>
      <c r="Q1900">
        <v>39</v>
      </c>
      <c r="R1900">
        <v>12.89</v>
      </c>
    </row>
    <row r="1901" spans="1:18" x14ac:dyDescent="0.25">
      <c r="A1901" s="1" t="s">
        <v>252</v>
      </c>
      <c r="B1901" s="2" t="s">
        <v>254</v>
      </c>
      <c r="C1901" s="19">
        <v>50</v>
      </c>
      <c r="D1901" s="3" t="s">
        <v>496</v>
      </c>
      <c r="E1901" s="3" t="s">
        <v>24</v>
      </c>
      <c r="F1901" s="23">
        <v>1214531</v>
      </c>
      <c r="G1901" s="15">
        <v>2016</v>
      </c>
      <c r="H1901" s="15">
        <f>Table_7[[#This Row],[Listing Price (USD)]]/10000</f>
        <v>121.45310000000001</v>
      </c>
      <c r="I1901" s="28">
        <f>Table_7[[#This Row],[Length 
(ft)]]</f>
        <v>50</v>
      </c>
      <c r="J1901" s="28">
        <f>2020-Table_7[[#This Row],[Year]]</f>
        <v>4</v>
      </c>
      <c r="K1901">
        <v>1896755301518.1399</v>
      </c>
      <c r="L1901">
        <v>31911.0357890017</v>
      </c>
      <c r="M1901">
        <v>-0.13770757391656999</v>
      </c>
      <c r="N1901">
        <v>-9.0399534112288507</v>
      </c>
      <c r="O1901">
        <v>37.04</v>
      </c>
      <c r="P1901">
        <v>1018.002</v>
      </c>
      <c r="Q1901">
        <v>39</v>
      </c>
      <c r="R1901">
        <v>12.89</v>
      </c>
    </row>
    <row r="1902" spans="1:18" x14ac:dyDescent="0.25">
      <c r="A1902" s="1" t="s">
        <v>128</v>
      </c>
      <c r="B1902" s="2">
        <v>410</v>
      </c>
      <c r="C1902" s="19">
        <v>40</v>
      </c>
      <c r="D1902" s="3" t="s">
        <v>496</v>
      </c>
      <c r="E1902" s="3" t="s">
        <v>31</v>
      </c>
      <c r="F1902" s="23">
        <v>145744</v>
      </c>
      <c r="G1902" s="15">
        <v>2014</v>
      </c>
      <c r="H1902" s="15">
        <f>Table_7[[#This Row],[Listing Price (USD)]]/10000</f>
        <v>14.574400000000001</v>
      </c>
      <c r="I1902" s="28">
        <f>Table_7[[#This Row],[Length 
(ft)]]</f>
        <v>40</v>
      </c>
      <c r="J1902" s="28">
        <f>2020-Table_7[[#This Row],[Year]]</f>
        <v>6</v>
      </c>
      <c r="K1902">
        <v>57472012426.685303</v>
      </c>
      <c r="L1902">
        <v>14198.753959474399</v>
      </c>
      <c r="M1902">
        <v>0.15481137456202801</v>
      </c>
      <c r="N1902">
        <v>-8.5803430210621805</v>
      </c>
      <c r="O1902">
        <v>36.74</v>
      </c>
      <c r="P1902">
        <v>917.00199999999995</v>
      </c>
      <c r="Q1902">
        <v>38</v>
      </c>
      <c r="R1902">
        <v>12.8</v>
      </c>
    </row>
    <row r="1903" spans="1:18" x14ac:dyDescent="0.25">
      <c r="A1903" s="1" t="s">
        <v>128</v>
      </c>
      <c r="B1903" s="3" t="s">
        <v>131</v>
      </c>
      <c r="C1903" s="19">
        <v>40</v>
      </c>
      <c r="D1903" s="3" t="s">
        <v>496</v>
      </c>
      <c r="E1903" s="3" t="s">
        <v>31</v>
      </c>
      <c r="F1903" s="23">
        <v>139690</v>
      </c>
      <c r="G1903" s="15">
        <v>2016</v>
      </c>
      <c r="H1903" s="15">
        <f>Table_7[[#This Row],[Listing Price (USD)]]/10000</f>
        <v>13.968999999999999</v>
      </c>
      <c r="I1903" s="28">
        <f>Table_7[[#This Row],[Length 
(ft)]]</f>
        <v>40</v>
      </c>
      <c r="J1903" s="28">
        <f>2020-Table_7[[#This Row],[Year]]</f>
        <v>4</v>
      </c>
      <c r="K1903">
        <v>57472012426.685303</v>
      </c>
      <c r="L1903">
        <v>14198.753959474399</v>
      </c>
      <c r="M1903">
        <v>0.15481137456202801</v>
      </c>
      <c r="N1903">
        <v>-8.5803430210621805</v>
      </c>
      <c r="O1903">
        <v>36.74</v>
      </c>
      <c r="P1903">
        <v>917.00199999999995</v>
      </c>
      <c r="Q1903">
        <v>38</v>
      </c>
      <c r="R1903">
        <v>12.8</v>
      </c>
    </row>
    <row r="1904" spans="1:18" x14ac:dyDescent="0.25">
      <c r="A1904" s="1" t="s">
        <v>128</v>
      </c>
      <c r="B1904" s="3" t="s">
        <v>131</v>
      </c>
      <c r="C1904" s="19">
        <v>40</v>
      </c>
      <c r="D1904" s="3" t="s">
        <v>496</v>
      </c>
      <c r="E1904" s="3" t="s">
        <v>24</v>
      </c>
      <c r="F1904" s="23">
        <v>143315</v>
      </c>
      <c r="G1904" s="15">
        <v>2013</v>
      </c>
      <c r="H1904" s="15">
        <f>Table_7[[#This Row],[Listing Price (USD)]]/10000</f>
        <v>14.3315</v>
      </c>
      <c r="I1904" s="28">
        <f>Table_7[[#This Row],[Length 
(ft)]]</f>
        <v>40</v>
      </c>
      <c r="J1904" s="28">
        <f>2020-Table_7[[#This Row],[Year]]</f>
        <v>7</v>
      </c>
      <c r="K1904">
        <v>1896755301518.1399</v>
      </c>
      <c r="L1904">
        <v>31911.0357890017</v>
      </c>
      <c r="M1904">
        <v>-0.13770757391656999</v>
      </c>
      <c r="N1904">
        <v>-9.0399534112288507</v>
      </c>
      <c r="O1904">
        <v>36.74</v>
      </c>
      <c r="P1904">
        <v>917.00199999999995</v>
      </c>
      <c r="Q1904">
        <v>38</v>
      </c>
      <c r="R1904">
        <v>12.8</v>
      </c>
    </row>
    <row r="1905" spans="1:18" x14ac:dyDescent="0.25">
      <c r="A1905" s="1" t="s">
        <v>128</v>
      </c>
      <c r="B1905" s="3" t="s">
        <v>131</v>
      </c>
      <c r="C1905" s="19">
        <v>40</v>
      </c>
      <c r="D1905" s="3" t="s">
        <v>496</v>
      </c>
      <c r="E1905" s="3" t="s">
        <v>9</v>
      </c>
      <c r="F1905" s="23">
        <v>145622</v>
      </c>
      <c r="G1905" s="15">
        <v>2015</v>
      </c>
      <c r="H1905" s="15">
        <f>Table_7[[#This Row],[Listing Price (USD)]]/10000</f>
        <v>14.562200000000001</v>
      </c>
      <c r="I1905" s="28">
        <f>Table_7[[#This Row],[Length 
(ft)]]</f>
        <v>40</v>
      </c>
      <c r="J1905" s="28">
        <f>2020-Table_7[[#This Row],[Year]]</f>
        <v>5</v>
      </c>
      <c r="K1905">
        <v>1276962685648.25</v>
      </c>
      <c r="L1905">
        <v>26959.675436732599</v>
      </c>
      <c r="M1905">
        <v>-0.32275301729970501</v>
      </c>
      <c r="N1905">
        <v>-11.3254383222864</v>
      </c>
      <c r="O1905">
        <v>36.74</v>
      </c>
      <c r="P1905">
        <v>917.00199999999995</v>
      </c>
      <c r="Q1905">
        <v>38</v>
      </c>
      <c r="R1905">
        <v>12.8</v>
      </c>
    </row>
    <row r="1906" spans="1:18" x14ac:dyDescent="0.25">
      <c r="A1906" s="1" t="s">
        <v>128</v>
      </c>
      <c r="B1906" s="3" t="s">
        <v>131</v>
      </c>
      <c r="C1906" s="19">
        <v>40</v>
      </c>
      <c r="D1906" s="3" t="s">
        <v>496</v>
      </c>
      <c r="E1906" s="3" t="s">
        <v>24</v>
      </c>
      <c r="F1906" s="23">
        <v>188278</v>
      </c>
      <c r="G1906" s="15">
        <v>2015</v>
      </c>
      <c r="H1906" s="15">
        <f>Table_7[[#This Row],[Listing Price (USD)]]/10000</f>
        <v>18.8278</v>
      </c>
      <c r="I1906" s="28">
        <f>Table_7[[#This Row],[Length 
(ft)]]</f>
        <v>40</v>
      </c>
      <c r="J1906" s="28">
        <f>2020-Table_7[[#This Row],[Year]]</f>
        <v>5</v>
      </c>
      <c r="K1906">
        <v>1896755301518.1399</v>
      </c>
      <c r="L1906">
        <v>31911.0357890017</v>
      </c>
      <c r="M1906">
        <v>-0.13770757391656999</v>
      </c>
      <c r="N1906">
        <v>-9.0399534112288507</v>
      </c>
      <c r="O1906">
        <v>36.74</v>
      </c>
      <c r="P1906">
        <v>917.00199999999995</v>
      </c>
      <c r="Q1906">
        <v>38</v>
      </c>
      <c r="R1906">
        <v>12.8</v>
      </c>
    </row>
    <row r="1907" spans="1:18" x14ac:dyDescent="0.25">
      <c r="A1907" s="1" t="s">
        <v>128</v>
      </c>
      <c r="B1907" s="3" t="s">
        <v>131</v>
      </c>
      <c r="C1907" s="19">
        <v>40</v>
      </c>
      <c r="D1907" s="3" t="s">
        <v>496</v>
      </c>
      <c r="E1907" s="3" t="s">
        <v>3</v>
      </c>
      <c r="F1907" s="23">
        <v>188926</v>
      </c>
      <c r="G1907" s="15">
        <v>2015</v>
      </c>
      <c r="H1907" s="15">
        <f>Table_7[[#This Row],[Listing Price (USD)]]/10000</f>
        <v>18.892600000000002</v>
      </c>
      <c r="I1907" s="28">
        <f>Table_7[[#This Row],[Length 
(ft)]]</f>
        <v>40</v>
      </c>
      <c r="J1907" s="28">
        <f>2020-Table_7[[#This Row],[Year]]</f>
        <v>5</v>
      </c>
      <c r="K1907">
        <v>2639008701648.2598</v>
      </c>
      <c r="L1907">
        <v>39055.282928075401</v>
      </c>
      <c r="M1907">
        <v>0.47649885272508302</v>
      </c>
      <c r="N1907">
        <v>-7.7845864916787102</v>
      </c>
      <c r="O1907">
        <v>36.74</v>
      </c>
      <c r="P1907">
        <v>917.00199999999995</v>
      </c>
      <c r="Q1907">
        <v>38</v>
      </c>
      <c r="R1907">
        <v>12.8</v>
      </c>
    </row>
    <row r="1908" spans="1:18" x14ac:dyDescent="0.25">
      <c r="A1908" s="1" t="s">
        <v>128</v>
      </c>
      <c r="B1908" s="3" t="s">
        <v>131</v>
      </c>
      <c r="C1908" s="19">
        <v>40</v>
      </c>
      <c r="D1908" s="3" t="s">
        <v>496</v>
      </c>
      <c r="E1908" s="3" t="s">
        <v>516</v>
      </c>
      <c r="F1908" s="23">
        <v>205754</v>
      </c>
      <c r="G1908" s="15">
        <v>2014</v>
      </c>
      <c r="H1908" s="15">
        <f>Table_7[[#This Row],[Listing Price (USD)]]/10000</f>
        <v>20.575399999999998</v>
      </c>
      <c r="I1908" s="28">
        <f>Table_7[[#This Row],[Length 
(ft)]]</f>
        <v>40</v>
      </c>
      <c r="J1908" s="28">
        <f>2020-Table_7[[#This Row],[Year]]</f>
        <v>6</v>
      </c>
      <c r="K1908">
        <v>909793466661.48096</v>
      </c>
      <c r="L1908">
        <v>52162.570115040602</v>
      </c>
      <c r="M1908">
        <v>1.2724603778917001</v>
      </c>
      <c r="N1908">
        <v>-3.88608391819609</v>
      </c>
      <c r="O1908">
        <v>36.74</v>
      </c>
      <c r="P1908">
        <v>917.00199999999995</v>
      </c>
      <c r="Q1908">
        <v>38</v>
      </c>
      <c r="R1908">
        <v>12.8</v>
      </c>
    </row>
    <row r="1909" spans="1:18" x14ac:dyDescent="0.25">
      <c r="A1909" s="1" t="s">
        <v>128</v>
      </c>
      <c r="B1909" s="3" t="s">
        <v>131</v>
      </c>
      <c r="C1909" s="19">
        <v>40</v>
      </c>
      <c r="D1909" s="3" t="s">
        <v>496</v>
      </c>
      <c r="E1909" s="3" t="s">
        <v>31</v>
      </c>
      <c r="F1909" s="23">
        <v>206551</v>
      </c>
      <c r="G1909" s="15">
        <v>2014</v>
      </c>
      <c r="H1909" s="15">
        <f>Table_7[[#This Row],[Listing Price (USD)]]/10000</f>
        <v>20.655100000000001</v>
      </c>
      <c r="I1909" s="28">
        <f>Table_7[[#This Row],[Length 
(ft)]]</f>
        <v>40</v>
      </c>
      <c r="J1909" s="28">
        <f>2020-Table_7[[#This Row],[Year]]</f>
        <v>6</v>
      </c>
      <c r="K1909">
        <v>57472012426.685303</v>
      </c>
      <c r="L1909">
        <v>14198.753959474399</v>
      </c>
      <c r="M1909">
        <v>0.15481137456202801</v>
      </c>
      <c r="N1909">
        <v>-8.5803430210621805</v>
      </c>
      <c r="O1909">
        <v>36.74</v>
      </c>
      <c r="P1909">
        <v>917.00199999999995</v>
      </c>
      <c r="Q1909">
        <v>38</v>
      </c>
      <c r="R1909">
        <v>12.8</v>
      </c>
    </row>
    <row r="1910" spans="1:18" x14ac:dyDescent="0.25">
      <c r="A1910" s="1" t="s">
        <v>128</v>
      </c>
      <c r="B1910" s="3" t="s">
        <v>131</v>
      </c>
      <c r="C1910" s="19">
        <v>40</v>
      </c>
      <c r="D1910" s="3" t="s">
        <v>495</v>
      </c>
      <c r="E1910" s="3" t="s">
        <v>515</v>
      </c>
      <c r="F1910" s="23">
        <v>220000</v>
      </c>
      <c r="G1910" s="15">
        <v>2013</v>
      </c>
      <c r="H1910" s="15">
        <f>Table_7[[#This Row],[Listing Price (USD)]]/10000</f>
        <v>22</v>
      </c>
      <c r="I1910" s="28">
        <f>Table_7[[#This Row],[Length 
(ft)]]</f>
        <v>40</v>
      </c>
      <c r="J1910" s="28">
        <f>2020-Table_7[[#This Row],[Year]]</f>
        <v>7</v>
      </c>
      <c r="K1910">
        <v>410675000000</v>
      </c>
      <c r="L1910">
        <v>66531.03</v>
      </c>
      <c r="M1910">
        <v>1.23</v>
      </c>
      <c r="N1910">
        <v>1.8</v>
      </c>
      <c r="O1910">
        <v>36.74</v>
      </c>
      <c r="P1910">
        <v>917.00199999999995</v>
      </c>
      <c r="Q1910">
        <v>38</v>
      </c>
      <c r="R1910">
        <v>12.8</v>
      </c>
    </row>
    <row r="1911" spans="1:18" x14ac:dyDescent="0.25">
      <c r="A1911" s="1" t="s">
        <v>103</v>
      </c>
      <c r="B1911" s="2" t="s">
        <v>104</v>
      </c>
      <c r="C1911" s="19">
        <v>42</v>
      </c>
      <c r="D1911" s="3" t="s">
        <v>496</v>
      </c>
      <c r="E1911" s="3" t="s">
        <v>19</v>
      </c>
      <c r="F1911" s="23">
        <v>119242</v>
      </c>
      <c r="G1911" s="15">
        <v>2005</v>
      </c>
      <c r="H1911" s="15">
        <f>Table_7[[#This Row],[Listing Price (USD)]]/10000</f>
        <v>11.924200000000001</v>
      </c>
      <c r="I1911" s="28">
        <f>Table_7[[#This Row],[Length 
(ft)]]</f>
        <v>42</v>
      </c>
      <c r="J1911" s="28">
        <f>2020-Table_7[[#This Row],[Year]]</f>
        <v>15</v>
      </c>
      <c r="K1911">
        <v>4200000000</v>
      </c>
      <c r="L1911">
        <v>39553.199999999997</v>
      </c>
      <c r="M1911">
        <v>4.0999999999999996</v>
      </c>
      <c r="N1911">
        <v>-2.1</v>
      </c>
      <c r="O1911">
        <v>36</v>
      </c>
      <c r="P1911">
        <v>797.00199999999995</v>
      </c>
      <c r="Q1911">
        <v>38</v>
      </c>
      <c r="R1911">
        <v>13.83</v>
      </c>
    </row>
    <row r="1912" spans="1:18" x14ac:dyDescent="0.25">
      <c r="A1912" s="1" t="s">
        <v>103</v>
      </c>
      <c r="B1912" s="3" t="s">
        <v>336</v>
      </c>
      <c r="C1912" s="19">
        <v>42</v>
      </c>
      <c r="D1912" s="3" t="s">
        <v>495</v>
      </c>
      <c r="E1912" s="3" t="s">
        <v>526</v>
      </c>
      <c r="F1912" s="23">
        <v>159500</v>
      </c>
      <c r="G1912" s="15">
        <v>2005</v>
      </c>
      <c r="H1912" s="15">
        <f>Table_7[[#This Row],[Listing Price (USD)]]/10000</f>
        <v>15.95</v>
      </c>
      <c r="I1912" s="28">
        <f>Table_7[[#This Row],[Length 
(ft)]]</f>
        <v>42</v>
      </c>
      <c r="J1912" s="28">
        <f>2020-Table_7[[#This Row],[Year]]</f>
        <v>15</v>
      </c>
      <c r="K1912">
        <v>4200000000</v>
      </c>
      <c r="L1912">
        <v>39553.199999999997</v>
      </c>
      <c r="M1912">
        <v>4.0999999999999996</v>
      </c>
      <c r="N1912">
        <v>-2.1</v>
      </c>
      <c r="O1912">
        <v>36</v>
      </c>
      <c r="P1912">
        <v>797.00199999999995</v>
      </c>
      <c r="Q1912">
        <v>38</v>
      </c>
      <c r="R1912">
        <v>13.83</v>
      </c>
    </row>
    <row r="1913" spans="1:18" x14ac:dyDescent="0.25">
      <c r="A1913" s="1" t="s">
        <v>103</v>
      </c>
      <c r="B1913" s="3" t="s">
        <v>336</v>
      </c>
      <c r="C1913" s="19">
        <v>42</v>
      </c>
      <c r="D1913" s="3" t="s">
        <v>495</v>
      </c>
      <c r="E1913" s="3" t="s">
        <v>548</v>
      </c>
      <c r="F1913" s="23">
        <v>159800</v>
      </c>
      <c r="G1913" s="15">
        <v>2007</v>
      </c>
      <c r="H1913" s="15">
        <f>Table_7[[#This Row],[Listing Price (USD)]]/10000</f>
        <v>15.98</v>
      </c>
      <c r="I1913" s="28">
        <f>Table_7[[#This Row],[Length 
(ft)]]</f>
        <v>42</v>
      </c>
      <c r="J1913" s="28">
        <f>2020-Table_7[[#This Row],[Year]]</f>
        <v>13</v>
      </c>
      <c r="K1913">
        <v>618579000000</v>
      </c>
      <c r="L1913">
        <v>66659.100000000006</v>
      </c>
      <c r="M1913">
        <v>1.23</v>
      </c>
      <c r="N1913">
        <v>1.8</v>
      </c>
      <c r="O1913">
        <v>36</v>
      </c>
      <c r="P1913">
        <v>797.00199999999995</v>
      </c>
      <c r="Q1913">
        <v>38</v>
      </c>
      <c r="R1913">
        <v>13.83</v>
      </c>
    </row>
    <row r="1914" spans="1:18" x14ac:dyDescent="0.25">
      <c r="A1914" s="1" t="s">
        <v>103</v>
      </c>
      <c r="B1914" s="3" t="s">
        <v>336</v>
      </c>
      <c r="C1914" s="19">
        <v>42</v>
      </c>
      <c r="D1914" s="3" t="s">
        <v>495</v>
      </c>
      <c r="E1914" s="3" t="s">
        <v>527</v>
      </c>
      <c r="F1914" s="23">
        <v>159900</v>
      </c>
      <c r="G1914" s="15">
        <v>2006</v>
      </c>
      <c r="H1914" s="15">
        <f>Table_7[[#This Row],[Listing Price (USD)]]/10000</f>
        <v>15.99</v>
      </c>
      <c r="I1914" s="28">
        <f>Table_7[[#This Row],[Length 
(ft)]]</f>
        <v>42</v>
      </c>
      <c r="J1914" s="28">
        <f>2020-Table_7[[#This Row],[Year]]</f>
        <v>14</v>
      </c>
      <c r="K1914">
        <v>582477000000</v>
      </c>
      <c r="L1914">
        <v>82947.67</v>
      </c>
      <c r="M1914">
        <v>1.23</v>
      </c>
      <c r="N1914">
        <v>2.7</v>
      </c>
      <c r="O1914">
        <v>36</v>
      </c>
      <c r="P1914">
        <v>797.00199999999995</v>
      </c>
      <c r="Q1914">
        <v>38</v>
      </c>
      <c r="R1914">
        <v>13.83</v>
      </c>
    </row>
    <row r="1915" spans="1:18" x14ac:dyDescent="0.25">
      <c r="A1915" s="1" t="s">
        <v>103</v>
      </c>
      <c r="B1915" s="3" t="s">
        <v>336</v>
      </c>
      <c r="C1915" s="19">
        <v>42</v>
      </c>
      <c r="D1915" s="3" t="s">
        <v>497</v>
      </c>
      <c r="E1915" s="3" t="s">
        <v>498</v>
      </c>
      <c r="F1915" s="23">
        <v>165000</v>
      </c>
      <c r="G1915" s="15">
        <v>2005</v>
      </c>
      <c r="H1915" s="15">
        <f>Table_7[[#This Row],[Listing Price (USD)]]/10000</f>
        <v>16.5</v>
      </c>
      <c r="I1915" s="28">
        <f>Table_7[[#This Row],[Length 
(ft)]]</f>
        <v>42</v>
      </c>
      <c r="J1915" s="28">
        <f>2020-Table_7[[#This Row],[Year]]</f>
        <v>15</v>
      </c>
      <c r="K1915">
        <v>1090515389749.41</v>
      </c>
      <c r="L1915">
        <v>8655.0006820680301</v>
      </c>
      <c r="M1915">
        <v>3.3968341556999899</v>
      </c>
      <c r="N1915">
        <v>-7.9879123401474903</v>
      </c>
      <c r="O1915">
        <v>36</v>
      </c>
      <c r="P1915">
        <v>797.00199999999995</v>
      </c>
      <c r="Q1915">
        <v>38</v>
      </c>
      <c r="R1915">
        <v>13.83</v>
      </c>
    </row>
    <row r="1916" spans="1:18" x14ac:dyDescent="0.25">
      <c r="A1916" s="1" t="s">
        <v>103</v>
      </c>
      <c r="B1916" s="2" t="s">
        <v>104</v>
      </c>
      <c r="C1916" s="19">
        <v>42</v>
      </c>
      <c r="D1916" s="3" t="s">
        <v>496</v>
      </c>
      <c r="E1916" s="3" t="s">
        <v>516</v>
      </c>
      <c r="F1916" s="23">
        <v>182204</v>
      </c>
      <c r="G1916" s="15">
        <v>2009</v>
      </c>
      <c r="H1916" s="15">
        <f>Table_7[[#This Row],[Listing Price (USD)]]/10000</f>
        <v>18.220400000000001</v>
      </c>
      <c r="I1916" s="28">
        <f>Table_7[[#This Row],[Length 
(ft)]]</f>
        <v>42</v>
      </c>
      <c r="J1916" s="28">
        <f>2020-Table_7[[#This Row],[Year]]</f>
        <v>11</v>
      </c>
      <c r="K1916">
        <v>909793466661.48096</v>
      </c>
      <c r="L1916">
        <v>52162.570115040602</v>
      </c>
      <c r="M1916">
        <v>1.2724603778917001</v>
      </c>
      <c r="N1916">
        <v>-3.88608391819609</v>
      </c>
      <c r="O1916">
        <v>36</v>
      </c>
      <c r="P1916">
        <v>797.00199999999995</v>
      </c>
      <c r="Q1916">
        <v>38</v>
      </c>
      <c r="R1916">
        <v>13.83</v>
      </c>
    </row>
    <row r="1917" spans="1:18" x14ac:dyDescent="0.25">
      <c r="A1917" s="1" t="s">
        <v>103</v>
      </c>
      <c r="B1917" s="3" t="s">
        <v>336</v>
      </c>
      <c r="C1917" s="19">
        <v>42</v>
      </c>
      <c r="D1917" s="3" t="s">
        <v>495</v>
      </c>
      <c r="E1917" s="3" t="s">
        <v>500</v>
      </c>
      <c r="F1917" s="23">
        <v>188000</v>
      </c>
      <c r="G1917" s="15">
        <v>2008</v>
      </c>
      <c r="H1917" s="15">
        <f>Table_7[[#This Row],[Listing Price (USD)]]/10000</f>
        <v>18.8</v>
      </c>
      <c r="I1917" s="28">
        <f>Table_7[[#This Row],[Length 
(ft)]]</f>
        <v>42</v>
      </c>
      <c r="J1917" s="28">
        <f>2020-Table_7[[#This Row],[Year]]</f>
        <v>12</v>
      </c>
      <c r="K1917">
        <v>3007188000000</v>
      </c>
      <c r="L1917">
        <v>76131.839999999997</v>
      </c>
      <c r="M1917">
        <v>1.23</v>
      </c>
      <c r="N1917">
        <v>2.7</v>
      </c>
      <c r="O1917">
        <v>36</v>
      </c>
      <c r="P1917">
        <v>797.00199999999995</v>
      </c>
      <c r="Q1917">
        <v>38</v>
      </c>
      <c r="R1917">
        <v>13.83</v>
      </c>
    </row>
    <row r="1918" spans="1:18" x14ac:dyDescent="0.25">
      <c r="A1918" s="1" t="s">
        <v>103</v>
      </c>
      <c r="B1918" s="3" t="s">
        <v>336</v>
      </c>
      <c r="C1918" s="19">
        <v>42</v>
      </c>
      <c r="D1918" s="3" t="s">
        <v>495</v>
      </c>
      <c r="E1918" s="3" t="s">
        <v>523</v>
      </c>
      <c r="F1918" s="23">
        <v>189000</v>
      </c>
      <c r="G1918" s="15">
        <v>2011</v>
      </c>
      <c r="H1918" s="15">
        <f>Table_7[[#This Row],[Listing Price (USD)]]/10000</f>
        <v>18.899999999999999</v>
      </c>
      <c r="I1918" s="28">
        <f>Table_7[[#This Row],[Length 
(ft)]]</f>
        <v>42</v>
      </c>
      <c r="J1918" s="28">
        <f>2020-Table_7[[#This Row],[Year]]</f>
        <v>9</v>
      </c>
      <c r="K1918">
        <v>1775588000000</v>
      </c>
      <c r="L1918">
        <v>60771.06</v>
      </c>
      <c r="M1918">
        <v>1.23</v>
      </c>
      <c r="N1918">
        <v>5.0999999999999996</v>
      </c>
      <c r="O1918">
        <v>36</v>
      </c>
      <c r="P1918">
        <v>797.00199999999995</v>
      </c>
      <c r="Q1918">
        <v>38</v>
      </c>
      <c r="R1918">
        <v>13.83</v>
      </c>
    </row>
    <row r="1919" spans="1:18" x14ac:dyDescent="0.25">
      <c r="A1919" s="1" t="s">
        <v>143</v>
      </c>
      <c r="B1919" s="2" t="s">
        <v>153</v>
      </c>
      <c r="C1919" s="19">
        <v>43</v>
      </c>
      <c r="D1919" s="3" t="s">
        <v>496</v>
      </c>
      <c r="E1919" s="3" t="s">
        <v>56</v>
      </c>
      <c r="F1919" s="23">
        <v>339872</v>
      </c>
      <c r="G1919" s="15">
        <v>2018</v>
      </c>
      <c r="H1919" s="15">
        <f>Table_7[[#This Row],[Listing Price (USD)]]/10000</f>
        <v>33.987200000000001</v>
      </c>
      <c r="I1919" s="28">
        <f>Table_7[[#This Row],[Length 
(ft)]]</f>
        <v>43</v>
      </c>
      <c r="J1919" s="28">
        <f>2020-Table_7[[#This Row],[Year]]</f>
        <v>2</v>
      </c>
      <c r="K1919">
        <v>14933066818.9606</v>
      </c>
      <c r="L1919">
        <v>28977.565567363599</v>
      </c>
      <c r="M1919">
        <v>0.63854495677665302</v>
      </c>
      <c r="N1919">
        <v>-8.3242832319722009</v>
      </c>
      <c r="O1919">
        <v>37.99</v>
      </c>
      <c r="P1919">
        <v>775.00199999999995</v>
      </c>
      <c r="Q1919">
        <v>38</v>
      </c>
      <c r="R1919">
        <v>12.83</v>
      </c>
    </row>
    <row r="1920" spans="1:18" x14ac:dyDescent="0.25">
      <c r="A1920" s="1" t="s">
        <v>177</v>
      </c>
      <c r="B1920" s="2">
        <v>400</v>
      </c>
      <c r="C1920" s="19">
        <v>40</v>
      </c>
      <c r="D1920" s="3" t="s">
        <v>496</v>
      </c>
      <c r="E1920" s="3" t="s">
        <v>9</v>
      </c>
      <c r="F1920" s="23">
        <v>91102</v>
      </c>
      <c r="G1920" s="15">
        <v>2007</v>
      </c>
      <c r="H1920" s="15">
        <f>Table_7[[#This Row],[Listing Price (USD)]]/10000</f>
        <v>9.1102000000000007</v>
      </c>
      <c r="I1920" s="28">
        <f>Table_7[[#This Row],[Length 
(ft)]]</f>
        <v>40</v>
      </c>
      <c r="J1920" s="28">
        <f>2020-Table_7[[#This Row],[Year]]</f>
        <v>13</v>
      </c>
      <c r="K1920">
        <v>1276962685648.25</v>
      </c>
      <c r="L1920">
        <v>26959.675436732599</v>
      </c>
      <c r="M1920">
        <v>-0.32275301729970501</v>
      </c>
      <c r="N1920">
        <v>-11.3254383222864</v>
      </c>
      <c r="O1920">
        <v>35.43</v>
      </c>
      <c r="P1920">
        <v>896</v>
      </c>
      <c r="Q1920">
        <v>37</v>
      </c>
      <c r="R1920">
        <v>13.25</v>
      </c>
    </row>
    <row r="1921" spans="1:18" x14ac:dyDescent="0.25">
      <c r="A1921" s="1" t="s">
        <v>177</v>
      </c>
      <c r="B1921" s="2">
        <v>400</v>
      </c>
      <c r="C1921" s="19">
        <v>40</v>
      </c>
      <c r="D1921" s="3" t="s">
        <v>496</v>
      </c>
      <c r="E1921" s="3" t="s">
        <v>18</v>
      </c>
      <c r="F1921" s="23">
        <v>93249</v>
      </c>
      <c r="G1921" s="15">
        <v>2006</v>
      </c>
      <c r="H1921" s="15">
        <f>Table_7[[#This Row],[Listing Price (USD)]]/10000</f>
        <v>9.3248999999999995</v>
      </c>
      <c r="I1921" s="28">
        <f>Table_7[[#This Row],[Length 
(ft)]]</f>
        <v>40</v>
      </c>
      <c r="J1921" s="28">
        <f>2020-Table_7[[#This Row],[Year]]</f>
        <v>14</v>
      </c>
      <c r="K1921">
        <v>188925995936.80701</v>
      </c>
      <c r="L1921">
        <v>17658.947301119199</v>
      </c>
      <c r="M1921">
        <v>-1.2479835558140799</v>
      </c>
      <c r="N1921">
        <v>-9.0040436420214593</v>
      </c>
      <c r="O1921">
        <v>35.43</v>
      </c>
      <c r="P1921">
        <v>896</v>
      </c>
      <c r="Q1921">
        <v>37</v>
      </c>
      <c r="R1921">
        <v>13.25</v>
      </c>
    </row>
    <row r="1922" spans="1:18" x14ac:dyDescent="0.25">
      <c r="A1922" s="1" t="s">
        <v>177</v>
      </c>
      <c r="B1922" s="2">
        <v>400</v>
      </c>
      <c r="C1922" s="19">
        <v>40</v>
      </c>
      <c r="D1922" s="3" t="s">
        <v>496</v>
      </c>
      <c r="E1922" s="3" t="s">
        <v>24</v>
      </c>
      <c r="F1922" s="23">
        <v>95948</v>
      </c>
      <c r="G1922" s="15">
        <v>2009</v>
      </c>
      <c r="H1922" s="15">
        <f>Table_7[[#This Row],[Listing Price (USD)]]/10000</f>
        <v>9.5947999999999993</v>
      </c>
      <c r="I1922" s="28">
        <f>Table_7[[#This Row],[Length 
(ft)]]</f>
        <v>40</v>
      </c>
      <c r="J1922" s="28">
        <f>2020-Table_7[[#This Row],[Year]]</f>
        <v>11</v>
      </c>
      <c r="K1922">
        <v>1896755301518.1399</v>
      </c>
      <c r="L1922">
        <v>31911.0357890017</v>
      </c>
      <c r="M1922">
        <v>-0.13770757391656999</v>
      </c>
      <c r="N1922">
        <v>-9.0399534112288507</v>
      </c>
      <c r="O1922">
        <v>35.43</v>
      </c>
      <c r="P1922">
        <v>896</v>
      </c>
      <c r="Q1922">
        <v>37</v>
      </c>
      <c r="R1922">
        <v>13.25</v>
      </c>
    </row>
    <row r="1923" spans="1:18" x14ac:dyDescent="0.25">
      <c r="A1923" s="1" t="s">
        <v>177</v>
      </c>
      <c r="B1923" s="2">
        <v>400</v>
      </c>
      <c r="C1923" s="19">
        <v>40</v>
      </c>
      <c r="D1923" s="3" t="s">
        <v>496</v>
      </c>
      <c r="E1923" s="3" t="s">
        <v>9</v>
      </c>
      <c r="F1923" s="23">
        <v>103128</v>
      </c>
      <c r="G1923" s="15">
        <v>2007</v>
      </c>
      <c r="H1923" s="15">
        <f>Table_7[[#This Row],[Listing Price (USD)]]/10000</f>
        <v>10.312799999999999</v>
      </c>
      <c r="I1923" s="28">
        <f>Table_7[[#This Row],[Length 
(ft)]]</f>
        <v>40</v>
      </c>
      <c r="J1923" s="28">
        <f>2020-Table_7[[#This Row],[Year]]</f>
        <v>13</v>
      </c>
      <c r="K1923">
        <v>1276962685648.25</v>
      </c>
      <c r="L1923">
        <v>26959.675436732599</v>
      </c>
      <c r="M1923">
        <v>-0.32275301729970501</v>
      </c>
      <c r="N1923">
        <v>-11.3254383222864</v>
      </c>
      <c r="O1923">
        <v>35.43</v>
      </c>
      <c r="P1923">
        <v>896</v>
      </c>
      <c r="Q1923">
        <v>37</v>
      </c>
      <c r="R1923">
        <v>13.25</v>
      </c>
    </row>
    <row r="1924" spans="1:18" x14ac:dyDescent="0.25">
      <c r="A1924" s="1" t="s">
        <v>177</v>
      </c>
      <c r="B1924" s="2">
        <v>400</v>
      </c>
      <c r="C1924" s="19">
        <v>40</v>
      </c>
      <c r="D1924" s="3" t="s">
        <v>496</v>
      </c>
      <c r="E1924" s="3" t="s">
        <v>9</v>
      </c>
      <c r="F1924" s="23">
        <v>103154</v>
      </c>
      <c r="G1924" s="15">
        <v>2007</v>
      </c>
      <c r="H1924" s="15">
        <f>Table_7[[#This Row],[Listing Price (USD)]]/10000</f>
        <v>10.3154</v>
      </c>
      <c r="I1924" s="28">
        <f>Table_7[[#This Row],[Length 
(ft)]]</f>
        <v>40</v>
      </c>
      <c r="J1924" s="28">
        <f>2020-Table_7[[#This Row],[Year]]</f>
        <v>13</v>
      </c>
      <c r="K1924">
        <v>1276962685648.25</v>
      </c>
      <c r="L1924">
        <v>26959.675436732599</v>
      </c>
      <c r="M1924">
        <v>-0.32275301729970501</v>
      </c>
      <c r="N1924">
        <v>-11.3254383222864</v>
      </c>
      <c r="O1924">
        <v>35.43</v>
      </c>
      <c r="P1924">
        <v>896</v>
      </c>
      <c r="Q1924">
        <v>37</v>
      </c>
      <c r="R1924">
        <v>13.25</v>
      </c>
    </row>
    <row r="1925" spans="1:18" x14ac:dyDescent="0.25">
      <c r="A1925" s="1" t="s">
        <v>177</v>
      </c>
      <c r="B1925" s="2">
        <v>400</v>
      </c>
      <c r="C1925" s="19">
        <v>40</v>
      </c>
      <c r="D1925" s="3" t="s">
        <v>496</v>
      </c>
      <c r="E1925" s="3" t="s">
        <v>9</v>
      </c>
      <c r="F1925" s="23">
        <v>106893</v>
      </c>
      <c r="G1925" s="15">
        <v>2008</v>
      </c>
      <c r="H1925" s="15">
        <f>Table_7[[#This Row],[Listing Price (USD)]]/10000</f>
        <v>10.689299999999999</v>
      </c>
      <c r="I1925" s="28">
        <f>Table_7[[#This Row],[Length 
(ft)]]</f>
        <v>40</v>
      </c>
      <c r="J1925" s="28">
        <f>2020-Table_7[[#This Row],[Year]]</f>
        <v>12</v>
      </c>
      <c r="K1925">
        <v>1276962685648.25</v>
      </c>
      <c r="L1925">
        <v>26959.675436732599</v>
      </c>
      <c r="M1925">
        <v>-0.32275301729970501</v>
      </c>
      <c r="N1925">
        <v>-11.3254383222864</v>
      </c>
      <c r="O1925">
        <v>35.43</v>
      </c>
      <c r="P1925">
        <v>896</v>
      </c>
      <c r="Q1925">
        <v>37</v>
      </c>
      <c r="R1925">
        <v>13.25</v>
      </c>
    </row>
    <row r="1926" spans="1:18" x14ac:dyDescent="0.25">
      <c r="A1926" s="1" t="s">
        <v>177</v>
      </c>
      <c r="B1926" s="2">
        <v>400</v>
      </c>
      <c r="C1926" s="19">
        <v>40</v>
      </c>
      <c r="D1926" s="3" t="s">
        <v>496</v>
      </c>
      <c r="E1926" s="3" t="s">
        <v>9</v>
      </c>
      <c r="F1926" s="23">
        <v>106920</v>
      </c>
      <c r="G1926" s="15">
        <v>2008</v>
      </c>
      <c r="H1926" s="15">
        <f>Table_7[[#This Row],[Listing Price (USD)]]/10000</f>
        <v>10.692</v>
      </c>
      <c r="I1926" s="28">
        <f>Table_7[[#This Row],[Length 
(ft)]]</f>
        <v>40</v>
      </c>
      <c r="J1926" s="28">
        <f>2020-Table_7[[#This Row],[Year]]</f>
        <v>12</v>
      </c>
      <c r="K1926">
        <v>1276962685648.25</v>
      </c>
      <c r="L1926">
        <v>26959.675436732599</v>
      </c>
      <c r="M1926">
        <v>-0.32275301729970501</v>
      </c>
      <c r="N1926">
        <v>-11.3254383222864</v>
      </c>
      <c r="O1926">
        <v>35.43</v>
      </c>
      <c r="P1926">
        <v>896</v>
      </c>
      <c r="Q1926">
        <v>37</v>
      </c>
      <c r="R1926">
        <v>13.25</v>
      </c>
    </row>
    <row r="1927" spans="1:18" x14ac:dyDescent="0.25">
      <c r="A1927" s="1" t="s">
        <v>177</v>
      </c>
      <c r="B1927" s="2">
        <v>400</v>
      </c>
      <c r="C1927" s="19">
        <v>40</v>
      </c>
      <c r="D1927" s="3" t="s">
        <v>496</v>
      </c>
      <c r="E1927" s="3" t="s">
        <v>3</v>
      </c>
      <c r="F1927" s="23">
        <v>108135</v>
      </c>
      <c r="G1927" s="15">
        <v>2006</v>
      </c>
      <c r="H1927" s="15">
        <f>Table_7[[#This Row],[Listing Price (USD)]]/10000</f>
        <v>10.813499999999999</v>
      </c>
      <c r="I1927" s="28">
        <f>Table_7[[#This Row],[Length 
(ft)]]</f>
        <v>40</v>
      </c>
      <c r="J1927" s="28">
        <f>2020-Table_7[[#This Row],[Year]]</f>
        <v>14</v>
      </c>
      <c r="K1927">
        <v>2639008701648.2598</v>
      </c>
      <c r="L1927">
        <v>39055.282928075401</v>
      </c>
      <c r="M1927">
        <v>0.47649885272508302</v>
      </c>
      <c r="N1927">
        <v>-7.7845864916787102</v>
      </c>
      <c r="O1927">
        <v>35.43</v>
      </c>
      <c r="P1927">
        <v>896</v>
      </c>
      <c r="Q1927">
        <v>37</v>
      </c>
      <c r="R1927">
        <v>13.25</v>
      </c>
    </row>
    <row r="1928" spans="1:18" x14ac:dyDescent="0.25">
      <c r="A1928" s="1" t="s">
        <v>177</v>
      </c>
      <c r="B1928" s="2">
        <v>400</v>
      </c>
      <c r="C1928" s="19">
        <v>40</v>
      </c>
      <c r="D1928" s="3" t="s">
        <v>496</v>
      </c>
      <c r="E1928" s="3" t="s">
        <v>516</v>
      </c>
      <c r="F1928" s="23">
        <v>115275</v>
      </c>
      <c r="G1928" s="15">
        <v>2006</v>
      </c>
      <c r="H1928" s="15">
        <f>Table_7[[#This Row],[Listing Price (USD)]]/10000</f>
        <v>11.5275</v>
      </c>
      <c r="I1928" s="28">
        <f>Table_7[[#This Row],[Length 
(ft)]]</f>
        <v>40</v>
      </c>
      <c r="J1928" s="28">
        <f>2020-Table_7[[#This Row],[Year]]</f>
        <v>14</v>
      </c>
      <c r="K1928">
        <v>909793466661.48096</v>
      </c>
      <c r="L1928">
        <v>52162.570115040602</v>
      </c>
      <c r="M1928">
        <v>1.2724603778917001</v>
      </c>
      <c r="N1928">
        <v>-3.88608391819609</v>
      </c>
      <c r="O1928">
        <v>35.43</v>
      </c>
      <c r="P1928">
        <v>896</v>
      </c>
      <c r="Q1928">
        <v>37</v>
      </c>
      <c r="R1928">
        <v>13.25</v>
      </c>
    </row>
    <row r="1929" spans="1:18" x14ac:dyDescent="0.25">
      <c r="A1929" s="1" t="s">
        <v>177</v>
      </c>
      <c r="B1929" s="2">
        <v>400</v>
      </c>
      <c r="C1929" s="19">
        <v>40</v>
      </c>
      <c r="D1929" s="3" t="s">
        <v>496</v>
      </c>
      <c r="E1929" s="3" t="s">
        <v>24</v>
      </c>
      <c r="F1929" s="23">
        <v>115396</v>
      </c>
      <c r="G1929" s="15">
        <v>2010</v>
      </c>
      <c r="H1929" s="15">
        <f>Table_7[[#This Row],[Listing Price (USD)]]/10000</f>
        <v>11.5396</v>
      </c>
      <c r="I1929" s="28">
        <f>Table_7[[#This Row],[Length 
(ft)]]</f>
        <v>40</v>
      </c>
      <c r="J1929" s="28">
        <f>2020-Table_7[[#This Row],[Year]]</f>
        <v>10</v>
      </c>
      <c r="K1929">
        <v>1896755301518.1399</v>
      </c>
      <c r="L1929">
        <v>31911.0357890017</v>
      </c>
      <c r="M1929">
        <v>-0.13770757391656999</v>
      </c>
      <c r="N1929">
        <v>-9.0399534112288507</v>
      </c>
      <c r="O1929">
        <v>35.43</v>
      </c>
      <c r="P1929">
        <v>896</v>
      </c>
      <c r="Q1929">
        <v>37</v>
      </c>
      <c r="R1929">
        <v>13.25</v>
      </c>
    </row>
    <row r="1930" spans="1:18" x14ac:dyDescent="0.25">
      <c r="A1930" s="1" t="s">
        <v>177</v>
      </c>
      <c r="B1930" s="2">
        <v>400</v>
      </c>
      <c r="C1930" s="19">
        <v>40</v>
      </c>
      <c r="D1930" s="3" t="s">
        <v>496</v>
      </c>
      <c r="E1930" s="3" t="s">
        <v>141</v>
      </c>
      <c r="F1930" s="23">
        <v>120255</v>
      </c>
      <c r="G1930" s="15">
        <v>2007</v>
      </c>
      <c r="H1930" s="15">
        <f>Table_7[[#This Row],[Listing Price (USD)]]/10000</f>
        <v>12.025499999999999</v>
      </c>
      <c r="I1930" s="28">
        <f>Table_7[[#This Row],[Length 
(ft)]]</f>
        <v>40</v>
      </c>
      <c r="J1930" s="28">
        <f>2020-Table_7[[#This Row],[Year]]</f>
        <v>13</v>
      </c>
      <c r="K1930">
        <v>31370395572.7658</v>
      </c>
      <c r="L1930">
        <v>23595.243683644101</v>
      </c>
      <c r="M1930">
        <v>-0.44453109767985899</v>
      </c>
      <c r="N1930">
        <v>-0.55100125774716002</v>
      </c>
      <c r="O1930">
        <v>35.43</v>
      </c>
      <c r="P1930">
        <v>896</v>
      </c>
      <c r="Q1930">
        <v>37</v>
      </c>
      <c r="R1930">
        <v>13.25</v>
      </c>
    </row>
    <row r="1931" spans="1:18" x14ac:dyDescent="0.25">
      <c r="A1931" s="1" t="s">
        <v>177</v>
      </c>
      <c r="B1931" s="2">
        <v>400</v>
      </c>
      <c r="C1931" s="19">
        <v>40</v>
      </c>
      <c r="D1931" s="3" t="s">
        <v>496</v>
      </c>
      <c r="E1931" s="3" t="s">
        <v>19</v>
      </c>
      <c r="F1931" s="23">
        <v>139884</v>
      </c>
      <c r="G1931" s="15">
        <v>2011</v>
      </c>
      <c r="H1931" s="15">
        <f>Table_7[[#This Row],[Listing Price (USD)]]/10000</f>
        <v>13.9884</v>
      </c>
      <c r="I1931" s="28">
        <f>Table_7[[#This Row],[Length 
(ft)]]</f>
        <v>40</v>
      </c>
      <c r="J1931" s="28">
        <f>2020-Table_7[[#This Row],[Year]]</f>
        <v>9</v>
      </c>
      <c r="K1931">
        <v>4200000000</v>
      </c>
      <c r="L1931">
        <v>39553.199999999997</v>
      </c>
      <c r="M1931">
        <v>4.0999999999999996</v>
      </c>
      <c r="N1931">
        <v>-2.1</v>
      </c>
      <c r="O1931">
        <v>35.43</v>
      </c>
      <c r="P1931">
        <v>896</v>
      </c>
      <c r="Q1931">
        <v>37</v>
      </c>
      <c r="R1931">
        <v>13.25</v>
      </c>
    </row>
    <row r="1932" spans="1:18" x14ac:dyDescent="0.25">
      <c r="A1932" s="1" t="s">
        <v>177</v>
      </c>
      <c r="B1932" s="2">
        <v>400</v>
      </c>
      <c r="C1932" s="19">
        <v>40</v>
      </c>
      <c r="D1932" s="3" t="s">
        <v>496</v>
      </c>
      <c r="E1932" s="3" t="s">
        <v>3</v>
      </c>
      <c r="F1932" s="23">
        <v>145764</v>
      </c>
      <c r="G1932" s="15">
        <v>2010</v>
      </c>
      <c r="H1932" s="15">
        <f>Table_7[[#This Row],[Listing Price (USD)]]/10000</f>
        <v>14.5764</v>
      </c>
      <c r="I1932" s="28">
        <f>Table_7[[#This Row],[Length 
(ft)]]</f>
        <v>40</v>
      </c>
      <c r="J1932" s="28">
        <f>2020-Table_7[[#This Row],[Year]]</f>
        <v>10</v>
      </c>
      <c r="K1932">
        <v>2639008701648.2598</v>
      </c>
      <c r="L1932">
        <v>39055.282928075401</v>
      </c>
      <c r="M1932">
        <v>0.47649885272508302</v>
      </c>
      <c r="N1932">
        <v>-7.7845864916787102</v>
      </c>
      <c r="O1932">
        <v>35.43</v>
      </c>
      <c r="P1932">
        <v>896</v>
      </c>
      <c r="Q1932">
        <v>37</v>
      </c>
      <c r="R1932">
        <v>13.25</v>
      </c>
    </row>
    <row r="1933" spans="1:18" x14ac:dyDescent="0.25">
      <c r="A1933" s="1" t="s">
        <v>177</v>
      </c>
      <c r="B1933" s="2">
        <v>400</v>
      </c>
      <c r="C1933" s="19">
        <v>40</v>
      </c>
      <c r="D1933" s="3" t="s">
        <v>496</v>
      </c>
      <c r="E1933" s="3" t="s">
        <v>3</v>
      </c>
      <c r="F1933" s="23">
        <v>145801</v>
      </c>
      <c r="G1933" s="15">
        <v>2010</v>
      </c>
      <c r="H1933" s="15">
        <f>Table_7[[#This Row],[Listing Price (USD)]]/10000</f>
        <v>14.5801</v>
      </c>
      <c r="I1933" s="28">
        <f>Table_7[[#This Row],[Length 
(ft)]]</f>
        <v>40</v>
      </c>
      <c r="J1933" s="28">
        <f>2020-Table_7[[#This Row],[Year]]</f>
        <v>10</v>
      </c>
      <c r="K1933">
        <v>2639008701648.2598</v>
      </c>
      <c r="L1933">
        <v>39055.282928075401</v>
      </c>
      <c r="M1933">
        <v>0.47649885272508302</v>
      </c>
      <c r="N1933">
        <v>-7.7845864916787102</v>
      </c>
      <c r="O1933">
        <v>35.43</v>
      </c>
      <c r="P1933">
        <v>896</v>
      </c>
      <c r="Q1933">
        <v>37</v>
      </c>
      <c r="R1933">
        <v>13.25</v>
      </c>
    </row>
    <row r="1934" spans="1:18" x14ac:dyDescent="0.25">
      <c r="A1934" s="1" t="s">
        <v>177</v>
      </c>
      <c r="B1934" s="2">
        <v>400</v>
      </c>
      <c r="C1934" s="19">
        <v>40</v>
      </c>
      <c r="D1934" s="3" t="s">
        <v>496</v>
      </c>
      <c r="E1934" s="3" t="s">
        <v>516</v>
      </c>
      <c r="F1934" s="23">
        <v>151716</v>
      </c>
      <c r="G1934" s="15">
        <v>2010</v>
      </c>
      <c r="H1934" s="15">
        <f>Table_7[[#This Row],[Listing Price (USD)]]/10000</f>
        <v>15.1716</v>
      </c>
      <c r="I1934" s="28">
        <f>Table_7[[#This Row],[Length 
(ft)]]</f>
        <v>40</v>
      </c>
      <c r="J1934" s="28">
        <f>2020-Table_7[[#This Row],[Year]]</f>
        <v>10</v>
      </c>
      <c r="K1934">
        <v>909793466661.48096</v>
      </c>
      <c r="L1934">
        <v>52162.570115040602</v>
      </c>
      <c r="M1934">
        <v>1.2724603778917001</v>
      </c>
      <c r="N1934">
        <v>-3.88608391819609</v>
      </c>
      <c r="O1934">
        <v>35.43</v>
      </c>
      <c r="P1934">
        <v>896</v>
      </c>
      <c r="Q1934">
        <v>37</v>
      </c>
      <c r="R1934">
        <v>13.25</v>
      </c>
    </row>
    <row r="1935" spans="1:18" x14ac:dyDescent="0.25">
      <c r="A1935" s="1" t="s">
        <v>177</v>
      </c>
      <c r="B1935" s="2">
        <v>400</v>
      </c>
      <c r="C1935" s="19">
        <v>40</v>
      </c>
      <c r="D1935" s="3" t="s">
        <v>496</v>
      </c>
      <c r="E1935" s="3" t="s">
        <v>18</v>
      </c>
      <c r="F1935" s="23">
        <v>151837</v>
      </c>
      <c r="G1935" s="15">
        <v>2012</v>
      </c>
      <c r="H1935" s="15">
        <f>Table_7[[#This Row],[Listing Price (USD)]]/10000</f>
        <v>15.1837</v>
      </c>
      <c r="I1935" s="28">
        <f>Table_7[[#This Row],[Length 
(ft)]]</f>
        <v>40</v>
      </c>
      <c r="J1935" s="28">
        <f>2020-Table_7[[#This Row],[Year]]</f>
        <v>8</v>
      </c>
      <c r="K1935">
        <v>188925995936.80701</v>
      </c>
      <c r="L1935">
        <v>17658.947301119199</v>
      </c>
      <c r="M1935">
        <v>-1.2479835558140799</v>
      </c>
      <c r="N1935">
        <v>-9.0040436420214593</v>
      </c>
      <c r="O1935">
        <v>35.43</v>
      </c>
      <c r="P1935">
        <v>896</v>
      </c>
      <c r="Q1935">
        <v>37</v>
      </c>
      <c r="R1935">
        <v>13.25</v>
      </c>
    </row>
    <row r="1936" spans="1:18" x14ac:dyDescent="0.25">
      <c r="A1936" s="1" t="s">
        <v>143</v>
      </c>
      <c r="B1936" s="2">
        <v>410</v>
      </c>
      <c r="C1936" s="19">
        <v>40</v>
      </c>
      <c r="D1936" s="3" t="s">
        <v>496</v>
      </c>
      <c r="E1936" s="3" t="s">
        <v>31</v>
      </c>
      <c r="F1936" s="23">
        <v>97041</v>
      </c>
      <c r="G1936" s="15">
        <v>2007</v>
      </c>
      <c r="H1936" s="15">
        <f>Table_7[[#This Row],[Listing Price (USD)]]/10000</f>
        <v>9.7041000000000004</v>
      </c>
      <c r="I1936" s="28">
        <f>Table_7[[#This Row],[Length 
(ft)]]</f>
        <v>40</v>
      </c>
      <c r="J1936" s="28">
        <f>2020-Table_7[[#This Row],[Year]]</f>
        <v>13</v>
      </c>
      <c r="K1936">
        <v>57472012426.685303</v>
      </c>
      <c r="L1936">
        <v>14198.753959474399</v>
      </c>
      <c r="M1936">
        <v>0.15481137456202801</v>
      </c>
      <c r="N1936">
        <v>-8.5803430210621805</v>
      </c>
      <c r="O1936">
        <v>35.43</v>
      </c>
      <c r="P1936">
        <v>896</v>
      </c>
      <c r="Q1936">
        <v>37</v>
      </c>
      <c r="R1936">
        <v>13.25</v>
      </c>
    </row>
    <row r="1937" spans="1:18" x14ac:dyDescent="0.25">
      <c r="A1937" s="1" t="s">
        <v>143</v>
      </c>
      <c r="B1937" s="2">
        <v>410</v>
      </c>
      <c r="C1937" s="19">
        <v>40</v>
      </c>
      <c r="D1937" s="3" t="s">
        <v>496</v>
      </c>
      <c r="E1937" s="3" t="s">
        <v>18</v>
      </c>
      <c r="F1937" s="23">
        <v>103235</v>
      </c>
      <c r="G1937" s="15">
        <v>2008</v>
      </c>
      <c r="H1937" s="15">
        <f>Table_7[[#This Row],[Listing Price (USD)]]/10000</f>
        <v>10.323499999999999</v>
      </c>
      <c r="I1937" s="28">
        <f>Table_7[[#This Row],[Length 
(ft)]]</f>
        <v>40</v>
      </c>
      <c r="J1937" s="28">
        <f>2020-Table_7[[#This Row],[Year]]</f>
        <v>12</v>
      </c>
      <c r="K1937">
        <v>188925995936.80701</v>
      </c>
      <c r="L1937">
        <v>17658.947301119199</v>
      </c>
      <c r="M1937">
        <v>-1.2479835558140799</v>
      </c>
      <c r="N1937">
        <v>-9.0040436420214593</v>
      </c>
      <c r="O1937">
        <v>35.43</v>
      </c>
      <c r="P1937">
        <v>896</v>
      </c>
      <c r="Q1937">
        <v>37</v>
      </c>
      <c r="R1937">
        <v>13.25</v>
      </c>
    </row>
    <row r="1938" spans="1:18" x14ac:dyDescent="0.25">
      <c r="A1938" s="1" t="s">
        <v>128</v>
      </c>
      <c r="B1938" s="2">
        <v>410</v>
      </c>
      <c r="C1938" s="19">
        <v>40</v>
      </c>
      <c r="D1938" s="3" t="s">
        <v>496</v>
      </c>
      <c r="E1938" s="3" t="s">
        <v>3</v>
      </c>
      <c r="F1938" s="23">
        <v>156696</v>
      </c>
      <c r="G1938" s="15">
        <v>2014</v>
      </c>
      <c r="H1938" s="15">
        <f>Table_7[[#This Row],[Listing Price (USD)]]/10000</f>
        <v>15.669600000000001</v>
      </c>
      <c r="I1938" s="28">
        <f>Table_7[[#This Row],[Length 
(ft)]]</f>
        <v>40</v>
      </c>
      <c r="J1938" s="28">
        <f>2020-Table_7[[#This Row],[Year]]</f>
        <v>6</v>
      </c>
      <c r="K1938">
        <v>2639008701648.2598</v>
      </c>
      <c r="L1938">
        <v>39055.282928075401</v>
      </c>
      <c r="M1938">
        <v>0.47649885272508302</v>
      </c>
      <c r="N1938">
        <v>-7.7845864916787102</v>
      </c>
      <c r="O1938">
        <v>35.43</v>
      </c>
      <c r="P1938">
        <v>896</v>
      </c>
      <c r="Q1938">
        <v>37</v>
      </c>
      <c r="R1938">
        <v>13.25</v>
      </c>
    </row>
    <row r="1939" spans="1:18" x14ac:dyDescent="0.25">
      <c r="A1939" s="1" t="s">
        <v>128</v>
      </c>
      <c r="B1939" s="2">
        <v>410</v>
      </c>
      <c r="C1939" s="19">
        <v>40</v>
      </c>
      <c r="D1939" s="3" t="s">
        <v>496</v>
      </c>
      <c r="E1939" s="3" t="s">
        <v>3</v>
      </c>
      <c r="F1939" s="23">
        <v>160318</v>
      </c>
      <c r="G1939" s="15">
        <v>2013</v>
      </c>
      <c r="H1939" s="15">
        <f>Table_7[[#This Row],[Listing Price (USD)]]/10000</f>
        <v>16.0318</v>
      </c>
      <c r="I1939" s="28">
        <f>Table_7[[#This Row],[Length 
(ft)]]</f>
        <v>40</v>
      </c>
      <c r="J1939" s="28">
        <f>2020-Table_7[[#This Row],[Year]]</f>
        <v>7</v>
      </c>
      <c r="K1939">
        <v>2639008701648.2598</v>
      </c>
      <c r="L1939">
        <v>39055.282928075401</v>
      </c>
      <c r="M1939">
        <v>0.47649885272508302</v>
      </c>
      <c r="N1939">
        <v>-7.7845864916787102</v>
      </c>
      <c r="O1939">
        <v>35.43</v>
      </c>
      <c r="P1939">
        <v>896</v>
      </c>
      <c r="Q1939">
        <v>37</v>
      </c>
      <c r="R1939">
        <v>13.25</v>
      </c>
    </row>
    <row r="1940" spans="1:18" x14ac:dyDescent="0.25">
      <c r="A1940" s="1" t="s">
        <v>177</v>
      </c>
      <c r="B1940" s="2">
        <v>411</v>
      </c>
      <c r="C1940" s="19">
        <v>40</v>
      </c>
      <c r="D1940" s="3" t="s">
        <v>496</v>
      </c>
      <c r="E1940" s="3" t="s">
        <v>24</v>
      </c>
      <c r="F1940" s="23">
        <v>83814</v>
      </c>
      <c r="G1940" s="15">
        <v>2005</v>
      </c>
      <c r="H1940" s="15">
        <f>Table_7[[#This Row],[Listing Price (USD)]]/10000</f>
        <v>8.3813999999999993</v>
      </c>
      <c r="I1940" s="28">
        <f>Table_7[[#This Row],[Length 
(ft)]]</f>
        <v>40</v>
      </c>
      <c r="J1940" s="28">
        <f>2020-Table_7[[#This Row],[Year]]</f>
        <v>15</v>
      </c>
      <c r="K1940">
        <v>1896755301518.1399</v>
      </c>
      <c r="L1940">
        <v>31911.0357890017</v>
      </c>
      <c r="M1940">
        <v>-0.13770757391656999</v>
      </c>
      <c r="N1940">
        <v>-9.0399534112288507</v>
      </c>
      <c r="O1940">
        <v>35.43</v>
      </c>
      <c r="P1940">
        <v>896</v>
      </c>
      <c r="Q1940">
        <v>37</v>
      </c>
      <c r="R1940">
        <v>13.25</v>
      </c>
    </row>
    <row r="1941" spans="1:18" x14ac:dyDescent="0.25">
      <c r="A1941" s="1" t="s">
        <v>177</v>
      </c>
      <c r="B1941" s="2">
        <v>411</v>
      </c>
      <c r="C1941" s="19">
        <v>40</v>
      </c>
      <c r="D1941" s="3" t="s">
        <v>496</v>
      </c>
      <c r="E1941" s="3" t="s">
        <v>19</v>
      </c>
      <c r="F1941" s="23">
        <v>93256</v>
      </c>
      <c r="G1941" s="15">
        <v>2005</v>
      </c>
      <c r="H1941" s="15">
        <f>Table_7[[#This Row],[Listing Price (USD)]]/10000</f>
        <v>9.3255999999999997</v>
      </c>
      <c r="I1941" s="28">
        <f>Table_7[[#This Row],[Length 
(ft)]]</f>
        <v>40</v>
      </c>
      <c r="J1941" s="28">
        <f>2020-Table_7[[#This Row],[Year]]</f>
        <v>15</v>
      </c>
      <c r="K1941">
        <v>4200000000</v>
      </c>
      <c r="L1941">
        <v>39553.199999999997</v>
      </c>
      <c r="M1941">
        <v>4.0999999999999996</v>
      </c>
      <c r="N1941">
        <v>-2.1</v>
      </c>
      <c r="O1941">
        <v>35.43</v>
      </c>
      <c r="P1941">
        <v>896</v>
      </c>
      <c r="Q1941">
        <v>37</v>
      </c>
      <c r="R1941">
        <v>13.25</v>
      </c>
    </row>
    <row r="1942" spans="1:18" x14ac:dyDescent="0.25">
      <c r="A1942" s="1" t="s">
        <v>177</v>
      </c>
      <c r="B1942" s="2">
        <v>411</v>
      </c>
      <c r="C1942" s="19">
        <v>40</v>
      </c>
      <c r="D1942" s="3" t="s">
        <v>496</v>
      </c>
      <c r="E1942" s="3" t="s">
        <v>9</v>
      </c>
      <c r="F1942" s="23">
        <v>100820</v>
      </c>
      <c r="G1942" s="15">
        <v>2006</v>
      </c>
      <c r="H1942" s="15">
        <f>Table_7[[#This Row],[Listing Price (USD)]]/10000</f>
        <v>10.082000000000001</v>
      </c>
      <c r="I1942" s="28">
        <f>Table_7[[#This Row],[Length 
(ft)]]</f>
        <v>40</v>
      </c>
      <c r="J1942" s="28">
        <f>2020-Table_7[[#This Row],[Year]]</f>
        <v>14</v>
      </c>
      <c r="K1942">
        <v>1276962685648.25</v>
      </c>
      <c r="L1942">
        <v>26959.675436732599</v>
      </c>
      <c r="M1942">
        <v>-0.32275301729970501</v>
      </c>
      <c r="N1942">
        <v>-11.3254383222864</v>
      </c>
      <c r="O1942">
        <v>35.43</v>
      </c>
      <c r="P1942">
        <v>896</v>
      </c>
      <c r="Q1942">
        <v>37</v>
      </c>
      <c r="R1942">
        <v>13.25</v>
      </c>
    </row>
    <row r="1943" spans="1:18" x14ac:dyDescent="0.25">
      <c r="A1943" s="1" t="s">
        <v>177</v>
      </c>
      <c r="B1943" s="2">
        <v>411</v>
      </c>
      <c r="C1943" s="19">
        <v>40</v>
      </c>
      <c r="D1943" s="3" t="s">
        <v>496</v>
      </c>
      <c r="E1943" s="3" t="s">
        <v>24</v>
      </c>
      <c r="F1943" s="23">
        <v>103249</v>
      </c>
      <c r="G1943" s="15">
        <v>2005</v>
      </c>
      <c r="H1943" s="15">
        <f>Table_7[[#This Row],[Listing Price (USD)]]/10000</f>
        <v>10.3249</v>
      </c>
      <c r="I1943" s="28">
        <f>Table_7[[#This Row],[Length 
(ft)]]</f>
        <v>40</v>
      </c>
      <c r="J1943" s="28">
        <f>2020-Table_7[[#This Row],[Year]]</f>
        <v>15</v>
      </c>
      <c r="K1943">
        <v>1896755301518.1399</v>
      </c>
      <c r="L1943">
        <v>31911.0357890017</v>
      </c>
      <c r="M1943">
        <v>-0.13770757391656999</v>
      </c>
      <c r="N1943">
        <v>-9.0399534112288507</v>
      </c>
      <c r="O1943">
        <v>35.43</v>
      </c>
      <c r="P1943">
        <v>896</v>
      </c>
      <c r="Q1943">
        <v>37</v>
      </c>
      <c r="R1943">
        <v>13.25</v>
      </c>
    </row>
    <row r="1944" spans="1:18" x14ac:dyDescent="0.25">
      <c r="A1944" s="1" t="s">
        <v>177</v>
      </c>
      <c r="B1944" s="2">
        <v>411</v>
      </c>
      <c r="C1944" s="19">
        <v>40</v>
      </c>
      <c r="D1944" s="3" t="s">
        <v>496</v>
      </c>
      <c r="E1944" s="3" t="s">
        <v>24</v>
      </c>
      <c r="F1944" s="23">
        <v>120239</v>
      </c>
      <c r="G1944" s="15">
        <v>2005</v>
      </c>
      <c r="H1944" s="15">
        <f>Table_7[[#This Row],[Listing Price (USD)]]/10000</f>
        <v>12.023899999999999</v>
      </c>
      <c r="I1944" s="28">
        <f>Table_7[[#This Row],[Length 
(ft)]]</f>
        <v>40</v>
      </c>
      <c r="J1944" s="28">
        <f>2020-Table_7[[#This Row],[Year]]</f>
        <v>15</v>
      </c>
      <c r="K1944">
        <v>1896755301518.1399</v>
      </c>
      <c r="L1944">
        <v>31911.0357890017</v>
      </c>
      <c r="M1944">
        <v>-0.13770757391656999</v>
      </c>
      <c r="N1944">
        <v>-9.0399534112288507</v>
      </c>
      <c r="O1944">
        <v>35.43</v>
      </c>
      <c r="P1944">
        <v>896</v>
      </c>
      <c r="Q1944">
        <v>37</v>
      </c>
      <c r="R1944">
        <v>13.25</v>
      </c>
    </row>
    <row r="1945" spans="1:18" x14ac:dyDescent="0.25">
      <c r="A1945" s="1" t="s">
        <v>187</v>
      </c>
      <c r="B1945" s="3">
        <v>39</v>
      </c>
      <c r="C1945" s="19">
        <v>39</v>
      </c>
      <c r="D1945" s="3" t="s">
        <v>495</v>
      </c>
      <c r="E1945" s="3" t="s">
        <v>523</v>
      </c>
      <c r="F1945" s="23">
        <v>144900</v>
      </c>
      <c r="G1945" s="15">
        <v>2010</v>
      </c>
      <c r="H1945" s="15">
        <f>Table_7[[#This Row],[Listing Price (USD)]]/10000</f>
        <v>14.49</v>
      </c>
      <c r="I1945" s="28">
        <f>Table_7[[#This Row],[Length 
(ft)]]</f>
        <v>39</v>
      </c>
      <c r="J1945" s="28">
        <f>2020-Table_7[[#This Row],[Year]]</f>
        <v>10</v>
      </c>
      <c r="K1945">
        <v>1775588000000</v>
      </c>
      <c r="L1945">
        <v>60771.06</v>
      </c>
      <c r="M1945">
        <v>1.23</v>
      </c>
      <c r="N1945">
        <v>5.0999999999999996</v>
      </c>
      <c r="O1945">
        <v>34.67</v>
      </c>
      <c r="P1945">
        <v>991</v>
      </c>
      <c r="Q1945">
        <v>36</v>
      </c>
      <c r="R1945">
        <v>12.92</v>
      </c>
    </row>
    <row r="1946" spans="1:18" x14ac:dyDescent="0.25">
      <c r="A1946" s="1" t="s">
        <v>187</v>
      </c>
      <c r="B1946" s="3">
        <v>39</v>
      </c>
      <c r="C1946" s="19">
        <v>39</v>
      </c>
      <c r="D1946" s="3" t="s">
        <v>495</v>
      </c>
      <c r="E1946" s="3" t="s">
        <v>500</v>
      </c>
      <c r="F1946" s="23">
        <v>155000</v>
      </c>
      <c r="G1946" s="15">
        <v>2011</v>
      </c>
      <c r="H1946" s="15">
        <f>Table_7[[#This Row],[Listing Price (USD)]]/10000</f>
        <v>15.5</v>
      </c>
      <c r="I1946" s="28">
        <f>Table_7[[#This Row],[Length 
(ft)]]</f>
        <v>39</v>
      </c>
      <c r="J1946" s="28">
        <f>2020-Table_7[[#This Row],[Year]]</f>
        <v>9</v>
      </c>
      <c r="K1946">
        <v>3007188000000</v>
      </c>
      <c r="L1946">
        <v>76131.839999999997</v>
      </c>
      <c r="M1946">
        <v>1.23</v>
      </c>
      <c r="N1946">
        <v>2.7</v>
      </c>
      <c r="O1946">
        <v>34.67</v>
      </c>
      <c r="P1946">
        <v>991</v>
      </c>
      <c r="Q1946">
        <v>36</v>
      </c>
      <c r="R1946">
        <v>12.92</v>
      </c>
    </row>
    <row r="1947" spans="1:18" x14ac:dyDescent="0.25">
      <c r="A1947" s="1" t="s">
        <v>280</v>
      </c>
      <c r="B1947" s="2">
        <v>39</v>
      </c>
      <c r="C1947" s="19">
        <v>39</v>
      </c>
      <c r="D1947" s="3" t="s">
        <v>496</v>
      </c>
      <c r="E1947" s="3" t="s">
        <v>19</v>
      </c>
      <c r="F1947" s="23">
        <v>186497</v>
      </c>
      <c r="G1947" s="15">
        <v>2005</v>
      </c>
      <c r="H1947" s="15">
        <f>Table_7[[#This Row],[Listing Price (USD)]]/10000</f>
        <v>18.649699999999999</v>
      </c>
      <c r="I1947" s="28">
        <f>Table_7[[#This Row],[Length 
(ft)]]</f>
        <v>39</v>
      </c>
      <c r="J1947" s="28">
        <f>2020-Table_7[[#This Row],[Year]]</f>
        <v>15</v>
      </c>
      <c r="K1947">
        <v>4200000000</v>
      </c>
      <c r="L1947">
        <v>39553.199999999997</v>
      </c>
      <c r="M1947">
        <v>4.0999999999999996</v>
      </c>
      <c r="N1947">
        <v>-2.1</v>
      </c>
      <c r="O1947">
        <v>34.67</v>
      </c>
      <c r="P1947">
        <v>991</v>
      </c>
      <c r="Q1947">
        <v>36</v>
      </c>
      <c r="R1947">
        <v>12.92</v>
      </c>
    </row>
    <row r="1948" spans="1:18" x14ac:dyDescent="0.25">
      <c r="A1948" s="1" t="s">
        <v>393</v>
      </c>
      <c r="B1948" s="3">
        <v>39</v>
      </c>
      <c r="C1948" s="19">
        <v>39</v>
      </c>
      <c r="D1948" s="3" t="s">
        <v>497</v>
      </c>
      <c r="E1948" s="3" t="s">
        <v>392</v>
      </c>
      <c r="F1948" s="23">
        <v>245000</v>
      </c>
      <c r="G1948" s="15">
        <v>2005</v>
      </c>
      <c r="H1948" s="15">
        <f>Table_7[[#This Row],[Listing Price (USD)]]/10000</f>
        <v>24.5</v>
      </c>
      <c r="I1948" s="28">
        <f>Table_7[[#This Row],[Length 
(ft)]]</f>
        <v>39</v>
      </c>
      <c r="J1948" s="28">
        <f>2020-Table_7[[#This Row],[Year]]</f>
        <v>15</v>
      </c>
      <c r="K1948">
        <v>930371009830.08838</v>
      </c>
      <c r="L1948">
        <v>32045.28833705237</v>
      </c>
      <c r="M1948">
        <v>0.810222564232847</v>
      </c>
      <c r="N1948">
        <v>-6.18704127562025</v>
      </c>
      <c r="O1948">
        <v>34.67</v>
      </c>
      <c r="P1948">
        <v>991</v>
      </c>
      <c r="Q1948">
        <v>36</v>
      </c>
      <c r="R1948">
        <v>12.92</v>
      </c>
    </row>
    <row r="1949" spans="1:18" x14ac:dyDescent="0.25">
      <c r="A1949" s="1" t="s">
        <v>128</v>
      </c>
      <c r="B1949" s="3" t="s">
        <v>560</v>
      </c>
      <c r="C1949" s="19">
        <v>38</v>
      </c>
      <c r="D1949" s="3" t="s">
        <v>497</v>
      </c>
      <c r="E1949" s="3" t="s">
        <v>517</v>
      </c>
      <c r="F1949" s="23">
        <v>86000</v>
      </c>
      <c r="G1949" s="15">
        <v>2005</v>
      </c>
      <c r="H1949" s="15">
        <f>Table_7[[#This Row],[Listing Price (USD)]]/10000</f>
        <v>8.6</v>
      </c>
      <c r="I1949" s="28">
        <f>Table_7[[#This Row],[Length 
(ft)]]</f>
        <v>38</v>
      </c>
      <c r="J1949" s="28">
        <f>2020-Table_7[[#This Row],[Year]]</f>
        <v>15</v>
      </c>
      <c r="K1949">
        <v>930371009830.08838</v>
      </c>
      <c r="L1949">
        <v>32045.28833705237</v>
      </c>
      <c r="M1949">
        <v>0.810222564232847</v>
      </c>
      <c r="N1949">
        <v>-6.18704127562025</v>
      </c>
      <c r="O1949">
        <v>34.78</v>
      </c>
      <c r="P1949">
        <v>831.00199999999995</v>
      </c>
      <c r="Q1949">
        <v>36</v>
      </c>
      <c r="R1949">
        <v>12.47</v>
      </c>
    </row>
    <row r="1950" spans="1:18" x14ac:dyDescent="0.25">
      <c r="A1950" s="1" t="s">
        <v>128</v>
      </c>
      <c r="B1950" s="3" t="s">
        <v>560</v>
      </c>
      <c r="C1950" s="19">
        <v>38</v>
      </c>
      <c r="D1950" s="3" t="s">
        <v>496</v>
      </c>
      <c r="E1950" s="3" t="s">
        <v>18</v>
      </c>
      <c r="F1950" s="23">
        <v>91102</v>
      </c>
      <c r="G1950" s="15">
        <v>2007</v>
      </c>
      <c r="H1950" s="15">
        <f>Table_7[[#This Row],[Listing Price (USD)]]/10000</f>
        <v>9.1102000000000007</v>
      </c>
      <c r="I1950" s="28">
        <f>Table_7[[#This Row],[Length 
(ft)]]</f>
        <v>38</v>
      </c>
      <c r="J1950" s="28">
        <f>2020-Table_7[[#This Row],[Year]]</f>
        <v>13</v>
      </c>
      <c r="K1950">
        <v>188925995936.80701</v>
      </c>
      <c r="L1950">
        <v>17658.947301119199</v>
      </c>
      <c r="M1950">
        <v>-1.2479835558140799</v>
      </c>
      <c r="N1950">
        <v>-9.0040436420214593</v>
      </c>
      <c r="O1950">
        <v>34.78</v>
      </c>
      <c r="P1950">
        <v>831.00199999999995</v>
      </c>
      <c r="Q1950">
        <v>36</v>
      </c>
      <c r="R1950">
        <v>12.47</v>
      </c>
    </row>
    <row r="1951" spans="1:18" x14ac:dyDescent="0.25">
      <c r="A1951" s="1" t="s">
        <v>128</v>
      </c>
      <c r="B1951" s="3" t="s">
        <v>560</v>
      </c>
      <c r="C1951" s="19">
        <v>38</v>
      </c>
      <c r="D1951" s="3" t="s">
        <v>496</v>
      </c>
      <c r="E1951" s="3" t="s">
        <v>24</v>
      </c>
      <c r="F1951" s="23">
        <v>91102</v>
      </c>
      <c r="G1951" s="15">
        <v>2007</v>
      </c>
      <c r="H1951" s="15">
        <f>Table_7[[#This Row],[Listing Price (USD)]]/10000</f>
        <v>9.1102000000000007</v>
      </c>
      <c r="I1951" s="28">
        <f>Table_7[[#This Row],[Length 
(ft)]]</f>
        <v>38</v>
      </c>
      <c r="J1951" s="28">
        <f>2020-Table_7[[#This Row],[Year]]</f>
        <v>13</v>
      </c>
      <c r="K1951">
        <v>1896755301518.1399</v>
      </c>
      <c r="L1951">
        <v>31911.0357890017</v>
      </c>
      <c r="M1951">
        <v>-0.13770757391656999</v>
      </c>
      <c r="N1951">
        <v>-9.0399534112288507</v>
      </c>
      <c r="O1951">
        <v>34.78</v>
      </c>
      <c r="P1951">
        <v>831.00199999999995</v>
      </c>
      <c r="Q1951">
        <v>36</v>
      </c>
      <c r="R1951">
        <v>12.47</v>
      </c>
    </row>
    <row r="1952" spans="1:18" x14ac:dyDescent="0.25">
      <c r="A1952" s="1" t="s">
        <v>128</v>
      </c>
      <c r="B1952" s="3" t="s">
        <v>560</v>
      </c>
      <c r="C1952" s="19">
        <v>38</v>
      </c>
      <c r="D1952" s="3" t="s">
        <v>496</v>
      </c>
      <c r="E1952" s="3" t="s">
        <v>24</v>
      </c>
      <c r="F1952" s="23">
        <v>102034</v>
      </c>
      <c r="G1952" s="15">
        <v>2007</v>
      </c>
      <c r="H1952" s="15">
        <f>Table_7[[#This Row],[Listing Price (USD)]]/10000</f>
        <v>10.2034</v>
      </c>
      <c r="I1952" s="28">
        <f>Table_7[[#This Row],[Length 
(ft)]]</f>
        <v>38</v>
      </c>
      <c r="J1952" s="28">
        <f>2020-Table_7[[#This Row],[Year]]</f>
        <v>13</v>
      </c>
      <c r="K1952">
        <v>1896755301518.1399</v>
      </c>
      <c r="L1952">
        <v>31911.0357890017</v>
      </c>
      <c r="M1952">
        <v>-0.13770757391656999</v>
      </c>
      <c r="N1952">
        <v>-9.0399534112288507</v>
      </c>
      <c r="O1952">
        <v>34.78</v>
      </c>
      <c r="P1952">
        <v>831.00199999999995</v>
      </c>
      <c r="Q1952">
        <v>36</v>
      </c>
      <c r="R1952">
        <v>12.47</v>
      </c>
    </row>
    <row r="1953" spans="1:18" x14ac:dyDescent="0.25">
      <c r="A1953" s="1" t="s">
        <v>128</v>
      </c>
      <c r="B1953" s="3" t="s">
        <v>560</v>
      </c>
      <c r="C1953" s="19">
        <v>38</v>
      </c>
      <c r="D1953" s="3" t="s">
        <v>496</v>
      </c>
      <c r="E1953" s="3" t="s">
        <v>3</v>
      </c>
      <c r="F1953" s="23">
        <v>103249</v>
      </c>
      <c r="G1953" s="15">
        <v>2006</v>
      </c>
      <c r="H1953" s="15">
        <f>Table_7[[#This Row],[Listing Price (USD)]]/10000</f>
        <v>10.3249</v>
      </c>
      <c r="I1953" s="28">
        <f>Table_7[[#This Row],[Length 
(ft)]]</f>
        <v>38</v>
      </c>
      <c r="J1953" s="28">
        <f>2020-Table_7[[#This Row],[Year]]</f>
        <v>14</v>
      </c>
      <c r="K1953">
        <v>2639008701648.2598</v>
      </c>
      <c r="L1953">
        <v>39055.282928075401</v>
      </c>
      <c r="M1953">
        <v>0.47649885272508302</v>
      </c>
      <c r="N1953">
        <v>-7.7845864916787102</v>
      </c>
      <c r="O1953">
        <v>34.78</v>
      </c>
      <c r="P1953">
        <v>831.00199999999995</v>
      </c>
      <c r="Q1953">
        <v>36</v>
      </c>
      <c r="R1953">
        <v>12.47</v>
      </c>
    </row>
    <row r="1954" spans="1:18" x14ac:dyDescent="0.25">
      <c r="A1954" s="1" t="s">
        <v>45</v>
      </c>
      <c r="B1954" s="2" t="s">
        <v>49</v>
      </c>
      <c r="C1954" s="19">
        <v>40</v>
      </c>
      <c r="D1954" s="3" t="s">
        <v>496</v>
      </c>
      <c r="E1954" s="3" t="s">
        <v>19</v>
      </c>
      <c r="F1954" s="23">
        <v>59535</v>
      </c>
      <c r="G1954" s="15">
        <v>2011</v>
      </c>
      <c r="H1954" s="15">
        <f>Table_7[[#This Row],[Listing Price (USD)]]/10000</f>
        <v>5.9535</v>
      </c>
      <c r="I1954" s="28">
        <f>Table_7[[#This Row],[Length 
(ft)]]</f>
        <v>40</v>
      </c>
      <c r="J1954" s="28">
        <f>2020-Table_7[[#This Row],[Year]]</f>
        <v>9</v>
      </c>
      <c r="K1954">
        <v>4200000000</v>
      </c>
      <c r="L1954">
        <v>39553.199999999997</v>
      </c>
      <c r="M1954">
        <v>4.0999999999999996</v>
      </c>
      <c r="N1954">
        <v>-2.1</v>
      </c>
      <c r="O1954">
        <v>35</v>
      </c>
      <c r="P1954">
        <v>848.00199999999995</v>
      </c>
      <c r="Q1954">
        <v>36</v>
      </c>
      <c r="R1954">
        <v>12.75</v>
      </c>
    </row>
    <row r="1955" spans="1:18" x14ac:dyDescent="0.25">
      <c r="A1955" s="1" t="s">
        <v>45</v>
      </c>
      <c r="B1955" s="2" t="s">
        <v>49</v>
      </c>
      <c r="C1955" s="19">
        <v>40</v>
      </c>
      <c r="D1955" s="3" t="s">
        <v>496</v>
      </c>
      <c r="E1955" s="3" t="s">
        <v>19</v>
      </c>
      <c r="F1955" s="23">
        <v>106562</v>
      </c>
      <c r="G1955" s="15">
        <v>2012</v>
      </c>
      <c r="H1955" s="15">
        <f>Table_7[[#This Row],[Listing Price (USD)]]/10000</f>
        <v>10.6562</v>
      </c>
      <c r="I1955" s="28">
        <f>Table_7[[#This Row],[Length 
(ft)]]</f>
        <v>40</v>
      </c>
      <c r="J1955" s="28">
        <f>2020-Table_7[[#This Row],[Year]]</f>
        <v>8</v>
      </c>
      <c r="K1955">
        <v>4200000000</v>
      </c>
      <c r="L1955">
        <v>39553.199999999997</v>
      </c>
      <c r="M1955">
        <v>4.0999999999999996</v>
      </c>
      <c r="N1955">
        <v>-2.1</v>
      </c>
      <c r="O1955">
        <v>35</v>
      </c>
      <c r="P1955">
        <v>848.00199999999995</v>
      </c>
      <c r="Q1955">
        <v>36</v>
      </c>
      <c r="R1955">
        <v>12.75</v>
      </c>
    </row>
    <row r="1956" spans="1:18" x14ac:dyDescent="0.25">
      <c r="A1956" s="1" t="s">
        <v>45</v>
      </c>
      <c r="B1956" s="2" t="s">
        <v>49</v>
      </c>
      <c r="C1956" s="19">
        <v>40</v>
      </c>
      <c r="D1956" s="3" t="s">
        <v>496</v>
      </c>
      <c r="E1956" s="3" t="s">
        <v>18</v>
      </c>
      <c r="F1956" s="23">
        <v>120255</v>
      </c>
      <c r="G1956" s="15">
        <v>2009</v>
      </c>
      <c r="H1956" s="15">
        <f>Table_7[[#This Row],[Listing Price (USD)]]/10000</f>
        <v>12.025499999999999</v>
      </c>
      <c r="I1956" s="28">
        <f>Table_7[[#This Row],[Length 
(ft)]]</f>
        <v>40</v>
      </c>
      <c r="J1956" s="28">
        <f>2020-Table_7[[#This Row],[Year]]</f>
        <v>11</v>
      </c>
      <c r="K1956">
        <v>188925995936.80701</v>
      </c>
      <c r="L1956">
        <v>17658.947301119199</v>
      </c>
      <c r="M1956">
        <v>-1.2479835558140799</v>
      </c>
      <c r="N1956">
        <v>-9.0040436420214593</v>
      </c>
      <c r="O1956">
        <v>35</v>
      </c>
      <c r="P1956">
        <v>848.00199999999995</v>
      </c>
      <c r="Q1956">
        <v>36</v>
      </c>
      <c r="R1956">
        <v>12.75</v>
      </c>
    </row>
    <row r="1957" spans="1:18" x14ac:dyDescent="0.25">
      <c r="A1957" s="1" t="s">
        <v>45</v>
      </c>
      <c r="B1957" s="2" t="s">
        <v>49</v>
      </c>
      <c r="C1957" s="19">
        <v>40</v>
      </c>
      <c r="D1957" s="3" t="s">
        <v>496</v>
      </c>
      <c r="E1957" s="3" t="s">
        <v>18</v>
      </c>
      <c r="F1957" s="23">
        <v>120285</v>
      </c>
      <c r="G1957" s="15">
        <v>2009</v>
      </c>
      <c r="H1957" s="15">
        <f>Table_7[[#This Row],[Listing Price (USD)]]/10000</f>
        <v>12.028499999999999</v>
      </c>
      <c r="I1957" s="28">
        <f>Table_7[[#This Row],[Length 
(ft)]]</f>
        <v>40</v>
      </c>
      <c r="J1957" s="28">
        <f>2020-Table_7[[#This Row],[Year]]</f>
        <v>11</v>
      </c>
      <c r="K1957">
        <v>188925995936.80701</v>
      </c>
      <c r="L1957">
        <v>17658.947301119199</v>
      </c>
      <c r="M1957">
        <v>-1.2479835558140799</v>
      </c>
      <c r="N1957">
        <v>-9.0040436420214593</v>
      </c>
      <c r="O1957">
        <v>35</v>
      </c>
      <c r="P1957">
        <v>848.00199999999995</v>
      </c>
      <c r="Q1957">
        <v>36</v>
      </c>
      <c r="R1957">
        <v>12.75</v>
      </c>
    </row>
    <row r="1958" spans="1:18" x14ac:dyDescent="0.25">
      <c r="A1958" s="1" t="s">
        <v>45</v>
      </c>
      <c r="B1958" s="3" t="s">
        <v>49</v>
      </c>
      <c r="C1958" s="19">
        <v>40</v>
      </c>
      <c r="D1958" s="3" t="s">
        <v>497</v>
      </c>
      <c r="E1958" s="3" t="s">
        <v>370</v>
      </c>
      <c r="F1958" s="23">
        <v>140000</v>
      </c>
      <c r="G1958" s="15">
        <v>2011</v>
      </c>
      <c r="H1958" s="15">
        <f>Table_7[[#This Row],[Listing Price (USD)]]/10000</f>
        <v>14</v>
      </c>
      <c r="I1958" s="28">
        <f>Table_7[[#This Row],[Length 
(ft)]]</f>
        <v>40</v>
      </c>
      <c r="J1958" s="28">
        <f>2020-Table_7[[#This Row],[Year]]</f>
        <v>9</v>
      </c>
      <c r="K1958">
        <v>500000000</v>
      </c>
      <c r="L1958">
        <v>34200</v>
      </c>
      <c r="M1958">
        <v>1.1000000000000001</v>
      </c>
      <c r="N1958">
        <v>2</v>
      </c>
      <c r="O1958">
        <v>35</v>
      </c>
      <c r="P1958">
        <v>848.00199999999995</v>
      </c>
      <c r="Q1958">
        <v>36</v>
      </c>
      <c r="R1958">
        <v>12.75</v>
      </c>
    </row>
    <row r="1959" spans="1:18" x14ac:dyDescent="0.25">
      <c r="A1959" s="1" t="s">
        <v>45</v>
      </c>
      <c r="B1959" s="2" t="s">
        <v>49</v>
      </c>
      <c r="C1959" s="19">
        <v>40</v>
      </c>
      <c r="D1959" s="3" t="s">
        <v>496</v>
      </c>
      <c r="E1959" s="3" t="s">
        <v>3</v>
      </c>
      <c r="F1959" s="23">
        <v>144549</v>
      </c>
      <c r="G1959" s="15">
        <v>2009</v>
      </c>
      <c r="H1959" s="15">
        <f>Table_7[[#This Row],[Listing Price (USD)]]/10000</f>
        <v>14.4549</v>
      </c>
      <c r="I1959" s="28">
        <f>Table_7[[#This Row],[Length 
(ft)]]</f>
        <v>40</v>
      </c>
      <c r="J1959" s="28">
        <f>2020-Table_7[[#This Row],[Year]]</f>
        <v>11</v>
      </c>
      <c r="K1959">
        <v>2639008701648.2598</v>
      </c>
      <c r="L1959">
        <v>39055.282928075401</v>
      </c>
      <c r="M1959">
        <v>0.47649885272508302</v>
      </c>
      <c r="N1959">
        <v>-7.7845864916787102</v>
      </c>
      <c r="O1959">
        <v>35</v>
      </c>
      <c r="P1959">
        <v>848.00199999999995</v>
      </c>
      <c r="Q1959">
        <v>36</v>
      </c>
      <c r="R1959">
        <v>12.75</v>
      </c>
    </row>
    <row r="1960" spans="1:18" x14ac:dyDescent="0.25">
      <c r="A1960" s="1" t="s">
        <v>45</v>
      </c>
      <c r="B1960" s="3" t="s">
        <v>49</v>
      </c>
      <c r="C1960" s="19">
        <v>40</v>
      </c>
      <c r="D1960" s="3" t="s">
        <v>495</v>
      </c>
      <c r="E1960" s="3" t="s">
        <v>500</v>
      </c>
      <c r="F1960" s="23">
        <v>155000</v>
      </c>
      <c r="G1960" s="15">
        <v>2011</v>
      </c>
      <c r="H1960" s="15">
        <f>Table_7[[#This Row],[Listing Price (USD)]]/10000</f>
        <v>15.5</v>
      </c>
      <c r="I1960" s="28">
        <f>Table_7[[#This Row],[Length 
(ft)]]</f>
        <v>40</v>
      </c>
      <c r="J1960" s="28">
        <f>2020-Table_7[[#This Row],[Year]]</f>
        <v>9</v>
      </c>
      <c r="K1960">
        <v>3007188000000</v>
      </c>
      <c r="L1960">
        <v>76131.839999999997</v>
      </c>
      <c r="M1960">
        <v>1.23</v>
      </c>
      <c r="N1960">
        <v>2.7</v>
      </c>
      <c r="O1960">
        <v>35</v>
      </c>
      <c r="P1960">
        <v>848.00199999999995</v>
      </c>
      <c r="Q1960">
        <v>36</v>
      </c>
      <c r="R1960">
        <v>12.75</v>
      </c>
    </row>
    <row r="1961" spans="1:18" x14ac:dyDescent="0.25">
      <c r="A1961" s="1" t="s">
        <v>45</v>
      </c>
      <c r="B1961" s="3" t="s">
        <v>49</v>
      </c>
      <c r="C1961" s="19">
        <v>40</v>
      </c>
      <c r="D1961" s="3" t="s">
        <v>497</v>
      </c>
      <c r="E1961" s="3" t="s">
        <v>392</v>
      </c>
      <c r="F1961" s="23">
        <v>155460</v>
      </c>
      <c r="G1961" s="15">
        <v>2011</v>
      </c>
      <c r="H1961" s="15">
        <f>Table_7[[#This Row],[Listing Price (USD)]]/10000</f>
        <v>15.545999999999999</v>
      </c>
      <c r="I1961" s="28">
        <f>Table_7[[#This Row],[Length 
(ft)]]</f>
        <v>40</v>
      </c>
      <c r="J1961" s="28">
        <f>2020-Table_7[[#This Row],[Year]]</f>
        <v>9</v>
      </c>
      <c r="K1961">
        <v>1043414814.81481</v>
      </c>
      <c r="L1961">
        <v>8437.5667322870595</v>
      </c>
      <c r="M1961">
        <v>-0.74073259704550098</v>
      </c>
      <c r="N1961">
        <v>-13.7559294530644</v>
      </c>
      <c r="O1961">
        <v>35</v>
      </c>
      <c r="P1961">
        <v>848.00199999999995</v>
      </c>
      <c r="Q1961">
        <v>36</v>
      </c>
      <c r="R1961">
        <v>12.75</v>
      </c>
    </row>
    <row r="1962" spans="1:18" x14ac:dyDescent="0.25">
      <c r="A1962" s="1" t="s">
        <v>45</v>
      </c>
      <c r="B1962" s="2" t="s">
        <v>49</v>
      </c>
      <c r="C1962" s="19">
        <v>40</v>
      </c>
      <c r="D1962" s="3" t="s">
        <v>496</v>
      </c>
      <c r="E1962" s="3" t="s">
        <v>9</v>
      </c>
      <c r="F1962" s="23">
        <v>179775</v>
      </c>
      <c r="G1962" s="15">
        <v>2011</v>
      </c>
      <c r="H1962" s="15">
        <f>Table_7[[#This Row],[Listing Price (USD)]]/10000</f>
        <v>17.977499999999999</v>
      </c>
      <c r="I1962" s="28">
        <f>Table_7[[#This Row],[Length 
(ft)]]</f>
        <v>40</v>
      </c>
      <c r="J1962" s="28">
        <f>2020-Table_7[[#This Row],[Year]]</f>
        <v>9</v>
      </c>
      <c r="K1962">
        <v>1276962685648.25</v>
      </c>
      <c r="L1962">
        <v>26959.675436732599</v>
      </c>
      <c r="M1962">
        <v>-0.32275301729970501</v>
      </c>
      <c r="N1962">
        <v>-11.3254383222864</v>
      </c>
      <c r="O1962">
        <v>35</v>
      </c>
      <c r="P1962">
        <v>848.00199999999995</v>
      </c>
      <c r="Q1962">
        <v>36</v>
      </c>
      <c r="R1962">
        <v>12.75</v>
      </c>
    </row>
    <row r="1963" spans="1:18" x14ac:dyDescent="0.25">
      <c r="A1963" s="1" t="s">
        <v>45</v>
      </c>
      <c r="B1963" s="2" t="s">
        <v>49</v>
      </c>
      <c r="C1963" s="19">
        <v>40</v>
      </c>
      <c r="D1963" s="3" t="s">
        <v>496</v>
      </c>
      <c r="E1963" s="3" t="s">
        <v>9</v>
      </c>
      <c r="F1963" s="23">
        <v>182204</v>
      </c>
      <c r="G1963" s="15">
        <v>2009</v>
      </c>
      <c r="H1963" s="15">
        <f>Table_7[[#This Row],[Listing Price (USD)]]/10000</f>
        <v>18.220400000000001</v>
      </c>
      <c r="I1963" s="28">
        <f>Table_7[[#This Row],[Length 
(ft)]]</f>
        <v>40</v>
      </c>
      <c r="J1963" s="28">
        <f>2020-Table_7[[#This Row],[Year]]</f>
        <v>11</v>
      </c>
      <c r="K1963">
        <v>1276962685648.25</v>
      </c>
      <c r="L1963">
        <v>26959.675436732599</v>
      </c>
      <c r="M1963">
        <v>-0.32275301729970501</v>
      </c>
      <c r="N1963">
        <v>-11.3254383222864</v>
      </c>
      <c r="O1963">
        <v>35</v>
      </c>
      <c r="P1963">
        <v>848.00199999999995</v>
      </c>
      <c r="Q1963">
        <v>36</v>
      </c>
      <c r="R1963">
        <v>12.75</v>
      </c>
    </row>
    <row r="1964" spans="1:18" x14ac:dyDescent="0.25">
      <c r="A1964" s="1" t="s">
        <v>45</v>
      </c>
      <c r="B1964" s="2" t="s">
        <v>49</v>
      </c>
      <c r="C1964" s="19">
        <v>40</v>
      </c>
      <c r="D1964" s="3" t="s">
        <v>496</v>
      </c>
      <c r="E1964" s="3" t="s">
        <v>124</v>
      </c>
      <c r="F1964" s="23">
        <v>201732</v>
      </c>
      <c r="G1964" s="15">
        <v>2011</v>
      </c>
      <c r="H1964" s="15">
        <f>Table_7[[#This Row],[Listing Price (USD)]]/10000</f>
        <v>20.173200000000001</v>
      </c>
      <c r="I1964" s="28">
        <f>Table_7[[#This Row],[Length 
(ft)]]</f>
        <v>40</v>
      </c>
      <c r="J1964" s="28">
        <f>2020-Table_7[[#This Row],[Year]]</f>
        <v>9</v>
      </c>
      <c r="K1964">
        <v>547054174235.87598</v>
      </c>
      <c r="L1964">
        <v>52837.903977814902</v>
      </c>
      <c r="M1964">
        <v>0.497367318853562</v>
      </c>
      <c r="N1964">
        <v>-2.1702131788587198</v>
      </c>
      <c r="O1964">
        <v>35</v>
      </c>
      <c r="P1964">
        <v>848.00199999999995</v>
      </c>
      <c r="Q1964">
        <v>36</v>
      </c>
      <c r="R1964">
        <v>12.75</v>
      </c>
    </row>
    <row r="1965" spans="1:18" x14ac:dyDescent="0.25">
      <c r="A1965" s="1" t="s">
        <v>45</v>
      </c>
      <c r="B1965" s="2" t="s">
        <v>52</v>
      </c>
      <c r="C1965" s="19">
        <v>40</v>
      </c>
      <c r="D1965" s="3" t="s">
        <v>496</v>
      </c>
      <c r="E1965" s="3" t="s">
        <v>516</v>
      </c>
      <c r="F1965" s="23">
        <v>169450</v>
      </c>
      <c r="G1965" s="15">
        <v>2011</v>
      </c>
      <c r="H1965" s="15">
        <f>Table_7[[#This Row],[Listing Price (USD)]]/10000</f>
        <v>16.945</v>
      </c>
      <c r="I1965" s="28">
        <f>Table_7[[#This Row],[Length 
(ft)]]</f>
        <v>40</v>
      </c>
      <c r="J1965" s="28">
        <f>2020-Table_7[[#This Row],[Year]]</f>
        <v>9</v>
      </c>
      <c r="K1965">
        <v>909793466661.48096</v>
      </c>
      <c r="L1965">
        <v>52162.570115040602</v>
      </c>
      <c r="M1965">
        <v>1.2724603778917001</v>
      </c>
      <c r="N1965">
        <v>-3.88608391819609</v>
      </c>
      <c r="O1965">
        <v>35</v>
      </c>
      <c r="P1965">
        <v>848.00199999999995</v>
      </c>
      <c r="Q1965">
        <v>36</v>
      </c>
      <c r="R1965">
        <v>12.75</v>
      </c>
    </row>
    <row r="1966" spans="1:18" x14ac:dyDescent="0.25">
      <c r="A1966" s="1" t="s">
        <v>45</v>
      </c>
      <c r="B1966" s="2" t="s">
        <v>52</v>
      </c>
      <c r="C1966" s="19">
        <v>40</v>
      </c>
      <c r="D1966" s="3" t="s">
        <v>496</v>
      </c>
      <c r="E1966" s="3" t="s">
        <v>24</v>
      </c>
      <c r="F1966" s="23">
        <v>182204</v>
      </c>
      <c r="G1966" s="15">
        <v>2009</v>
      </c>
      <c r="H1966" s="15">
        <f>Table_7[[#This Row],[Listing Price (USD)]]/10000</f>
        <v>18.220400000000001</v>
      </c>
      <c r="I1966" s="28">
        <f>Table_7[[#This Row],[Length 
(ft)]]</f>
        <v>40</v>
      </c>
      <c r="J1966" s="28">
        <f>2020-Table_7[[#This Row],[Year]]</f>
        <v>11</v>
      </c>
      <c r="K1966">
        <v>1896755301518.1399</v>
      </c>
      <c r="L1966">
        <v>31911.0357890017</v>
      </c>
      <c r="M1966">
        <v>-0.13770757391656999</v>
      </c>
      <c r="N1966">
        <v>-9.0399534112288507</v>
      </c>
      <c r="O1966">
        <v>35</v>
      </c>
      <c r="P1966">
        <v>848.00199999999995</v>
      </c>
      <c r="Q1966">
        <v>36</v>
      </c>
      <c r="R1966">
        <v>12.75</v>
      </c>
    </row>
    <row r="1967" spans="1:18" x14ac:dyDescent="0.25">
      <c r="A1967" s="1" t="s">
        <v>195</v>
      </c>
      <c r="B1967" s="2" t="s">
        <v>203</v>
      </c>
      <c r="C1967" s="19">
        <v>40</v>
      </c>
      <c r="D1967" s="3" t="s">
        <v>496</v>
      </c>
      <c r="E1967" s="3" t="s">
        <v>24</v>
      </c>
      <c r="F1967" s="23">
        <v>103235</v>
      </c>
      <c r="G1967" s="15">
        <v>2005</v>
      </c>
      <c r="H1967" s="15">
        <f>Table_7[[#This Row],[Listing Price (USD)]]/10000</f>
        <v>10.323499999999999</v>
      </c>
      <c r="I1967" s="28">
        <f>Table_7[[#This Row],[Length 
(ft)]]</f>
        <v>40</v>
      </c>
      <c r="J1967" s="28">
        <f>2020-Table_7[[#This Row],[Year]]</f>
        <v>15</v>
      </c>
      <c r="K1967">
        <v>1896755301518.1399</v>
      </c>
      <c r="L1967">
        <v>31911.0357890017</v>
      </c>
      <c r="M1967">
        <v>-0.13770757391656999</v>
      </c>
      <c r="N1967">
        <v>-9.0399534112288507</v>
      </c>
      <c r="O1967">
        <v>33.369999999999997</v>
      </c>
      <c r="P1967">
        <v>894.48199999999997</v>
      </c>
      <c r="Q1967">
        <v>36</v>
      </c>
      <c r="R1967">
        <v>12.96</v>
      </c>
    </row>
    <row r="1968" spans="1:18" x14ac:dyDescent="0.25">
      <c r="A1968" s="1" t="s">
        <v>195</v>
      </c>
      <c r="B1968" s="2" t="s">
        <v>201</v>
      </c>
      <c r="C1968" s="19">
        <v>40</v>
      </c>
      <c r="D1968" s="3" t="s">
        <v>496</v>
      </c>
      <c r="E1968" s="3" t="s">
        <v>31</v>
      </c>
      <c r="F1968" s="23">
        <v>72760</v>
      </c>
      <c r="G1968" s="15">
        <v>2006</v>
      </c>
      <c r="H1968" s="15">
        <f>Table_7[[#This Row],[Listing Price (USD)]]/10000</f>
        <v>7.2759999999999998</v>
      </c>
      <c r="I1968" s="28">
        <f>Table_7[[#This Row],[Length 
(ft)]]</f>
        <v>40</v>
      </c>
      <c r="J1968" s="28">
        <f>2020-Table_7[[#This Row],[Year]]</f>
        <v>14</v>
      </c>
      <c r="K1968">
        <v>57472012426.685303</v>
      </c>
      <c r="L1968">
        <v>14198.753959474399</v>
      </c>
      <c r="M1968">
        <v>0.15481137456202801</v>
      </c>
      <c r="N1968">
        <v>-8.5803430210621805</v>
      </c>
      <c r="O1968">
        <v>35.24</v>
      </c>
      <c r="P1968">
        <v>687.00199999999995</v>
      </c>
      <c r="Q1968">
        <v>36</v>
      </c>
      <c r="R1968">
        <v>12.96</v>
      </c>
    </row>
    <row r="1969" spans="1:18" x14ac:dyDescent="0.25">
      <c r="A1969" s="1" t="s">
        <v>195</v>
      </c>
      <c r="B1969" s="2" t="s">
        <v>201</v>
      </c>
      <c r="C1969" s="19">
        <v>40</v>
      </c>
      <c r="D1969" s="3" t="s">
        <v>496</v>
      </c>
      <c r="E1969" s="3" t="s">
        <v>18</v>
      </c>
      <c r="F1969" s="23">
        <v>94746</v>
      </c>
      <c r="G1969" s="15">
        <v>2005</v>
      </c>
      <c r="H1969" s="15">
        <f>Table_7[[#This Row],[Listing Price (USD)]]/10000</f>
        <v>9.4746000000000006</v>
      </c>
      <c r="I1969" s="28">
        <f>Table_7[[#This Row],[Length 
(ft)]]</f>
        <v>40</v>
      </c>
      <c r="J1969" s="28">
        <f>2020-Table_7[[#This Row],[Year]]</f>
        <v>15</v>
      </c>
      <c r="K1969">
        <v>188925995936.80701</v>
      </c>
      <c r="L1969">
        <v>17658.947301119199</v>
      </c>
      <c r="M1969">
        <v>-1.2479835558140799</v>
      </c>
      <c r="N1969">
        <v>-9.0040436420214593</v>
      </c>
      <c r="O1969">
        <v>35.24</v>
      </c>
      <c r="P1969">
        <v>687.00199999999995</v>
      </c>
      <c r="Q1969">
        <v>36</v>
      </c>
      <c r="R1969">
        <v>12.96</v>
      </c>
    </row>
    <row r="1970" spans="1:18" x14ac:dyDescent="0.25">
      <c r="A1970" s="1" t="s">
        <v>195</v>
      </c>
      <c r="B1970" s="2" t="s">
        <v>201</v>
      </c>
      <c r="C1970" s="19">
        <v>40</v>
      </c>
      <c r="D1970" s="3" t="s">
        <v>496</v>
      </c>
      <c r="E1970" s="3" t="s">
        <v>24</v>
      </c>
      <c r="F1970" s="23">
        <v>103249</v>
      </c>
      <c r="G1970" s="15">
        <v>2006</v>
      </c>
      <c r="H1970" s="15">
        <f>Table_7[[#This Row],[Listing Price (USD)]]/10000</f>
        <v>10.3249</v>
      </c>
      <c r="I1970" s="28">
        <f>Table_7[[#This Row],[Length 
(ft)]]</f>
        <v>40</v>
      </c>
      <c r="J1970" s="28">
        <f>2020-Table_7[[#This Row],[Year]]</f>
        <v>14</v>
      </c>
      <c r="K1970">
        <v>1896755301518.1399</v>
      </c>
      <c r="L1970">
        <v>31911.0357890017</v>
      </c>
      <c r="M1970">
        <v>-0.13770757391656999</v>
      </c>
      <c r="N1970">
        <v>-9.0399534112288507</v>
      </c>
      <c r="O1970">
        <v>35.24</v>
      </c>
      <c r="P1970">
        <v>687.00199999999995</v>
      </c>
      <c r="Q1970">
        <v>36</v>
      </c>
      <c r="R1970">
        <v>12.96</v>
      </c>
    </row>
    <row r="1971" spans="1:18" x14ac:dyDescent="0.25">
      <c r="A1971" s="1" t="s">
        <v>195</v>
      </c>
      <c r="B1971" s="2" t="s">
        <v>201</v>
      </c>
      <c r="C1971" s="19">
        <v>40</v>
      </c>
      <c r="D1971" s="3" t="s">
        <v>496</v>
      </c>
      <c r="E1971" s="3" t="s">
        <v>19</v>
      </c>
      <c r="F1971" s="23">
        <v>113913</v>
      </c>
      <c r="G1971" s="15">
        <v>2006</v>
      </c>
      <c r="H1971" s="15">
        <f>Table_7[[#This Row],[Listing Price (USD)]]/10000</f>
        <v>11.391299999999999</v>
      </c>
      <c r="I1971" s="28">
        <f>Table_7[[#This Row],[Length 
(ft)]]</f>
        <v>40</v>
      </c>
      <c r="J1971" s="28">
        <f>2020-Table_7[[#This Row],[Year]]</f>
        <v>14</v>
      </c>
      <c r="K1971">
        <v>4200000000</v>
      </c>
      <c r="L1971">
        <v>39553.199999999997</v>
      </c>
      <c r="M1971">
        <v>4.0999999999999996</v>
      </c>
      <c r="N1971">
        <v>-2.1</v>
      </c>
      <c r="O1971">
        <v>35.24</v>
      </c>
      <c r="P1971">
        <v>687.00199999999995</v>
      </c>
      <c r="Q1971">
        <v>36</v>
      </c>
      <c r="R1971">
        <v>12.96</v>
      </c>
    </row>
    <row r="1972" spans="1:18" x14ac:dyDescent="0.25">
      <c r="A1972" s="1" t="s">
        <v>195</v>
      </c>
      <c r="B1972" s="3" t="s">
        <v>201</v>
      </c>
      <c r="C1972" s="19">
        <v>40</v>
      </c>
      <c r="D1972" s="3" t="s">
        <v>495</v>
      </c>
      <c r="E1972" s="3" t="s">
        <v>540</v>
      </c>
      <c r="F1972" s="23">
        <v>114900</v>
      </c>
      <c r="G1972" s="15">
        <v>2005</v>
      </c>
      <c r="H1972" s="15">
        <f>Table_7[[#This Row],[Listing Price (USD)]]/10000</f>
        <v>11.49</v>
      </c>
      <c r="I1972" s="28">
        <f>Table_7[[#This Row],[Length 
(ft)]]</f>
        <v>40</v>
      </c>
      <c r="J1972" s="28">
        <f>2020-Table_7[[#This Row],[Year]]</f>
        <v>15</v>
      </c>
      <c r="K1972">
        <v>858367000000</v>
      </c>
      <c r="L1972">
        <v>67137.31</v>
      </c>
      <c r="M1972">
        <v>1.23</v>
      </c>
      <c r="N1972">
        <v>2.9</v>
      </c>
      <c r="O1972">
        <v>35.24</v>
      </c>
      <c r="P1972">
        <v>687.00199999999995</v>
      </c>
      <c r="Q1972">
        <v>36</v>
      </c>
      <c r="R1972">
        <v>12.96</v>
      </c>
    </row>
    <row r="1973" spans="1:18" x14ac:dyDescent="0.25">
      <c r="A1973" s="1" t="s">
        <v>195</v>
      </c>
      <c r="B1973" s="2" t="s">
        <v>201</v>
      </c>
      <c r="C1973" s="19">
        <v>40</v>
      </c>
      <c r="D1973" s="3" t="s">
        <v>496</v>
      </c>
      <c r="E1973" s="3" t="s">
        <v>24</v>
      </c>
      <c r="F1973" s="23">
        <v>115396</v>
      </c>
      <c r="G1973" s="15">
        <v>2006</v>
      </c>
      <c r="H1973" s="15">
        <f>Table_7[[#This Row],[Listing Price (USD)]]/10000</f>
        <v>11.5396</v>
      </c>
      <c r="I1973" s="28">
        <f>Table_7[[#This Row],[Length 
(ft)]]</f>
        <v>40</v>
      </c>
      <c r="J1973" s="28">
        <f>2020-Table_7[[#This Row],[Year]]</f>
        <v>14</v>
      </c>
      <c r="K1973">
        <v>1896755301518.1399</v>
      </c>
      <c r="L1973">
        <v>31911.0357890017</v>
      </c>
      <c r="M1973">
        <v>-0.13770757391656999</v>
      </c>
      <c r="N1973">
        <v>-9.0399534112288507</v>
      </c>
      <c r="O1973">
        <v>35.24</v>
      </c>
      <c r="P1973">
        <v>687.00199999999995</v>
      </c>
      <c r="Q1973">
        <v>36</v>
      </c>
      <c r="R1973">
        <v>12.96</v>
      </c>
    </row>
    <row r="1974" spans="1:18" x14ac:dyDescent="0.25">
      <c r="A1974" s="1" t="s">
        <v>195</v>
      </c>
      <c r="B1974" s="3" t="s">
        <v>201</v>
      </c>
      <c r="C1974" s="19">
        <v>40</v>
      </c>
      <c r="D1974" s="3" t="s">
        <v>495</v>
      </c>
      <c r="E1974" s="3" t="s">
        <v>540</v>
      </c>
      <c r="F1974" s="23">
        <v>118900</v>
      </c>
      <c r="G1974" s="15">
        <v>2005</v>
      </c>
      <c r="H1974" s="15">
        <f>Table_7[[#This Row],[Listing Price (USD)]]/10000</f>
        <v>11.89</v>
      </c>
      <c r="I1974" s="28">
        <f>Table_7[[#This Row],[Length 
(ft)]]</f>
        <v>40</v>
      </c>
      <c r="J1974" s="28">
        <f>2020-Table_7[[#This Row],[Year]]</f>
        <v>15</v>
      </c>
      <c r="K1974">
        <v>858367000000</v>
      </c>
      <c r="L1974">
        <v>67137.31</v>
      </c>
      <c r="M1974">
        <v>1.23</v>
      </c>
      <c r="N1974">
        <v>2.9</v>
      </c>
      <c r="O1974">
        <v>35.24</v>
      </c>
      <c r="P1974">
        <v>687.00199999999995</v>
      </c>
      <c r="Q1974">
        <v>36</v>
      </c>
      <c r="R1974">
        <v>12.96</v>
      </c>
    </row>
    <row r="1975" spans="1:18" x14ac:dyDescent="0.25">
      <c r="A1975" s="1" t="s">
        <v>195</v>
      </c>
      <c r="B1975" s="2" t="s">
        <v>201</v>
      </c>
      <c r="C1975" s="19">
        <v>40</v>
      </c>
      <c r="D1975" s="3" t="s">
        <v>496</v>
      </c>
      <c r="E1975" s="3" t="s">
        <v>31</v>
      </c>
      <c r="F1975" s="23">
        <v>119648</v>
      </c>
      <c r="G1975" s="15">
        <v>2006</v>
      </c>
      <c r="H1975" s="15">
        <f>Table_7[[#This Row],[Listing Price (USD)]]/10000</f>
        <v>11.9648</v>
      </c>
      <c r="I1975" s="28">
        <f>Table_7[[#This Row],[Length 
(ft)]]</f>
        <v>40</v>
      </c>
      <c r="J1975" s="28">
        <f>2020-Table_7[[#This Row],[Year]]</f>
        <v>14</v>
      </c>
      <c r="K1975">
        <v>57472012426.685303</v>
      </c>
      <c r="L1975">
        <v>14198.753959474399</v>
      </c>
      <c r="M1975">
        <v>0.15481137456202801</v>
      </c>
      <c r="N1975">
        <v>-8.5803430210621805</v>
      </c>
      <c r="O1975">
        <v>35.24</v>
      </c>
      <c r="P1975">
        <v>687.00199999999995</v>
      </c>
      <c r="Q1975">
        <v>36</v>
      </c>
      <c r="R1975">
        <v>12.96</v>
      </c>
    </row>
    <row r="1976" spans="1:18" x14ac:dyDescent="0.25">
      <c r="A1976" s="1" t="s">
        <v>195</v>
      </c>
      <c r="B1976" s="2" t="s">
        <v>204</v>
      </c>
      <c r="C1976" s="19">
        <v>40</v>
      </c>
      <c r="D1976" s="3" t="s">
        <v>496</v>
      </c>
      <c r="E1976" s="3" t="s">
        <v>9</v>
      </c>
      <c r="F1976" s="23">
        <v>121470</v>
      </c>
      <c r="G1976" s="15">
        <v>2005</v>
      </c>
      <c r="H1976" s="15">
        <f>Table_7[[#This Row],[Listing Price (USD)]]/10000</f>
        <v>12.147</v>
      </c>
      <c r="I1976" s="28">
        <f>Table_7[[#This Row],[Length 
(ft)]]</f>
        <v>40</v>
      </c>
      <c r="J1976" s="28">
        <f>2020-Table_7[[#This Row],[Year]]</f>
        <v>15</v>
      </c>
      <c r="K1976">
        <v>1276962685648.25</v>
      </c>
      <c r="L1976">
        <v>26959.675436732599</v>
      </c>
      <c r="M1976">
        <v>-0.32275301729970501</v>
      </c>
      <c r="N1976">
        <v>-11.3254383222864</v>
      </c>
      <c r="O1976">
        <v>35.24</v>
      </c>
      <c r="P1976">
        <v>687.00199999999995</v>
      </c>
      <c r="Q1976">
        <v>36</v>
      </c>
      <c r="R1976">
        <v>12.96</v>
      </c>
    </row>
    <row r="1977" spans="1:18" x14ac:dyDescent="0.25">
      <c r="A1977" s="1" t="s">
        <v>195</v>
      </c>
      <c r="B1977" s="3" t="s">
        <v>201</v>
      </c>
      <c r="C1977" s="19">
        <v>40</v>
      </c>
      <c r="D1977" s="3" t="s">
        <v>495</v>
      </c>
      <c r="E1977" s="3" t="s">
        <v>518</v>
      </c>
      <c r="F1977" s="23">
        <v>124900</v>
      </c>
      <c r="G1977" s="15">
        <v>2005</v>
      </c>
      <c r="H1977" s="15">
        <f>Table_7[[#This Row],[Listing Price (USD)]]/10000</f>
        <v>12.49</v>
      </c>
      <c r="I1977" s="28">
        <f>Table_7[[#This Row],[Length 
(ft)]]</f>
        <v>40</v>
      </c>
      <c r="J1977" s="28">
        <f>2020-Table_7[[#This Row],[Year]]</f>
        <v>15</v>
      </c>
      <c r="K1977">
        <v>1724759000000</v>
      </c>
      <c r="L1977">
        <v>85575.039999999994</v>
      </c>
      <c r="M1977">
        <v>1.23</v>
      </c>
      <c r="N1977">
        <v>3.8</v>
      </c>
      <c r="O1977">
        <v>35.24</v>
      </c>
      <c r="P1977">
        <v>687.00199999999995</v>
      </c>
      <c r="Q1977">
        <v>36</v>
      </c>
      <c r="R1977">
        <v>12.96</v>
      </c>
    </row>
    <row r="1978" spans="1:18" x14ac:dyDescent="0.25">
      <c r="A1978" s="1" t="s">
        <v>195</v>
      </c>
      <c r="B1978" s="3" t="s">
        <v>201</v>
      </c>
      <c r="C1978" s="19">
        <v>40</v>
      </c>
      <c r="D1978" s="3" t="s">
        <v>495</v>
      </c>
      <c r="E1978" s="3" t="s">
        <v>545</v>
      </c>
      <c r="F1978" s="23">
        <v>126500</v>
      </c>
      <c r="G1978" s="15">
        <v>2005</v>
      </c>
      <c r="H1978" s="15">
        <f>Table_7[[#This Row],[Listing Price (USD)]]/10000</f>
        <v>12.65</v>
      </c>
      <c r="I1978" s="28">
        <f>Table_7[[#This Row],[Length 
(ft)]]</f>
        <v>40</v>
      </c>
      <c r="J1978" s="28">
        <f>2020-Table_7[[#This Row],[Year]]</f>
        <v>15</v>
      </c>
      <c r="K1978">
        <v>515120000000</v>
      </c>
      <c r="L1978">
        <v>51165.75</v>
      </c>
      <c r="M1978">
        <v>1.23</v>
      </c>
      <c r="N1978">
        <v>2.6</v>
      </c>
      <c r="O1978">
        <v>35.24</v>
      </c>
      <c r="P1978">
        <v>687.00199999999995</v>
      </c>
      <c r="Q1978">
        <v>36</v>
      </c>
      <c r="R1978">
        <v>12.96</v>
      </c>
    </row>
    <row r="1979" spans="1:18" x14ac:dyDescent="0.25">
      <c r="A1979" s="1" t="s">
        <v>195</v>
      </c>
      <c r="B1979" s="3" t="s">
        <v>201</v>
      </c>
      <c r="C1979" s="19">
        <v>40</v>
      </c>
      <c r="D1979" s="3" t="s">
        <v>495</v>
      </c>
      <c r="E1979" s="3" t="s">
        <v>540</v>
      </c>
      <c r="F1979" s="23">
        <v>129500</v>
      </c>
      <c r="G1979" s="15">
        <v>2006</v>
      </c>
      <c r="H1979" s="15">
        <f>Table_7[[#This Row],[Listing Price (USD)]]/10000</f>
        <v>12.95</v>
      </c>
      <c r="I1979" s="28">
        <f>Table_7[[#This Row],[Length 
(ft)]]</f>
        <v>40</v>
      </c>
      <c r="J1979" s="28">
        <f>2020-Table_7[[#This Row],[Year]]</f>
        <v>14</v>
      </c>
      <c r="K1979">
        <v>858367000000</v>
      </c>
      <c r="L1979">
        <v>67137.31</v>
      </c>
      <c r="M1979">
        <v>1.23</v>
      </c>
      <c r="N1979">
        <v>2.9</v>
      </c>
      <c r="O1979">
        <v>35.24</v>
      </c>
      <c r="P1979">
        <v>687.00199999999995</v>
      </c>
      <c r="Q1979">
        <v>36</v>
      </c>
      <c r="R1979">
        <v>12.96</v>
      </c>
    </row>
    <row r="1980" spans="1:18" x14ac:dyDescent="0.25">
      <c r="A1980" s="1" t="s">
        <v>195</v>
      </c>
      <c r="B1980" s="3" t="s">
        <v>201</v>
      </c>
      <c r="C1980" s="19">
        <v>40</v>
      </c>
      <c r="D1980" s="3" t="s">
        <v>495</v>
      </c>
      <c r="E1980" s="3" t="s">
        <v>521</v>
      </c>
      <c r="F1980" s="23">
        <v>129900</v>
      </c>
      <c r="G1980" s="15">
        <v>2006</v>
      </c>
      <c r="H1980" s="15">
        <f>Table_7[[#This Row],[Listing Price (USD)]]/10000</f>
        <v>12.99</v>
      </c>
      <c r="I1980" s="28">
        <f>Table_7[[#This Row],[Length 
(ft)]]</f>
        <v>40</v>
      </c>
      <c r="J1980" s="28">
        <f>2020-Table_7[[#This Row],[Year]]</f>
        <v>14</v>
      </c>
      <c r="K1980">
        <v>60556000000</v>
      </c>
      <c r="L1980">
        <v>55240.56</v>
      </c>
      <c r="M1980">
        <v>3</v>
      </c>
      <c r="N1980">
        <v>2.2000000000000002</v>
      </c>
      <c r="O1980">
        <v>35.24</v>
      </c>
      <c r="P1980">
        <v>687.00199999999995</v>
      </c>
      <c r="Q1980">
        <v>36</v>
      </c>
      <c r="R1980">
        <v>12.96</v>
      </c>
    </row>
    <row r="1981" spans="1:18" x14ac:dyDescent="0.25">
      <c r="A1981" s="1" t="s">
        <v>185</v>
      </c>
      <c r="B1981" s="2">
        <v>38</v>
      </c>
      <c r="C1981" s="19">
        <v>38</v>
      </c>
      <c r="D1981" s="3" t="s">
        <v>496</v>
      </c>
      <c r="E1981" s="3" t="s">
        <v>19</v>
      </c>
      <c r="F1981" s="23">
        <v>66549</v>
      </c>
      <c r="G1981" s="15">
        <v>2006</v>
      </c>
      <c r="H1981" s="15">
        <f>Table_7[[#This Row],[Listing Price (USD)]]/10000</f>
        <v>6.6548999999999996</v>
      </c>
      <c r="I1981" s="28">
        <f>Table_7[[#This Row],[Length 
(ft)]]</f>
        <v>38</v>
      </c>
      <c r="J1981" s="28">
        <f>2020-Table_7[[#This Row],[Year]]</f>
        <v>14</v>
      </c>
      <c r="K1981">
        <v>4200000000</v>
      </c>
      <c r="L1981">
        <v>39553.199999999997</v>
      </c>
      <c r="M1981">
        <v>4.0999999999999996</v>
      </c>
      <c r="N1981">
        <v>-2.1</v>
      </c>
      <c r="O1981">
        <v>34.67</v>
      </c>
      <c r="P1981">
        <v>991</v>
      </c>
      <c r="Q1981">
        <v>35</v>
      </c>
      <c r="R1981">
        <v>12.92</v>
      </c>
    </row>
    <row r="1982" spans="1:18" x14ac:dyDescent="0.25">
      <c r="A1982" s="1" t="s">
        <v>187</v>
      </c>
      <c r="B1982" s="3">
        <v>38</v>
      </c>
      <c r="C1982" s="19">
        <v>38</v>
      </c>
      <c r="D1982" s="3" t="s">
        <v>495</v>
      </c>
      <c r="E1982" s="3" t="s">
        <v>515</v>
      </c>
      <c r="F1982" s="23">
        <v>69000</v>
      </c>
      <c r="G1982" s="15">
        <v>2005</v>
      </c>
      <c r="H1982" s="15">
        <f>Table_7[[#This Row],[Listing Price (USD)]]/10000</f>
        <v>6.9</v>
      </c>
      <c r="I1982" s="28">
        <f>Table_7[[#This Row],[Length 
(ft)]]</f>
        <v>38</v>
      </c>
      <c r="J1982" s="28">
        <f>2020-Table_7[[#This Row],[Year]]</f>
        <v>15</v>
      </c>
      <c r="K1982">
        <v>410675000000</v>
      </c>
      <c r="L1982">
        <v>66531.03</v>
      </c>
      <c r="M1982">
        <v>1.23</v>
      </c>
      <c r="N1982">
        <v>1.8</v>
      </c>
      <c r="O1982">
        <v>34.67</v>
      </c>
      <c r="P1982">
        <v>991</v>
      </c>
      <c r="Q1982">
        <v>35</v>
      </c>
      <c r="R1982">
        <v>12.92</v>
      </c>
    </row>
    <row r="1983" spans="1:18" x14ac:dyDescent="0.25">
      <c r="A1983" s="1" t="s">
        <v>187</v>
      </c>
      <c r="B1983" s="3">
        <v>38</v>
      </c>
      <c r="C1983" s="19">
        <v>38</v>
      </c>
      <c r="D1983" s="3" t="s">
        <v>495</v>
      </c>
      <c r="E1983" s="3" t="s">
        <v>548</v>
      </c>
      <c r="F1983" s="23">
        <v>89900</v>
      </c>
      <c r="G1983" s="15">
        <v>2006</v>
      </c>
      <c r="H1983" s="15">
        <f>Table_7[[#This Row],[Listing Price (USD)]]/10000</f>
        <v>8.99</v>
      </c>
      <c r="I1983" s="28">
        <f>Table_7[[#This Row],[Length 
(ft)]]</f>
        <v>38</v>
      </c>
      <c r="J1983" s="28">
        <f>2020-Table_7[[#This Row],[Year]]</f>
        <v>14</v>
      </c>
      <c r="K1983">
        <v>618579000000</v>
      </c>
      <c r="L1983">
        <v>66659.100000000006</v>
      </c>
      <c r="M1983">
        <v>1.23</v>
      </c>
      <c r="N1983">
        <v>1.8</v>
      </c>
      <c r="O1983">
        <v>34.67</v>
      </c>
      <c r="P1983">
        <v>991</v>
      </c>
      <c r="Q1983">
        <v>35</v>
      </c>
      <c r="R1983">
        <v>12.92</v>
      </c>
    </row>
    <row r="1984" spans="1:18" x14ac:dyDescent="0.25">
      <c r="A1984" s="1" t="s">
        <v>187</v>
      </c>
      <c r="B1984" s="3">
        <v>38</v>
      </c>
      <c r="C1984" s="19">
        <v>38</v>
      </c>
      <c r="D1984" s="3" t="s">
        <v>495</v>
      </c>
      <c r="E1984" s="3" t="s">
        <v>518</v>
      </c>
      <c r="F1984" s="23">
        <v>94500</v>
      </c>
      <c r="G1984" s="15">
        <v>2006</v>
      </c>
      <c r="H1984" s="15">
        <f>Table_7[[#This Row],[Listing Price (USD)]]/10000</f>
        <v>9.4499999999999993</v>
      </c>
      <c r="I1984" s="28">
        <f>Table_7[[#This Row],[Length 
(ft)]]</f>
        <v>38</v>
      </c>
      <c r="J1984" s="28">
        <f>2020-Table_7[[#This Row],[Year]]</f>
        <v>14</v>
      </c>
      <c r="K1984">
        <v>1724759000000</v>
      </c>
      <c r="L1984">
        <v>85575.039999999994</v>
      </c>
      <c r="M1984">
        <v>1.23</v>
      </c>
      <c r="N1984">
        <v>3.8</v>
      </c>
      <c r="O1984">
        <v>34.67</v>
      </c>
      <c r="P1984">
        <v>991</v>
      </c>
      <c r="Q1984">
        <v>35</v>
      </c>
      <c r="R1984">
        <v>12.92</v>
      </c>
    </row>
    <row r="1985" spans="1:18" x14ac:dyDescent="0.25">
      <c r="A1985" s="1" t="s">
        <v>187</v>
      </c>
      <c r="B1985" s="3">
        <v>38</v>
      </c>
      <c r="C1985" s="19">
        <v>38</v>
      </c>
      <c r="D1985" s="3" t="s">
        <v>495</v>
      </c>
      <c r="E1985" s="3" t="s">
        <v>499</v>
      </c>
      <c r="F1985" s="23">
        <v>95000</v>
      </c>
      <c r="G1985" s="15">
        <v>2006</v>
      </c>
      <c r="H1985" s="15">
        <f>Table_7[[#This Row],[Listing Price (USD)]]/10000</f>
        <v>9.5</v>
      </c>
      <c r="I1985" s="28">
        <f>Table_7[[#This Row],[Length 
(ft)]]</f>
        <v>38</v>
      </c>
      <c r="J1985" s="28">
        <f>2020-Table_7[[#This Row],[Year]]</f>
        <v>14</v>
      </c>
      <c r="K1985">
        <v>212540000000</v>
      </c>
      <c r="L1985">
        <v>76778.559999999998</v>
      </c>
      <c r="M1985">
        <v>1.23</v>
      </c>
      <c r="N1985">
        <v>2.2000000000000002</v>
      </c>
      <c r="O1985">
        <v>34.67</v>
      </c>
      <c r="P1985">
        <v>991</v>
      </c>
      <c r="Q1985">
        <v>35</v>
      </c>
      <c r="R1985">
        <v>12.92</v>
      </c>
    </row>
    <row r="1986" spans="1:18" x14ac:dyDescent="0.25">
      <c r="A1986" s="1" t="s">
        <v>187</v>
      </c>
      <c r="B1986" s="3">
        <v>38</v>
      </c>
      <c r="C1986" s="19">
        <v>38</v>
      </c>
      <c r="D1986" s="3" t="s">
        <v>495</v>
      </c>
      <c r="E1986" s="3" t="s">
        <v>545</v>
      </c>
      <c r="F1986" s="23">
        <v>99000</v>
      </c>
      <c r="G1986" s="15">
        <v>2007</v>
      </c>
      <c r="H1986" s="15">
        <f>Table_7[[#This Row],[Listing Price (USD)]]/10000</f>
        <v>9.9</v>
      </c>
      <c r="I1986" s="28">
        <f>Table_7[[#This Row],[Length 
(ft)]]</f>
        <v>38</v>
      </c>
      <c r="J1986" s="28">
        <f>2020-Table_7[[#This Row],[Year]]</f>
        <v>13</v>
      </c>
      <c r="K1986">
        <v>515120000000</v>
      </c>
      <c r="L1986">
        <v>51165.75</v>
      </c>
      <c r="M1986">
        <v>1.23</v>
      </c>
      <c r="N1986">
        <v>2.6</v>
      </c>
      <c r="O1986">
        <v>34.67</v>
      </c>
      <c r="P1986">
        <v>991</v>
      </c>
      <c r="Q1986">
        <v>35</v>
      </c>
      <c r="R1986">
        <v>12.92</v>
      </c>
    </row>
    <row r="1987" spans="1:18" x14ac:dyDescent="0.25">
      <c r="A1987" s="1" t="s">
        <v>187</v>
      </c>
      <c r="B1987" s="3">
        <v>38</v>
      </c>
      <c r="C1987" s="19">
        <v>38</v>
      </c>
      <c r="D1987" s="3" t="s">
        <v>495</v>
      </c>
      <c r="E1987" s="3" t="s">
        <v>518</v>
      </c>
      <c r="F1987" s="23">
        <v>104000</v>
      </c>
      <c r="G1987" s="15">
        <v>2008</v>
      </c>
      <c r="H1987" s="15">
        <f>Table_7[[#This Row],[Listing Price (USD)]]/10000</f>
        <v>10.4</v>
      </c>
      <c r="I1987" s="28">
        <f>Table_7[[#This Row],[Length 
(ft)]]</f>
        <v>38</v>
      </c>
      <c r="J1987" s="28">
        <f>2020-Table_7[[#This Row],[Year]]</f>
        <v>12</v>
      </c>
      <c r="K1987">
        <v>1724759000000</v>
      </c>
      <c r="L1987">
        <v>85575.039999999994</v>
      </c>
      <c r="M1987">
        <v>1.23</v>
      </c>
      <c r="N1987">
        <v>3.8</v>
      </c>
      <c r="O1987">
        <v>34.67</v>
      </c>
      <c r="P1987">
        <v>991</v>
      </c>
      <c r="Q1987">
        <v>35</v>
      </c>
      <c r="R1987">
        <v>12.92</v>
      </c>
    </row>
    <row r="1988" spans="1:18" x14ac:dyDescent="0.25">
      <c r="A1988" s="1" t="s">
        <v>187</v>
      </c>
      <c r="B1988" s="3">
        <v>38</v>
      </c>
      <c r="C1988" s="19">
        <v>38</v>
      </c>
      <c r="D1988" s="3" t="s">
        <v>495</v>
      </c>
      <c r="E1988" s="3" t="s">
        <v>527</v>
      </c>
      <c r="F1988" s="23">
        <v>105000</v>
      </c>
      <c r="G1988" s="15">
        <v>2008</v>
      </c>
      <c r="H1988" s="15">
        <f>Table_7[[#This Row],[Listing Price (USD)]]/10000</f>
        <v>10.5</v>
      </c>
      <c r="I1988" s="28">
        <f>Table_7[[#This Row],[Length 
(ft)]]</f>
        <v>38</v>
      </c>
      <c r="J1988" s="28">
        <f>2020-Table_7[[#This Row],[Year]]</f>
        <v>12</v>
      </c>
      <c r="K1988">
        <v>582477000000</v>
      </c>
      <c r="L1988">
        <v>82947.67</v>
      </c>
      <c r="M1988">
        <v>1.23</v>
      </c>
      <c r="N1988">
        <v>2.7</v>
      </c>
      <c r="O1988">
        <v>34.67</v>
      </c>
      <c r="P1988">
        <v>991</v>
      </c>
      <c r="Q1988">
        <v>35</v>
      </c>
      <c r="R1988">
        <v>12.92</v>
      </c>
    </row>
    <row r="1989" spans="1:18" x14ac:dyDescent="0.25">
      <c r="A1989" s="1" t="s">
        <v>187</v>
      </c>
      <c r="B1989" s="3">
        <v>38</v>
      </c>
      <c r="C1989" s="19">
        <v>38</v>
      </c>
      <c r="D1989" s="3" t="s">
        <v>497</v>
      </c>
      <c r="E1989" s="3" t="s">
        <v>498</v>
      </c>
      <c r="F1989" s="23">
        <v>105000</v>
      </c>
      <c r="G1989" s="15">
        <v>2007</v>
      </c>
      <c r="H1989" s="15">
        <f>Table_7[[#This Row],[Listing Price (USD)]]/10000</f>
        <v>10.5</v>
      </c>
      <c r="I1989" s="28">
        <f>Table_7[[#This Row],[Length 
(ft)]]</f>
        <v>38</v>
      </c>
      <c r="J1989" s="28">
        <f>2020-Table_7[[#This Row],[Year]]</f>
        <v>13</v>
      </c>
      <c r="K1989">
        <v>1090515389749.41</v>
      </c>
      <c r="L1989">
        <v>8655.0006820680301</v>
      </c>
      <c r="M1989">
        <v>3.3968341556999899</v>
      </c>
      <c r="N1989">
        <v>-7.9879123401474903</v>
      </c>
      <c r="O1989">
        <v>34.67</v>
      </c>
      <c r="P1989">
        <v>991</v>
      </c>
      <c r="Q1989">
        <v>35</v>
      </c>
      <c r="R1989">
        <v>12.92</v>
      </c>
    </row>
    <row r="1990" spans="1:18" x14ac:dyDescent="0.25">
      <c r="A1990" s="1" t="s">
        <v>187</v>
      </c>
      <c r="B1990" s="3">
        <v>38</v>
      </c>
      <c r="C1990" s="19">
        <v>38</v>
      </c>
      <c r="D1990" s="3" t="s">
        <v>495</v>
      </c>
      <c r="E1990" s="3" t="s">
        <v>523</v>
      </c>
      <c r="F1990" s="23">
        <v>105000</v>
      </c>
      <c r="G1990" s="15">
        <v>2006</v>
      </c>
      <c r="H1990" s="15">
        <f>Table_7[[#This Row],[Listing Price (USD)]]/10000</f>
        <v>10.5</v>
      </c>
      <c r="I1990" s="28">
        <f>Table_7[[#This Row],[Length 
(ft)]]</f>
        <v>38</v>
      </c>
      <c r="J1990" s="28">
        <f>2020-Table_7[[#This Row],[Year]]</f>
        <v>14</v>
      </c>
      <c r="K1990">
        <v>1775588000000</v>
      </c>
      <c r="L1990">
        <v>60771.06</v>
      </c>
      <c r="M1990">
        <v>1.23</v>
      </c>
      <c r="N1990">
        <v>5.0999999999999996</v>
      </c>
      <c r="O1990">
        <v>34.67</v>
      </c>
      <c r="P1990">
        <v>991</v>
      </c>
      <c r="Q1990">
        <v>35</v>
      </c>
      <c r="R1990">
        <v>12.92</v>
      </c>
    </row>
    <row r="1991" spans="1:18" x14ac:dyDescent="0.25">
      <c r="A1991" s="1" t="s">
        <v>187</v>
      </c>
      <c r="B1991" s="3">
        <v>38</v>
      </c>
      <c r="C1991" s="19">
        <v>38</v>
      </c>
      <c r="D1991" s="3" t="s">
        <v>495</v>
      </c>
      <c r="E1991" s="3" t="s">
        <v>518</v>
      </c>
      <c r="F1991" s="23">
        <v>108551</v>
      </c>
      <c r="G1991" s="15">
        <v>2006</v>
      </c>
      <c r="H1991" s="15">
        <f>Table_7[[#This Row],[Listing Price (USD)]]/10000</f>
        <v>10.8551</v>
      </c>
      <c r="I1991" s="28">
        <f>Table_7[[#This Row],[Length 
(ft)]]</f>
        <v>38</v>
      </c>
      <c r="J1991" s="28">
        <f>2020-Table_7[[#This Row],[Year]]</f>
        <v>14</v>
      </c>
      <c r="K1991">
        <v>1724759000000</v>
      </c>
      <c r="L1991">
        <v>85575.039999999994</v>
      </c>
      <c r="M1991">
        <v>1.23</v>
      </c>
      <c r="N1991">
        <v>3.8</v>
      </c>
      <c r="O1991">
        <v>34.67</v>
      </c>
      <c r="P1991">
        <v>991</v>
      </c>
      <c r="Q1991">
        <v>35</v>
      </c>
      <c r="R1991">
        <v>12.92</v>
      </c>
    </row>
    <row r="1992" spans="1:18" x14ac:dyDescent="0.25">
      <c r="A1992" s="1" t="s">
        <v>187</v>
      </c>
      <c r="B1992" s="3">
        <v>38</v>
      </c>
      <c r="C1992" s="19">
        <v>38</v>
      </c>
      <c r="D1992" s="3" t="s">
        <v>495</v>
      </c>
      <c r="E1992" s="3" t="s">
        <v>518</v>
      </c>
      <c r="F1992" s="23">
        <v>109335</v>
      </c>
      <c r="G1992" s="15">
        <v>2005</v>
      </c>
      <c r="H1992" s="15">
        <f>Table_7[[#This Row],[Listing Price (USD)]]/10000</f>
        <v>10.9335</v>
      </c>
      <c r="I1992" s="28">
        <f>Table_7[[#This Row],[Length 
(ft)]]</f>
        <v>38</v>
      </c>
      <c r="J1992" s="28">
        <f>2020-Table_7[[#This Row],[Year]]</f>
        <v>15</v>
      </c>
      <c r="K1992">
        <v>1724759000000</v>
      </c>
      <c r="L1992">
        <v>85575.039999999994</v>
      </c>
      <c r="M1992">
        <v>1.23</v>
      </c>
      <c r="N1992">
        <v>3.8</v>
      </c>
      <c r="O1992">
        <v>34.67</v>
      </c>
      <c r="P1992">
        <v>991</v>
      </c>
      <c r="Q1992">
        <v>35</v>
      </c>
      <c r="R1992">
        <v>12.92</v>
      </c>
    </row>
    <row r="1993" spans="1:18" x14ac:dyDescent="0.25">
      <c r="A1993" s="1" t="s">
        <v>187</v>
      </c>
      <c r="B1993" s="3">
        <v>38</v>
      </c>
      <c r="C1993" s="19">
        <v>38</v>
      </c>
      <c r="D1993" s="3" t="s">
        <v>495</v>
      </c>
      <c r="E1993" s="3" t="s">
        <v>555</v>
      </c>
      <c r="F1993" s="23">
        <v>109400</v>
      </c>
      <c r="G1993" s="15">
        <v>2006</v>
      </c>
      <c r="H1993" s="15">
        <f>Table_7[[#This Row],[Listing Price (USD)]]/10000</f>
        <v>10.94</v>
      </c>
      <c r="I1993" s="28">
        <f>Table_7[[#This Row],[Length 
(ft)]]</f>
        <v>38</v>
      </c>
      <c r="J1993" s="28">
        <f>2020-Table_7[[#This Row],[Year]]</f>
        <v>14</v>
      </c>
      <c r="K1993">
        <v>4200000000</v>
      </c>
      <c r="L1993">
        <v>39553.199999999997</v>
      </c>
      <c r="M1993">
        <v>1.23</v>
      </c>
      <c r="N1993">
        <v>-2.1</v>
      </c>
      <c r="O1993">
        <v>34.67</v>
      </c>
      <c r="P1993">
        <v>991</v>
      </c>
      <c r="Q1993">
        <v>35</v>
      </c>
      <c r="R1993">
        <v>12.92</v>
      </c>
    </row>
    <row r="1994" spans="1:18" x14ac:dyDescent="0.25">
      <c r="A1994" s="1" t="s">
        <v>187</v>
      </c>
      <c r="B1994" s="3">
        <v>38</v>
      </c>
      <c r="C1994" s="19">
        <v>38</v>
      </c>
      <c r="D1994" s="3" t="s">
        <v>495</v>
      </c>
      <c r="E1994" s="3" t="s">
        <v>554</v>
      </c>
      <c r="F1994" s="23">
        <v>109500</v>
      </c>
      <c r="G1994" s="15">
        <v>2008</v>
      </c>
      <c r="H1994" s="15">
        <f>Table_7[[#This Row],[Listing Price (USD)]]/10000</f>
        <v>10.95</v>
      </c>
      <c r="I1994" s="28">
        <f>Table_7[[#This Row],[Length 
(ft)]]</f>
        <v>38</v>
      </c>
      <c r="J1994" s="28">
        <f>2020-Table_7[[#This Row],[Year]]</f>
        <v>12</v>
      </c>
      <c r="K1994">
        <v>4200000000</v>
      </c>
      <c r="L1994">
        <v>39553.199999999997</v>
      </c>
      <c r="M1994">
        <v>4.0999999999999996</v>
      </c>
      <c r="N1994">
        <v>-2.1</v>
      </c>
      <c r="O1994">
        <v>34.67</v>
      </c>
      <c r="P1994">
        <v>991</v>
      </c>
      <c r="Q1994">
        <v>35</v>
      </c>
      <c r="R1994">
        <v>12.92</v>
      </c>
    </row>
    <row r="1995" spans="1:18" x14ac:dyDescent="0.25">
      <c r="A1995" s="1" t="s">
        <v>187</v>
      </c>
      <c r="B1995" s="3">
        <v>38</v>
      </c>
      <c r="C1995" s="19">
        <v>38</v>
      </c>
      <c r="D1995" s="3" t="s">
        <v>495</v>
      </c>
      <c r="E1995" s="3" t="s">
        <v>500</v>
      </c>
      <c r="F1995" s="23">
        <v>109700</v>
      </c>
      <c r="G1995" s="15">
        <v>2007</v>
      </c>
      <c r="H1995" s="15">
        <f>Table_7[[#This Row],[Listing Price (USD)]]/10000</f>
        <v>10.97</v>
      </c>
      <c r="I1995" s="28">
        <f>Table_7[[#This Row],[Length 
(ft)]]</f>
        <v>38</v>
      </c>
      <c r="J1995" s="28">
        <f>2020-Table_7[[#This Row],[Year]]</f>
        <v>13</v>
      </c>
      <c r="K1995">
        <v>3007188000000</v>
      </c>
      <c r="L1995">
        <v>76131.839999999997</v>
      </c>
      <c r="M1995">
        <v>1.23</v>
      </c>
      <c r="N1995">
        <v>2.7</v>
      </c>
      <c r="O1995">
        <v>34.67</v>
      </c>
      <c r="P1995">
        <v>991</v>
      </c>
      <c r="Q1995">
        <v>35</v>
      </c>
      <c r="R1995">
        <v>12.92</v>
      </c>
    </row>
    <row r="1996" spans="1:18" x14ac:dyDescent="0.25">
      <c r="A1996" s="1" t="s">
        <v>187</v>
      </c>
      <c r="B1996" s="3">
        <v>38</v>
      </c>
      <c r="C1996" s="19">
        <v>38</v>
      </c>
      <c r="D1996" s="3" t="s">
        <v>495</v>
      </c>
      <c r="E1996" s="3" t="s">
        <v>523</v>
      </c>
      <c r="F1996" s="23">
        <v>109900</v>
      </c>
      <c r="G1996" s="15">
        <v>2008</v>
      </c>
      <c r="H1996" s="15">
        <f>Table_7[[#This Row],[Listing Price (USD)]]/10000</f>
        <v>10.99</v>
      </c>
      <c r="I1996" s="28">
        <f>Table_7[[#This Row],[Length 
(ft)]]</f>
        <v>38</v>
      </c>
      <c r="J1996" s="28">
        <f>2020-Table_7[[#This Row],[Year]]</f>
        <v>12</v>
      </c>
      <c r="K1996">
        <v>1775588000000</v>
      </c>
      <c r="L1996">
        <v>60771.06</v>
      </c>
      <c r="M1996">
        <v>1.23</v>
      </c>
      <c r="N1996">
        <v>5.0999999999999996</v>
      </c>
      <c r="O1996">
        <v>34.67</v>
      </c>
      <c r="P1996">
        <v>991</v>
      </c>
      <c r="Q1996">
        <v>35</v>
      </c>
      <c r="R1996">
        <v>12.92</v>
      </c>
    </row>
    <row r="1997" spans="1:18" x14ac:dyDescent="0.25">
      <c r="A1997" s="1" t="s">
        <v>187</v>
      </c>
      <c r="B1997" s="3">
        <v>38</v>
      </c>
      <c r="C1997" s="19">
        <v>38</v>
      </c>
      <c r="D1997" s="3" t="s">
        <v>495</v>
      </c>
      <c r="E1997" s="3" t="s">
        <v>518</v>
      </c>
      <c r="F1997" s="23">
        <v>115900</v>
      </c>
      <c r="G1997" s="15">
        <v>2009</v>
      </c>
      <c r="H1997" s="15">
        <f>Table_7[[#This Row],[Listing Price (USD)]]/10000</f>
        <v>11.59</v>
      </c>
      <c r="I1997" s="28">
        <f>Table_7[[#This Row],[Length 
(ft)]]</f>
        <v>38</v>
      </c>
      <c r="J1997" s="28">
        <f>2020-Table_7[[#This Row],[Year]]</f>
        <v>11</v>
      </c>
      <c r="K1997">
        <v>1724759000000</v>
      </c>
      <c r="L1997">
        <v>85575.039999999994</v>
      </c>
      <c r="M1997">
        <v>1.23</v>
      </c>
      <c r="N1997">
        <v>3.8</v>
      </c>
      <c r="O1997">
        <v>34.67</v>
      </c>
      <c r="P1997">
        <v>991</v>
      </c>
      <c r="Q1997">
        <v>35</v>
      </c>
      <c r="R1997">
        <v>12.92</v>
      </c>
    </row>
    <row r="1998" spans="1:18" x14ac:dyDescent="0.25">
      <c r="A1998" s="1" t="s">
        <v>187</v>
      </c>
      <c r="B1998" s="3">
        <v>38</v>
      </c>
      <c r="C1998" s="19">
        <v>38</v>
      </c>
      <c r="D1998" s="3" t="s">
        <v>495</v>
      </c>
      <c r="E1998" s="3" t="s">
        <v>550</v>
      </c>
      <c r="F1998" s="23">
        <v>117000</v>
      </c>
      <c r="G1998" s="15">
        <v>2009</v>
      </c>
      <c r="H1998" s="15">
        <f>Table_7[[#This Row],[Listing Price (USD)]]/10000</f>
        <v>11.7</v>
      </c>
      <c r="I1998" s="28">
        <f>Table_7[[#This Row],[Length 
(ft)]]</f>
        <v>38</v>
      </c>
      <c r="J1998" s="28">
        <f>2020-Table_7[[#This Row],[Year]]</f>
        <v>11</v>
      </c>
      <c r="K1998">
        <v>677561000000</v>
      </c>
      <c r="L1998">
        <v>57466.28</v>
      </c>
      <c r="M1998">
        <v>1.23</v>
      </c>
      <c r="N1998">
        <v>3.5</v>
      </c>
      <c r="O1998">
        <v>34.67</v>
      </c>
      <c r="P1998">
        <v>991</v>
      </c>
      <c r="Q1998">
        <v>35</v>
      </c>
      <c r="R1998">
        <v>12.92</v>
      </c>
    </row>
    <row r="1999" spans="1:18" x14ac:dyDescent="0.25">
      <c r="A1999" s="1" t="s">
        <v>187</v>
      </c>
      <c r="B1999" s="3">
        <v>38</v>
      </c>
      <c r="C1999" s="19">
        <v>38</v>
      </c>
      <c r="D1999" s="3" t="s">
        <v>495</v>
      </c>
      <c r="E1999" s="3" t="s">
        <v>518</v>
      </c>
      <c r="F1999" s="23">
        <v>117300</v>
      </c>
      <c r="G1999" s="15">
        <v>2006</v>
      </c>
      <c r="H1999" s="15">
        <f>Table_7[[#This Row],[Listing Price (USD)]]/10000</f>
        <v>11.73</v>
      </c>
      <c r="I1999" s="28">
        <f>Table_7[[#This Row],[Length 
(ft)]]</f>
        <v>38</v>
      </c>
      <c r="J1999" s="28">
        <f>2020-Table_7[[#This Row],[Year]]</f>
        <v>14</v>
      </c>
      <c r="K1999">
        <v>1724759000000</v>
      </c>
      <c r="L1999">
        <v>85575.039999999994</v>
      </c>
      <c r="M1999">
        <v>1.23</v>
      </c>
      <c r="N1999">
        <v>3.8</v>
      </c>
      <c r="O1999">
        <v>34.67</v>
      </c>
      <c r="P1999">
        <v>991</v>
      </c>
      <c r="Q1999">
        <v>35</v>
      </c>
      <c r="R1999">
        <v>12.92</v>
      </c>
    </row>
    <row r="2000" spans="1:18" x14ac:dyDescent="0.25">
      <c r="A2000" s="1" t="s">
        <v>187</v>
      </c>
      <c r="B2000" s="3">
        <v>38</v>
      </c>
      <c r="C2000" s="19">
        <v>38</v>
      </c>
      <c r="D2000" s="3" t="s">
        <v>495</v>
      </c>
      <c r="E2000" s="3" t="s">
        <v>333</v>
      </c>
      <c r="F2000" s="23">
        <v>119000</v>
      </c>
      <c r="G2000" s="15">
        <v>2005</v>
      </c>
      <c r="H2000" s="15">
        <f>Table_7[[#This Row],[Listing Price (USD)]]/10000</f>
        <v>11.9</v>
      </c>
      <c r="I2000" s="28">
        <f>Table_7[[#This Row],[Length 
(ft)]]</f>
        <v>38</v>
      </c>
      <c r="J2000" s="28">
        <f>2020-Table_7[[#This Row],[Year]]</f>
        <v>15</v>
      </c>
      <c r="K2000">
        <v>1106036000000</v>
      </c>
      <c r="L2000">
        <v>51276.72</v>
      </c>
      <c r="M2000">
        <v>1.23</v>
      </c>
      <c r="N2000">
        <v>2.9</v>
      </c>
      <c r="O2000">
        <v>34.67</v>
      </c>
      <c r="P2000">
        <v>991</v>
      </c>
      <c r="Q2000">
        <v>35</v>
      </c>
      <c r="R2000">
        <v>12.92</v>
      </c>
    </row>
    <row r="2001" spans="1:18" x14ac:dyDescent="0.25">
      <c r="A2001" s="1" t="s">
        <v>187</v>
      </c>
      <c r="B2001" s="3">
        <v>38</v>
      </c>
      <c r="C2001" s="19">
        <v>38</v>
      </c>
      <c r="D2001" s="3" t="s">
        <v>495</v>
      </c>
      <c r="E2001" s="3" t="s">
        <v>519</v>
      </c>
      <c r="F2001" s="23">
        <v>119000</v>
      </c>
      <c r="G2001" s="15">
        <v>2006</v>
      </c>
      <c r="H2001" s="15">
        <f>Table_7[[#This Row],[Listing Price (USD)]]/10000</f>
        <v>11.9</v>
      </c>
      <c r="I2001" s="28">
        <f>Table_7[[#This Row],[Length 
(ft)]]</f>
        <v>38</v>
      </c>
      <c r="J2001" s="28">
        <f>2020-Table_7[[#This Row],[Year]]</f>
        <v>14</v>
      </c>
      <c r="K2001">
        <v>589829000000</v>
      </c>
      <c r="L2001">
        <v>56404.23</v>
      </c>
      <c r="M2001">
        <v>1.23</v>
      </c>
      <c r="N2001">
        <v>2.8</v>
      </c>
      <c r="O2001">
        <v>34.67</v>
      </c>
      <c r="P2001">
        <v>991</v>
      </c>
      <c r="Q2001">
        <v>35</v>
      </c>
      <c r="R2001">
        <v>12.92</v>
      </c>
    </row>
    <row r="2002" spans="1:18" x14ac:dyDescent="0.25">
      <c r="A2002" s="1" t="s">
        <v>187</v>
      </c>
      <c r="B2002" s="3">
        <v>38</v>
      </c>
      <c r="C2002" s="19">
        <v>38</v>
      </c>
      <c r="D2002" s="3" t="s">
        <v>495</v>
      </c>
      <c r="E2002" s="3" t="s">
        <v>521</v>
      </c>
      <c r="F2002" s="23">
        <v>119500</v>
      </c>
      <c r="G2002" s="15">
        <v>2008</v>
      </c>
      <c r="H2002" s="15">
        <f>Table_7[[#This Row],[Listing Price (USD)]]/10000</f>
        <v>11.95</v>
      </c>
      <c r="I2002" s="28">
        <f>Table_7[[#This Row],[Length 
(ft)]]</f>
        <v>38</v>
      </c>
      <c r="J2002" s="28">
        <f>2020-Table_7[[#This Row],[Year]]</f>
        <v>12</v>
      </c>
      <c r="K2002">
        <v>60556000000</v>
      </c>
      <c r="L2002">
        <v>55240.56</v>
      </c>
      <c r="M2002">
        <v>3</v>
      </c>
      <c r="N2002">
        <v>2.2000000000000002</v>
      </c>
      <c r="O2002">
        <v>34.67</v>
      </c>
      <c r="P2002">
        <v>991</v>
      </c>
      <c r="Q2002">
        <v>35</v>
      </c>
      <c r="R2002">
        <v>12.92</v>
      </c>
    </row>
    <row r="2003" spans="1:18" x14ac:dyDescent="0.25">
      <c r="A2003" s="1" t="s">
        <v>270</v>
      </c>
      <c r="B2003" s="3">
        <v>38</v>
      </c>
      <c r="C2003" s="19">
        <v>38</v>
      </c>
      <c r="D2003" s="3" t="s">
        <v>495</v>
      </c>
      <c r="E2003" s="3" t="s">
        <v>518</v>
      </c>
      <c r="F2003" s="23">
        <v>135000</v>
      </c>
      <c r="G2003" s="15">
        <v>2013</v>
      </c>
      <c r="H2003" s="15">
        <f>Table_7[[#This Row],[Listing Price (USD)]]/10000</f>
        <v>13.5</v>
      </c>
      <c r="I2003" s="28">
        <f>Table_7[[#This Row],[Length 
(ft)]]</f>
        <v>38</v>
      </c>
      <c r="J2003" s="28">
        <f>2020-Table_7[[#This Row],[Year]]</f>
        <v>7</v>
      </c>
      <c r="K2003">
        <v>1724759000000</v>
      </c>
      <c r="L2003">
        <v>85575.039999999994</v>
      </c>
      <c r="M2003">
        <v>1.23</v>
      </c>
      <c r="N2003">
        <v>3.8</v>
      </c>
      <c r="O2003">
        <v>34.67</v>
      </c>
      <c r="P2003">
        <v>991</v>
      </c>
      <c r="Q2003">
        <v>35</v>
      </c>
      <c r="R2003">
        <v>12.92</v>
      </c>
    </row>
    <row r="2004" spans="1:18" x14ac:dyDescent="0.25">
      <c r="A2004" s="1" t="s">
        <v>270</v>
      </c>
      <c r="B2004" s="3">
        <v>38</v>
      </c>
      <c r="C2004" s="19">
        <v>38</v>
      </c>
      <c r="D2004" s="3" t="s">
        <v>495</v>
      </c>
      <c r="E2004" s="3" t="s">
        <v>333</v>
      </c>
      <c r="F2004" s="23">
        <v>138500</v>
      </c>
      <c r="G2004" s="15">
        <v>2013</v>
      </c>
      <c r="H2004" s="15">
        <f>Table_7[[#This Row],[Listing Price (USD)]]/10000</f>
        <v>13.85</v>
      </c>
      <c r="I2004" s="28">
        <f>Table_7[[#This Row],[Length 
(ft)]]</f>
        <v>38</v>
      </c>
      <c r="J2004" s="28">
        <f>2020-Table_7[[#This Row],[Year]]</f>
        <v>7</v>
      </c>
      <c r="K2004">
        <v>1106036000000</v>
      </c>
      <c r="L2004">
        <v>51276.72</v>
      </c>
      <c r="M2004">
        <v>1.23</v>
      </c>
      <c r="N2004">
        <v>2.9</v>
      </c>
      <c r="O2004">
        <v>34.67</v>
      </c>
      <c r="P2004">
        <v>991</v>
      </c>
      <c r="Q2004">
        <v>35</v>
      </c>
      <c r="R2004">
        <v>12.92</v>
      </c>
    </row>
    <row r="2005" spans="1:18" x14ac:dyDescent="0.25">
      <c r="A2005" s="1" t="s">
        <v>101</v>
      </c>
      <c r="B2005" s="2">
        <v>38</v>
      </c>
      <c r="C2005" s="19">
        <v>38</v>
      </c>
      <c r="D2005" s="3" t="s">
        <v>496</v>
      </c>
      <c r="E2005" s="3" t="s">
        <v>553</v>
      </c>
      <c r="F2005" s="23">
        <v>207466</v>
      </c>
      <c r="G2005" s="15">
        <v>2009</v>
      </c>
      <c r="H2005" s="15">
        <f>Table_7[[#This Row],[Listing Price (USD)]]/10000</f>
        <v>20.746600000000001</v>
      </c>
      <c r="I2005" s="28">
        <f>Table_7[[#This Row],[Length 
(ft)]]</f>
        <v>38</v>
      </c>
      <c r="J2005" s="28">
        <f>2020-Table_7[[#This Row],[Year]]</f>
        <v>11</v>
      </c>
      <c r="K2005">
        <v>739913619797.44495</v>
      </c>
      <c r="L2005">
        <v>85656.322666306995</v>
      </c>
      <c r="M2005">
        <v>-0.72587493331339104</v>
      </c>
      <c r="N2005">
        <v>-2.37556327967653</v>
      </c>
      <c r="O2005">
        <v>34.67</v>
      </c>
      <c r="P2005">
        <v>991</v>
      </c>
      <c r="Q2005">
        <v>35</v>
      </c>
      <c r="R2005">
        <v>12.92</v>
      </c>
    </row>
    <row r="2006" spans="1:18" x14ac:dyDescent="0.25">
      <c r="A2006" s="1" t="s">
        <v>278</v>
      </c>
      <c r="B2006" s="2">
        <v>38</v>
      </c>
      <c r="C2006" s="19">
        <v>39</v>
      </c>
      <c r="D2006" s="3" t="s">
        <v>496</v>
      </c>
      <c r="E2006" s="3" t="s">
        <v>542</v>
      </c>
      <c r="F2006" s="23">
        <v>279845</v>
      </c>
      <c r="G2006" s="15">
        <v>2010</v>
      </c>
      <c r="H2006" s="15">
        <f>Table_7[[#This Row],[Listing Price (USD)]]/10000</f>
        <v>27.984500000000001</v>
      </c>
      <c r="I2006" s="28">
        <f>Table_7[[#This Row],[Length 
(ft)]]</f>
        <v>39</v>
      </c>
      <c r="J2006" s="28">
        <f>2020-Table_7[[#This Row],[Year]]</f>
        <v>10</v>
      </c>
      <c r="K2006">
        <v>235437000000</v>
      </c>
      <c r="L2006">
        <v>50618.06</v>
      </c>
      <c r="M2006">
        <v>1.23</v>
      </c>
      <c r="N2006">
        <v>3.8</v>
      </c>
      <c r="O2006">
        <v>34.67</v>
      </c>
      <c r="P2006">
        <v>991</v>
      </c>
      <c r="Q2006">
        <v>35</v>
      </c>
      <c r="R2006">
        <v>12.92</v>
      </c>
    </row>
    <row r="2007" spans="1:18" x14ac:dyDescent="0.25">
      <c r="A2007" s="1" t="s">
        <v>278</v>
      </c>
      <c r="B2007" s="2">
        <v>38</v>
      </c>
      <c r="C2007" s="19">
        <v>39</v>
      </c>
      <c r="D2007" s="3" t="s">
        <v>496</v>
      </c>
      <c r="E2007" s="3" t="s">
        <v>3</v>
      </c>
      <c r="F2007" s="23">
        <v>346474</v>
      </c>
      <c r="G2007" s="15">
        <v>2012</v>
      </c>
      <c r="H2007" s="15">
        <f>Table_7[[#This Row],[Listing Price (USD)]]/10000</f>
        <v>34.647399999999998</v>
      </c>
      <c r="I2007" s="28">
        <f>Table_7[[#This Row],[Length 
(ft)]]</f>
        <v>39</v>
      </c>
      <c r="J2007" s="28">
        <f>2020-Table_7[[#This Row],[Year]]</f>
        <v>8</v>
      </c>
      <c r="K2007">
        <v>2639008701648.2598</v>
      </c>
      <c r="L2007">
        <v>39055.282928075401</v>
      </c>
      <c r="M2007">
        <v>0.47649885272508302</v>
      </c>
      <c r="N2007">
        <v>-7.7845864916787102</v>
      </c>
      <c r="O2007">
        <v>34.67</v>
      </c>
      <c r="P2007">
        <v>991</v>
      </c>
      <c r="Q2007">
        <v>35</v>
      </c>
      <c r="R2007">
        <v>12.92</v>
      </c>
    </row>
    <row r="2008" spans="1:18" x14ac:dyDescent="0.25">
      <c r="A2008" s="1" t="s">
        <v>103</v>
      </c>
      <c r="B2008" s="3" t="s">
        <v>335</v>
      </c>
      <c r="C2008" s="19">
        <v>40</v>
      </c>
      <c r="D2008" s="3" t="s">
        <v>495</v>
      </c>
      <c r="E2008" s="3" t="s">
        <v>333</v>
      </c>
      <c r="F2008" s="23">
        <v>145000</v>
      </c>
      <c r="G2008" s="15">
        <v>2006</v>
      </c>
      <c r="H2008" s="15">
        <f>Table_7[[#This Row],[Listing Price (USD)]]/10000</f>
        <v>14.5</v>
      </c>
      <c r="I2008" s="28">
        <f>Table_7[[#This Row],[Length 
(ft)]]</f>
        <v>40</v>
      </c>
      <c r="J2008" s="28">
        <f>2020-Table_7[[#This Row],[Year]]</f>
        <v>14</v>
      </c>
      <c r="K2008">
        <v>1106036000000</v>
      </c>
      <c r="L2008">
        <v>51276.72</v>
      </c>
      <c r="M2008">
        <v>1.23</v>
      </c>
      <c r="N2008">
        <v>2.9</v>
      </c>
      <c r="O2008">
        <v>36.5</v>
      </c>
      <c r="P2008">
        <v>808.00199999999995</v>
      </c>
      <c r="Q2008">
        <v>35</v>
      </c>
      <c r="R2008">
        <v>13.5</v>
      </c>
    </row>
    <row r="2009" spans="1:18" x14ac:dyDescent="0.25">
      <c r="A2009" s="1" t="s">
        <v>164</v>
      </c>
      <c r="B2009" s="2" t="s">
        <v>167</v>
      </c>
      <c r="C2009" s="19">
        <v>43</v>
      </c>
      <c r="D2009" s="3" t="s">
        <v>496</v>
      </c>
      <c r="E2009" s="3" t="s">
        <v>24</v>
      </c>
      <c r="F2009" s="23">
        <v>176131</v>
      </c>
      <c r="G2009" s="15">
        <v>2007</v>
      </c>
      <c r="H2009" s="15">
        <f>Table_7[[#This Row],[Listing Price (USD)]]/10000</f>
        <v>17.613099999999999</v>
      </c>
      <c r="I2009" s="28">
        <f>Table_7[[#This Row],[Length 
(ft)]]</f>
        <v>43</v>
      </c>
      <c r="J2009" s="28">
        <f>2020-Table_7[[#This Row],[Year]]</f>
        <v>13</v>
      </c>
      <c r="K2009">
        <v>1896755301518.1399</v>
      </c>
      <c r="L2009">
        <v>31911.0357890017</v>
      </c>
      <c r="M2009">
        <v>-0.13770757391656999</v>
      </c>
      <c r="N2009">
        <v>-9.0399534112288507</v>
      </c>
      <c r="O2009">
        <v>38.799999999999997</v>
      </c>
      <c r="P2009">
        <v>1126.002</v>
      </c>
      <c r="Q2009">
        <v>35</v>
      </c>
      <c r="R2009">
        <v>14</v>
      </c>
    </row>
    <row r="2010" spans="1:18" x14ac:dyDescent="0.25">
      <c r="A2010" s="1" t="s">
        <v>192</v>
      </c>
      <c r="B2010" s="2" t="s">
        <v>193</v>
      </c>
      <c r="C2010" s="19">
        <v>40</v>
      </c>
      <c r="D2010" s="3" t="s">
        <v>496</v>
      </c>
      <c r="E2010" s="3" t="s">
        <v>3</v>
      </c>
      <c r="F2010" s="23">
        <v>133617</v>
      </c>
      <c r="G2010" s="15">
        <v>2007</v>
      </c>
      <c r="H2010" s="15">
        <f>Table_7[[#This Row],[Listing Price (USD)]]/10000</f>
        <v>13.361700000000001</v>
      </c>
      <c r="I2010" s="28">
        <f>Table_7[[#This Row],[Length 
(ft)]]</f>
        <v>40</v>
      </c>
      <c r="J2010" s="28">
        <f>2020-Table_7[[#This Row],[Year]]</f>
        <v>13</v>
      </c>
      <c r="K2010">
        <v>2639008701648.2598</v>
      </c>
      <c r="L2010">
        <v>39055.282928075401</v>
      </c>
      <c r="M2010">
        <v>0.47649885272508302</v>
      </c>
      <c r="N2010">
        <v>-7.7845864916787102</v>
      </c>
      <c r="O2010">
        <v>34.6</v>
      </c>
      <c r="P2010">
        <v>865.00199999999995</v>
      </c>
      <c r="Q2010">
        <v>35</v>
      </c>
      <c r="R2010">
        <v>11.91</v>
      </c>
    </row>
    <row r="2011" spans="1:18" x14ac:dyDescent="0.25">
      <c r="A2011" s="1" t="s">
        <v>194</v>
      </c>
      <c r="B2011" s="2" t="s">
        <v>193</v>
      </c>
      <c r="C2011" s="19">
        <v>40</v>
      </c>
      <c r="D2011" s="3" t="s">
        <v>495</v>
      </c>
      <c r="E2011" s="3" t="s">
        <v>500</v>
      </c>
      <c r="F2011" s="23">
        <v>189000</v>
      </c>
      <c r="G2011" s="15">
        <v>2006</v>
      </c>
      <c r="H2011" s="15">
        <f>Table_7[[#This Row],[Listing Price (USD)]]/10000</f>
        <v>18.899999999999999</v>
      </c>
      <c r="I2011" s="28">
        <f>Table_7[[#This Row],[Length 
(ft)]]</f>
        <v>40</v>
      </c>
      <c r="J2011" s="28">
        <f>2020-Table_7[[#This Row],[Year]]</f>
        <v>14</v>
      </c>
      <c r="K2011">
        <v>3007188000000</v>
      </c>
      <c r="L2011">
        <v>76131.839999999997</v>
      </c>
      <c r="M2011">
        <v>1.23</v>
      </c>
      <c r="N2011">
        <v>2.7</v>
      </c>
      <c r="O2011">
        <v>34.6</v>
      </c>
      <c r="P2011">
        <v>865.00199999999995</v>
      </c>
      <c r="Q2011">
        <v>35</v>
      </c>
      <c r="R2011">
        <v>11.91</v>
      </c>
    </row>
    <row r="2012" spans="1:18" x14ac:dyDescent="0.25">
      <c r="A2012" s="1" t="s">
        <v>194</v>
      </c>
      <c r="B2012" s="2" t="s">
        <v>193</v>
      </c>
      <c r="C2012" s="19">
        <v>40</v>
      </c>
      <c r="D2012" s="3" t="s">
        <v>496</v>
      </c>
      <c r="E2012" s="3" t="s">
        <v>516</v>
      </c>
      <c r="F2012" s="23">
        <v>191363</v>
      </c>
      <c r="G2012" s="15">
        <v>2007</v>
      </c>
      <c r="H2012" s="15">
        <f>Table_7[[#This Row],[Listing Price (USD)]]/10000</f>
        <v>19.136299999999999</v>
      </c>
      <c r="I2012" s="28">
        <f>Table_7[[#This Row],[Length 
(ft)]]</f>
        <v>40</v>
      </c>
      <c r="J2012" s="28">
        <f>2020-Table_7[[#This Row],[Year]]</f>
        <v>13</v>
      </c>
      <c r="K2012">
        <v>909793466661.48096</v>
      </c>
      <c r="L2012">
        <v>52162.570115040602</v>
      </c>
      <c r="M2012">
        <v>1.2724603778917001</v>
      </c>
      <c r="N2012">
        <v>-3.88608391819609</v>
      </c>
      <c r="O2012">
        <v>34.6</v>
      </c>
      <c r="P2012">
        <v>865.00199999999995</v>
      </c>
      <c r="Q2012">
        <v>35</v>
      </c>
      <c r="R2012">
        <v>11.91</v>
      </c>
    </row>
    <row r="2013" spans="1:18" x14ac:dyDescent="0.25">
      <c r="A2013" s="1" t="s">
        <v>194</v>
      </c>
      <c r="B2013" s="2" t="s">
        <v>193</v>
      </c>
      <c r="C2013" s="19">
        <v>40</v>
      </c>
      <c r="D2013" s="3" t="s">
        <v>495</v>
      </c>
      <c r="E2013" s="3" t="s">
        <v>500</v>
      </c>
      <c r="F2013" s="23">
        <v>195000</v>
      </c>
      <c r="G2013" s="15">
        <v>2005</v>
      </c>
      <c r="H2013" s="15">
        <f>Table_7[[#This Row],[Listing Price (USD)]]/10000</f>
        <v>19.5</v>
      </c>
      <c r="I2013" s="28">
        <f>Table_7[[#This Row],[Length 
(ft)]]</f>
        <v>40</v>
      </c>
      <c r="J2013" s="28">
        <f>2020-Table_7[[#This Row],[Year]]</f>
        <v>15</v>
      </c>
      <c r="K2013">
        <v>3007188000000</v>
      </c>
      <c r="L2013">
        <v>76131.839999999997</v>
      </c>
      <c r="M2013">
        <v>1.23</v>
      </c>
      <c r="N2013">
        <v>2.7</v>
      </c>
      <c r="O2013">
        <v>34.6</v>
      </c>
      <c r="P2013">
        <v>865.00199999999995</v>
      </c>
      <c r="Q2013">
        <v>35</v>
      </c>
      <c r="R2013">
        <v>11.91</v>
      </c>
    </row>
    <row r="2014" spans="1:18" x14ac:dyDescent="0.25">
      <c r="A2014" s="1" t="s">
        <v>194</v>
      </c>
      <c r="B2014" s="2" t="s">
        <v>193</v>
      </c>
      <c r="C2014" s="19">
        <v>40</v>
      </c>
      <c r="D2014" s="3" t="s">
        <v>496</v>
      </c>
      <c r="E2014" s="3" t="s">
        <v>9</v>
      </c>
      <c r="F2014" s="23">
        <v>204121</v>
      </c>
      <c r="G2014" s="15">
        <v>2008</v>
      </c>
      <c r="H2014" s="15">
        <f>Table_7[[#This Row],[Listing Price (USD)]]/10000</f>
        <v>20.412099999999999</v>
      </c>
      <c r="I2014" s="28">
        <f>Table_7[[#This Row],[Length 
(ft)]]</f>
        <v>40</v>
      </c>
      <c r="J2014" s="28">
        <f>2020-Table_7[[#This Row],[Year]]</f>
        <v>12</v>
      </c>
      <c r="K2014">
        <v>1276962685648.25</v>
      </c>
      <c r="L2014">
        <v>26959.675436732599</v>
      </c>
      <c r="M2014">
        <v>-0.32275301729970501</v>
      </c>
      <c r="N2014">
        <v>-11.3254383222864</v>
      </c>
      <c r="O2014">
        <v>34.6</v>
      </c>
      <c r="P2014">
        <v>865.00199999999995</v>
      </c>
      <c r="Q2014">
        <v>35</v>
      </c>
      <c r="R2014">
        <v>11.91</v>
      </c>
    </row>
    <row r="2015" spans="1:18" x14ac:dyDescent="0.25">
      <c r="A2015" s="1" t="s">
        <v>194</v>
      </c>
      <c r="B2015" s="2" t="s">
        <v>193</v>
      </c>
      <c r="C2015" s="19">
        <v>40</v>
      </c>
      <c r="D2015" s="3" t="s">
        <v>496</v>
      </c>
      <c r="E2015" s="3" t="s">
        <v>9</v>
      </c>
      <c r="F2015" s="23">
        <v>206498</v>
      </c>
      <c r="G2015" s="15">
        <v>2008</v>
      </c>
      <c r="H2015" s="15">
        <f>Table_7[[#This Row],[Listing Price (USD)]]/10000</f>
        <v>20.649799999999999</v>
      </c>
      <c r="I2015" s="28">
        <f>Table_7[[#This Row],[Length 
(ft)]]</f>
        <v>40</v>
      </c>
      <c r="J2015" s="28">
        <f>2020-Table_7[[#This Row],[Year]]</f>
        <v>12</v>
      </c>
      <c r="K2015">
        <v>1276962685648.25</v>
      </c>
      <c r="L2015">
        <v>26959.675436732599</v>
      </c>
      <c r="M2015">
        <v>-0.32275301729970501</v>
      </c>
      <c r="N2015">
        <v>-11.3254383222864</v>
      </c>
      <c r="O2015">
        <v>34.6</v>
      </c>
      <c r="P2015">
        <v>865.00199999999995</v>
      </c>
      <c r="Q2015">
        <v>35</v>
      </c>
      <c r="R2015">
        <v>11.91</v>
      </c>
    </row>
    <row r="2016" spans="1:18" x14ac:dyDescent="0.25">
      <c r="A2016" s="1" t="s">
        <v>194</v>
      </c>
      <c r="B2016" s="2" t="s">
        <v>193</v>
      </c>
      <c r="C2016" s="19">
        <v>40</v>
      </c>
      <c r="D2016" s="3" t="s">
        <v>496</v>
      </c>
      <c r="E2016" s="3" t="s">
        <v>56</v>
      </c>
      <c r="F2016" s="23">
        <v>212572</v>
      </c>
      <c r="G2016" s="15">
        <v>2008</v>
      </c>
      <c r="H2016" s="15">
        <f>Table_7[[#This Row],[Listing Price (USD)]]/10000</f>
        <v>21.257200000000001</v>
      </c>
      <c r="I2016" s="28">
        <f>Table_7[[#This Row],[Length 
(ft)]]</f>
        <v>40</v>
      </c>
      <c r="J2016" s="28">
        <f>2020-Table_7[[#This Row],[Year]]</f>
        <v>12</v>
      </c>
      <c r="K2016">
        <v>14933066818.9606</v>
      </c>
      <c r="L2016">
        <v>28977.565567363599</v>
      </c>
      <c r="M2016">
        <v>0.63854495677665302</v>
      </c>
      <c r="N2016">
        <v>-8.3242832319722009</v>
      </c>
      <c r="O2016">
        <v>34.6</v>
      </c>
      <c r="P2016">
        <v>865.00199999999995</v>
      </c>
      <c r="Q2016">
        <v>35</v>
      </c>
      <c r="R2016">
        <v>11.91</v>
      </c>
    </row>
    <row r="2017" spans="1:18" x14ac:dyDescent="0.25">
      <c r="A2017" s="1" t="s">
        <v>194</v>
      </c>
      <c r="B2017" s="2" t="s">
        <v>193</v>
      </c>
      <c r="C2017" s="19">
        <v>40</v>
      </c>
      <c r="D2017" s="3" t="s">
        <v>495</v>
      </c>
      <c r="E2017" s="3" t="s">
        <v>527</v>
      </c>
      <c r="F2017" s="23">
        <v>219000</v>
      </c>
      <c r="G2017" s="15">
        <v>2007</v>
      </c>
      <c r="H2017" s="15">
        <f>Table_7[[#This Row],[Listing Price (USD)]]/10000</f>
        <v>21.9</v>
      </c>
      <c r="I2017" s="28">
        <f>Table_7[[#This Row],[Length 
(ft)]]</f>
        <v>40</v>
      </c>
      <c r="J2017" s="28">
        <f>2020-Table_7[[#This Row],[Year]]</f>
        <v>13</v>
      </c>
      <c r="K2017">
        <v>582477000000</v>
      </c>
      <c r="L2017">
        <v>82947.67</v>
      </c>
      <c r="M2017">
        <v>1.23</v>
      </c>
      <c r="N2017">
        <v>2.7</v>
      </c>
      <c r="O2017">
        <v>34.6</v>
      </c>
      <c r="P2017">
        <v>865.00199999999995</v>
      </c>
      <c r="Q2017">
        <v>35</v>
      </c>
      <c r="R2017">
        <v>11.91</v>
      </c>
    </row>
    <row r="2018" spans="1:18" x14ac:dyDescent="0.25">
      <c r="A2018" s="1" t="s">
        <v>194</v>
      </c>
      <c r="B2018" s="2" t="s">
        <v>193</v>
      </c>
      <c r="C2018" s="19">
        <v>40</v>
      </c>
      <c r="D2018" s="3" t="s">
        <v>495</v>
      </c>
      <c r="E2018" s="3" t="s">
        <v>500</v>
      </c>
      <c r="F2018" s="23">
        <v>225000</v>
      </c>
      <c r="G2018" s="15">
        <v>2007</v>
      </c>
      <c r="H2018" s="15">
        <f>Table_7[[#This Row],[Listing Price (USD)]]/10000</f>
        <v>22.5</v>
      </c>
      <c r="I2018" s="28">
        <f>Table_7[[#This Row],[Length 
(ft)]]</f>
        <v>40</v>
      </c>
      <c r="J2018" s="28">
        <f>2020-Table_7[[#This Row],[Year]]</f>
        <v>13</v>
      </c>
      <c r="K2018">
        <v>3007188000000</v>
      </c>
      <c r="L2018">
        <v>76131.839999999997</v>
      </c>
      <c r="M2018">
        <v>1.23</v>
      </c>
      <c r="N2018">
        <v>2.7</v>
      </c>
      <c r="O2018">
        <v>34.6</v>
      </c>
      <c r="P2018">
        <v>865.00199999999995</v>
      </c>
      <c r="Q2018">
        <v>35</v>
      </c>
      <c r="R2018">
        <v>11.91</v>
      </c>
    </row>
    <row r="2019" spans="1:18" x14ac:dyDescent="0.25">
      <c r="A2019" s="1" t="s">
        <v>194</v>
      </c>
      <c r="B2019" s="2" t="s">
        <v>193</v>
      </c>
      <c r="C2019" s="19">
        <v>43</v>
      </c>
      <c r="D2019" s="3" t="s">
        <v>496</v>
      </c>
      <c r="E2019" s="3" t="s">
        <v>19</v>
      </c>
      <c r="F2019" s="23">
        <v>287721</v>
      </c>
      <c r="G2019" s="15">
        <v>2011</v>
      </c>
      <c r="H2019" s="15">
        <f>Table_7[[#This Row],[Listing Price (USD)]]/10000</f>
        <v>28.772099999999998</v>
      </c>
      <c r="I2019" s="28">
        <f>Table_7[[#This Row],[Length 
(ft)]]</f>
        <v>43</v>
      </c>
      <c r="J2019" s="28">
        <f>2020-Table_7[[#This Row],[Year]]</f>
        <v>9</v>
      </c>
      <c r="K2019">
        <v>4200000000</v>
      </c>
      <c r="L2019">
        <v>39553.199999999997</v>
      </c>
      <c r="M2019">
        <v>4.0999999999999996</v>
      </c>
      <c r="N2019">
        <v>-2.1</v>
      </c>
      <c r="O2019">
        <v>34.6</v>
      </c>
      <c r="P2019">
        <v>865.00199999999995</v>
      </c>
      <c r="Q2019">
        <v>35</v>
      </c>
      <c r="R2019">
        <v>11.91</v>
      </c>
    </row>
    <row r="2020" spans="1:18" x14ac:dyDescent="0.25">
      <c r="A2020" s="1" t="s">
        <v>194</v>
      </c>
      <c r="B2020" s="2" t="s">
        <v>193</v>
      </c>
      <c r="C2020" s="19">
        <v>40</v>
      </c>
      <c r="D2020" s="3" t="s">
        <v>495</v>
      </c>
      <c r="E2020" s="3" t="s">
        <v>543</v>
      </c>
      <c r="F2020" s="23">
        <v>440000</v>
      </c>
      <c r="G2020" s="15">
        <v>2018</v>
      </c>
      <c r="H2020" s="15">
        <f>Table_7[[#This Row],[Listing Price (USD)]]/10000</f>
        <v>44</v>
      </c>
      <c r="I2020" s="28">
        <f>Table_7[[#This Row],[Length 
(ft)]]</f>
        <v>40</v>
      </c>
      <c r="J2020" s="28">
        <f>2020-Table_7[[#This Row],[Year]]</f>
        <v>2</v>
      </c>
      <c r="K2020">
        <v>235437000000</v>
      </c>
      <c r="L2020">
        <v>50618.06</v>
      </c>
      <c r="M2020">
        <v>1.23</v>
      </c>
      <c r="N2020">
        <v>3.8</v>
      </c>
      <c r="O2020">
        <v>34.6</v>
      </c>
      <c r="P2020">
        <v>865.00199999999995</v>
      </c>
      <c r="Q2020">
        <v>35</v>
      </c>
      <c r="R2020">
        <v>11.91</v>
      </c>
    </row>
    <row r="2021" spans="1:18" x14ac:dyDescent="0.25">
      <c r="A2021" s="1" t="s">
        <v>195</v>
      </c>
      <c r="B2021" s="3" t="s">
        <v>389</v>
      </c>
      <c r="C2021" s="19">
        <v>39</v>
      </c>
      <c r="D2021" s="3" t="s">
        <v>497</v>
      </c>
      <c r="E2021" s="3" t="s">
        <v>392</v>
      </c>
      <c r="F2021" s="23">
        <v>109000</v>
      </c>
      <c r="G2021" s="15">
        <v>2008</v>
      </c>
      <c r="H2021" s="15">
        <f>Table_7[[#This Row],[Listing Price (USD)]]/10000</f>
        <v>10.9</v>
      </c>
      <c r="I2021" s="28">
        <f>Table_7[[#This Row],[Length 
(ft)]]</f>
        <v>39</v>
      </c>
      <c r="J2021" s="28">
        <f>2020-Table_7[[#This Row],[Year]]</f>
        <v>12</v>
      </c>
      <c r="K2021">
        <v>1043414814.81481</v>
      </c>
      <c r="L2021">
        <v>8437.5667322870595</v>
      </c>
      <c r="M2021">
        <v>-0.74073259704550098</v>
      </c>
      <c r="N2021">
        <v>-13.7559294530644</v>
      </c>
      <c r="O2021">
        <v>35.15</v>
      </c>
      <c r="P2021">
        <v>670.00199999999995</v>
      </c>
      <c r="Q2021">
        <v>34</v>
      </c>
      <c r="R2021">
        <v>12.73</v>
      </c>
    </row>
    <row r="2022" spans="1:18" x14ac:dyDescent="0.25">
      <c r="A2022" s="1" t="s">
        <v>195</v>
      </c>
      <c r="B2022" s="3" t="s">
        <v>350</v>
      </c>
      <c r="C2022" s="19">
        <v>42</v>
      </c>
      <c r="D2022" s="3" t="s">
        <v>495</v>
      </c>
      <c r="E2022" s="3" t="s">
        <v>500</v>
      </c>
      <c r="F2022" s="23">
        <v>169000</v>
      </c>
      <c r="G2022" s="15">
        <v>2007</v>
      </c>
      <c r="H2022" s="15">
        <f>Table_7[[#This Row],[Listing Price (USD)]]/10000</f>
        <v>16.899999999999999</v>
      </c>
      <c r="I2022" s="28">
        <f>Table_7[[#This Row],[Length 
(ft)]]</f>
        <v>42</v>
      </c>
      <c r="J2022" s="28">
        <f>2020-Table_7[[#This Row],[Year]]</f>
        <v>13</v>
      </c>
      <c r="K2022">
        <v>3007188000000</v>
      </c>
      <c r="L2022">
        <v>76131.839999999997</v>
      </c>
      <c r="M2022">
        <v>1.23</v>
      </c>
      <c r="N2022">
        <v>2.7</v>
      </c>
      <c r="O2022">
        <v>38.06</v>
      </c>
      <c r="P2022">
        <v>768.00199999999995</v>
      </c>
      <c r="Q2022">
        <v>34</v>
      </c>
      <c r="R2022">
        <v>13.55</v>
      </c>
    </row>
    <row r="2023" spans="1:18" x14ac:dyDescent="0.25">
      <c r="A2023" s="1" t="s">
        <v>45</v>
      </c>
      <c r="B2023" s="3" t="s">
        <v>51</v>
      </c>
      <c r="C2023" s="19">
        <v>39</v>
      </c>
      <c r="D2023" s="3" t="s">
        <v>495</v>
      </c>
      <c r="E2023" s="3" t="s">
        <v>540</v>
      </c>
      <c r="F2023" s="23">
        <v>124500</v>
      </c>
      <c r="G2023" s="15">
        <v>2005</v>
      </c>
      <c r="H2023" s="15">
        <f>Table_7[[#This Row],[Listing Price (USD)]]/10000</f>
        <v>12.45</v>
      </c>
      <c r="I2023" s="28">
        <f>Table_7[[#This Row],[Length 
(ft)]]</f>
        <v>39</v>
      </c>
      <c r="J2023" s="28">
        <f>2020-Table_7[[#This Row],[Year]]</f>
        <v>15</v>
      </c>
      <c r="K2023">
        <v>858367000000</v>
      </c>
      <c r="L2023">
        <v>67137.31</v>
      </c>
      <c r="M2023">
        <v>1.23</v>
      </c>
      <c r="N2023">
        <v>2.9</v>
      </c>
      <c r="O2023">
        <v>34.83</v>
      </c>
      <c r="P2023">
        <v>806</v>
      </c>
      <c r="Q2023">
        <v>34</v>
      </c>
      <c r="R2023">
        <v>12.33</v>
      </c>
    </row>
    <row r="2024" spans="1:18" x14ac:dyDescent="0.25">
      <c r="A2024" s="1" t="s">
        <v>45</v>
      </c>
      <c r="B2024" s="2" t="s">
        <v>51</v>
      </c>
      <c r="C2024" s="19">
        <v>39</v>
      </c>
      <c r="D2024" s="3" t="s">
        <v>496</v>
      </c>
      <c r="E2024" s="3" t="s">
        <v>31</v>
      </c>
      <c r="F2024" s="23">
        <v>157889</v>
      </c>
      <c r="G2024" s="15">
        <v>2005</v>
      </c>
      <c r="H2024" s="15">
        <f>Table_7[[#This Row],[Listing Price (USD)]]/10000</f>
        <v>15.7889</v>
      </c>
      <c r="I2024" s="28">
        <f>Table_7[[#This Row],[Length 
(ft)]]</f>
        <v>39</v>
      </c>
      <c r="J2024" s="28">
        <f>2020-Table_7[[#This Row],[Year]]</f>
        <v>15</v>
      </c>
      <c r="K2024">
        <v>57472012426.685303</v>
      </c>
      <c r="L2024">
        <v>14198.753959474399</v>
      </c>
      <c r="M2024">
        <v>0.15481137456202801</v>
      </c>
      <c r="N2024">
        <v>-8.5803430210621805</v>
      </c>
      <c r="O2024">
        <v>34.83</v>
      </c>
      <c r="P2024">
        <v>806</v>
      </c>
      <c r="Q2024">
        <v>34</v>
      </c>
      <c r="R2024">
        <v>12.33</v>
      </c>
    </row>
    <row r="2025" spans="1:18" x14ac:dyDescent="0.25">
      <c r="A2025" s="1" t="s">
        <v>45</v>
      </c>
      <c r="B2025" s="3" t="s">
        <v>51</v>
      </c>
      <c r="C2025" s="19">
        <v>39</v>
      </c>
      <c r="D2025" s="3" t="s">
        <v>495</v>
      </c>
      <c r="E2025" s="3" t="s">
        <v>538</v>
      </c>
      <c r="F2025" s="23">
        <v>160000</v>
      </c>
      <c r="G2025" s="15">
        <v>2006</v>
      </c>
      <c r="H2025" s="15">
        <f>Table_7[[#This Row],[Listing Price (USD)]]/10000</f>
        <v>16</v>
      </c>
      <c r="I2025" s="28">
        <f>Table_7[[#This Row],[Length 
(ft)]]</f>
        <v>39</v>
      </c>
      <c r="J2025" s="28">
        <f>2020-Table_7[[#This Row],[Year]]</f>
        <v>14</v>
      </c>
      <c r="K2025">
        <v>82885000000</v>
      </c>
      <c r="L2025">
        <v>57086.559999999998</v>
      </c>
      <c r="M2025">
        <v>1.23</v>
      </c>
      <c r="N2025">
        <v>1.2</v>
      </c>
      <c r="O2025">
        <v>34.83</v>
      </c>
      <c r="P2025">
        <v>806</v>
      </c>
      <c r="Q2025">
        <v>34</v>
      </c>
      <c r="R2025">
        <v>12.33</v>
      </c>
    </row>
    <row r="2026" spans="1:18" x14ac:dyDescent="0.25">
      <c r="A2026" s="1" t="s">
        <v>45</v>
      </c>
      <c r="B2026" s="2" t="s">
        <v>46</v>
      </c>
      <c r="C2026" s="19">
        <v>38</v>
      </c>
      <c r="D2026" s="3" t="s">
        <v>496</v>
      </c>
      <c r="E2026" s="3" t="s">
        <v>31</v>
      </c>
      <c r="F2026" s="23">
        <v>127422</v>
      </c>
      <c r="G2026" s="15">
        <v>2018</v>
      </c>
      <c r="H2026" s="15">
        <f>Table_7[[#This Row],[Listing Price (USD)]]/10000</f>
        <v>12.7422</v>
      </c>
      <c r="I2026" s="28">
        <f>Table_7[[#This Row],[Length 
(ft)]]</f>
        <v>38</v>
      </c>
      <c r="J2026" s="28">
        <f>2020-Table_7[[#This Row],[Year]]</f>
        <v>2</v>
      </c>
      <c r="K2026">
        <v>57472012426.685303</v>
      </c>
      <c r="L2026">
        <v>14198.753959474399</v>
      </c>
      <c r="M2026">
        <v>0.15481137456202801</v>
      </c>
      <c r="N2026">
        <v>-8.5803430210621805</v>
      </c>
      <c r="O2026">
        <v>35.17</v>
      </c>
      <c r="P2026">
        <v>707.19200000000001</v>
      </c>
      <c r="Q2026">
        <v>34</v>
      </c>
      <c r="R2026">
        <v>13.09</v>
      </c>
    </row>
    <row r="2027" spans="1:18" x14ac:dyDescent="0.25">
      <c r="A2027" s="1" t="s">
        <v>45</v>
      </c>
      <c r="B2027" s="2" t="s">
        <v>46</v>
      </c>
      <c r="C2027" s="19">
        <v>38</v>
      </c>
      <c r="D2027" s="3" t="s">
        <v>496</v>
      </c>
      <c r="E2027" s="3" t="s">
        <v>3</v>
      </c>
      <c r="F2027" s="23">
        <v>163984</v>
      </c>
      <c r="G2027" s="15">
        <v>2019</v>
      </c>
      <c r="H2027" s="15">
        <f>Table_7[[#This Row],[Listing Price (USD)]]/10000</f>
        <v>16.398399999999999</v>
      </c>
      <c r="I2027" s="28">
        <f>Table_7[[#This Row],[Length 
(ft)]]</f>
        <v>38</v>
      </c>
      <c r="J2027" s="28">
        <f>2020-Table_7[[#This Row],[Year]]</f>
        <v>1</v>
      </c>
      <c r="K2027">
        <v>2639008701648.2598</v>
      </c>
      <c r="L2027">
        <v>39055.282928075401</v>
      </c>
      <c r="M2027">
        <v>0.47649885272508302</v>
      </c>
      <c r="N2027">
        <v>-7.7845864916787102</v>
      </c>
      <c r="O2027">
        <v>35.17</v>
      </c>
      <c r="P2027">
        <v>707.19200000000001</v>
      </c>
      <c r="Q2027">
        <v>34</v>
      </c>
      <c r="R2027">
        <v>13.09</v>
      </c>
    </row>
    <row r="2028" spans="1:18" x14ac:dyDescent="0.25">
      <c r="A2028" s="1" t="s">
        <v>45</v>
      </c>
      <c r="B2028" s="2" t="s">
        <v>46</v>
      </c>
      <c r="C2028" s="19">
        <v>38</v>
      </c>
      <c r="D2028" s="3" t="s">
        <v>496</v>
      </c>
      <c r="E2028" s="3" t="s">
        <v>19</v>
      </c>
      <c r="F2028" s="23">
        <v>193179</v>
      </c>
      <c r="G2028" s="15">
        <v>2017</v>
      </c>
      <c r="H2028" s="15">
        <f>Table_7[[#This Row],[Listing Price (USD)]]/10000</f>
        <v>19.317900000000002</v>
      </c>
      <c r="I2028" s="28">
        <f>Table_7[[#This Row],[Length 
(ft)]]</f>
        <v>38</v>
      </c>
      <c r="J2028" s="28">
        <f>2020-Table_7[[#This Row],[Year]]</f>
        <v>3</v>
      </c>
      <c r="K2028">
        <v>4200000000</v>
      </c>
      <c r="L2028">
        <v>39553.199999999997</v>
      </c>
      <c r="M2028">
        <v>4.0999999999999996</v>
      </c>
      <c r="N2028">
        <v>-2.1</v>
      </c>
      <c r="O2028">
        <v>35.17</v>
      </c>
      <c r="P2028">
        <v>707.19200000000001</v>
      </c>
      <c r="Q2028">
        <v>34</v>
      </c>
      <c r="R2028">
        <v>13.09</v>
      </c>
    </row>
    <row r="2029" spans="1:18" x14ac:dyDescent="0.25">
      <c r="A2029" s="1" t="s">
        <v>45</v>
      </c>
      <c r="B2029" s="2" t="s">
        <v>46</v>
      </c>
      <c r="C2029" s="19">
        <v>38</v>
      </c>
      <c r="D2029" s="3" t="s">
        <v>495</v>
      </c>
      <c r="E2029" s="3" t="s">
        <v>500</v>
      </c>
      <c r="F2029" s="23">
        <v>254000</v>
      </c>
      <c r="G2029" s="15">
        <v>2019</v>
      </c>
      <c r="H2029" s="15">
        <f>Table_7[[#This Row],[Listing Price (USD)]]/10000</f>
        <v>25.4</v>
      </c>
      <c r="I2029" s="28">
        <f>Table_7[[#This Row],[Length 
(ft)]]</f>
        <v>38</v>
      </c>
      <c r="J2029" s="28">
        <f>2020-Table_7[[#This Row],[Year]]</f>
        <v>1</v>
      </c>
      <c r="K2029">
        <v>3007188000000</v>
      </c>
      <c r="L2029">
        <v>76131.839999999997</v>
      </c>
      <c r="M2029">
        <v>1.23</v>
      </c>
      <c r="N2029">
        <v>2.7</v>
      </c>
      <c r="O2029">
        <v>35.17</v>
      </c>
      <c r="P2029">
        <v>707.19200000000001</v>
      </c>
      <c r="Q2029">
        <v>34</v>
      </c>
      <c r="R2029">
        <v>13.09</v>
      </c>
    </row>
    <row r="2030" spans="1:18" x14ac:dyDescent="0.25">
      <c r="A2030" s="1" t="s">
        <v>45</v>
      </c>
      <c r="B2030" s="3" t="s">
        <v>46</v>
      </c>
      <c r="C2030" s="19">
        <v>38</v>
      </c>
      <c r="D2030" s="3" t="s">
        <v>497</v>
      </c>
      <c r="E2030" s="3" t="s">
        <v>498</v>
      </c>
      <c r="F2030" s="23">
        <v>289000</v>
      </c>
      <c r="G2030" s="15">
        <v>2019</v>
      </c>
      <c r="H2030" s="15">
        <f>Table_7[[#This Row],[Listing Price (USD)]]/10000</f>
        <v>28.9</v>
      </c>
      <c r="I2030" s="28">
        <f>Table_7[[#This Row],[Length 
(ft)]]</f>
        <v>38</v>
      </c>
      <c r="J2030" s="28">
        <f>2020-Table_7[[#This Row],[Year]]</f>
        <v>1</v>
      </c>
      <c r="K2030">
        <v>1090515389749.41</v>
      </c>
      <c r="L2030">
        <v>8655.0006820680301</v>
      </c>
      <c r="M2030">
        <v>3.3968341556999899</v>
      </c>
      <c r="N2030">
        <v>-7.9879123401474903</v>
      </c>
      <c r="O2030">
        <v>35.17</v>
      </c>
      <c r="P2030">
        <v>707.19200000000001</v>
      </c>
      <c r="Q2030">
        <v>34</v>
      </c>
      <c r="R2030">
        <v>13.09</v>
      </c>
    </row>
    <row r="2031" spans="1:18" x14ac:dyDescent="0.25">
      <c r="A2031" s="1" t="s">
        <v>264</v>
      </c>
      <c r="B2031" s="2" t="s">
        <v>265</v>
      </c>
      <c r="C2031" s="19">
        <v>39</v>
      </c>
      <c r="D2031" s="3" t="s">
        <v>496</v>
      </c>
      <c r="E2031" s="3" t="s">
        <v>24</v>
      </c>
      <c r="F2031" s="23">
        <v>133598</v>
      </c>
      <c r="G2031" s="15">
        <v>2009</v>
      </c>
      <c r="H2031" s="15">
        <f>Table_7[[#This Row],[Listing Price (USD)]]/10000</f>
        <v>13.3598</v>
      </c>
      <c r="I2031" s="28">
        <f>Table_7[[#This Row],[Length 
(ft)]]</f>
        <v>39</v>
      </c>
      <c r="J2031" s="28">
        <f>2020-Table_7[[#This Row],[Year]]</f>
        <v>11</v>
      </c>
      <c r="K2031">
        <v>1896755301518.1399</v>
      </c>
      <c r="L2031">
        <v>31911.0357890017</v>
      </c>
      <c r="M2031">
        <v>-0.13770757391656999</v>
      </c>
      <c r="N2031">
        <v>-9.0399534112288507</v>
      </c>
      <c r="O2031">
        <v>38.33</v>
      </c>
      <c r="P2031">
        <v>1011.002</v>
      </c>
      <c r="Q2031">
        <v>34</v>
      </c>
      <c r="R2031">
        <v>14.42</v>
      </c>
    </row>
    <row r="2032" spans="1:18" x14ac:dyDescent="0.25">
      <c r="A2032" s="1" t="s">
        <v>195</v>
      </c>
      <c r="B2032" s="3" t="s">
        <v>390</v>
      </c>
      <c r="C2032" s="19">
        <v>42</v>
      </c>
      <c r="D2032" s="3" t="s">
        <v>497</v>
      </c>
      <c r="E2032" s="3" t="s">
        <v>392</v>
      </c>
      <c r="F2032" s="23">
        <v>169000</v>
      </c>
      <c r="G2032" s="15">
        <v>2007</v>
      </c>
      <c r="H2032" s="15">
        <f>Table_7[[#This Row],[Listing Price (USD)]]/10000</f>
        <v>16.899999999999999</v>
      </c>
      <c r="I2032" s="28">
        <f>Table_7[[#This Row],[Length 
(ft)]]</f>
        <v>42</v>
      </c>
      <c r="J2032" s="28">
        <f>2020-Table_7[[#This Row],[Year]]</f>
        <v>13</v>
      </c>
      <c r="K2032">
        <v>1043414814.81481</v>
      </c>
      <c r="L2032">
        <v>8437.5667322870595</v>
      </c>
      <c r="M2032">
        <v>-0.74073259704550098</v>
      </c>
      <c r="N2032">
        <v>-13.7559294530644</v>
      </c>
      <c r="O2032">
        <v>38.06</v>
      </c>
      <c r="P2032">
        <v>768.00199999999995</v>
      </c>
      <c r="Q2032">
        <v>34</v>
      </c>
      <c r="R2032">
        <v>13.55</v>
      </c>
    </row>
    <row r="2033" spans="1:18" x14ac:dyDescent="0.25">
      <c r="A2033" s="1" t="s">
        <v>195</v>
      </c>
      <c r="B2033" s="2" t="s">
        <v>196</v>
      </c>
      <c r="C2033" s="19">
        <v>38</v>
      </c>
      <c r="D2033" s="3" t="s">
        <v>496</v>
      </c>
      <c r="E2033" s="3" t="s">
        <v>31</v>
      </c>
      <c r="F2033" s="23">
        <v>132402</v>
      </c>
      <c r="G2033" s="15">
        <v>2016</v>
      </c>
      <c r="H2033" s="15">
        <f>Table_7[[#This Row],[Listing Price (USD)]]/10000</f>
        <v>13.2402</v>
      </c>
      <c r="I2033" s="28">
        <f>Table_7[[#This Row],[Length 
(ft)]]</f>
        <v>38</v>
      </c>
      <c r="J2033" s="28">
        <f>2020-Table_7[[#This Row],[Year]]</f>
        <v>4</v>
      </c>
      <c r="K2033">
        <v>57472012426.685303</v>
      </c>
      <c r="L2033">
        <v>14198.753959474399</v>
      </c>
      <c r="M2033">
        <v>0.15481137456202801</v>
      </c>
      <c r="N2033">
        <v>-8.5803430210621805</v>
      </c>
      <c r="O2033">
        <v>34.08</v>
      </c>
      <c r="P2033">
        <v>754.00199999999995</v>
      </c>
      <c r="Q2033">
        <v>34</v>
      </c>
      <c r="R2033">
        <v>12.33</v>
      </c>
    </row>
    <row r="2034" spans="1:18" x14ac:dyDescent="0.25">
      <c r="A2034" s="1" t="s">
        <v>195</v>
      </c>
      <c r="B2034" s="3" t="s">
        <v>196</v>
      </c>
      <c r="C2034" s="19">
        <v>39</v>
      </c>
      <c r="D2034" s="3" t="s">
        <v>497</v>
      </c>
      <c r="E2034" s="3" t="s">
        <v>370</v>
      </c>
      <c r="F2034" s="23">
        <v>139000</v>
      </c>
      <c r="G2034" s="15">
        <v>2017</v>
      </c>
      <c r="H2034" s="15">
        <f>Table_7[[#This Row],[Listing Price (USD)]]/10000</f>
        <v>13.9</v>
      </c>
      <c r="I2034" s="28">
        <f>Table_7[[#This Row],[Length 
(ft)]]</f>
        <v>39</v>
      </c>
      <c r="J2034" s="28">
        <f>2020-Table_7[[#This Row],[Year]]</f>
        <v>3</v>
      </c>
      <c r="K2034">
        <v>500000000</v>
      </c>
      <c r="L2034">
        <v>34200</v>
      </c>
      <c r="M2034">
        <v>1.1000000000000001</v>
      </c>
      <c r="N2034">
        <v>2</v>
      </c>
      <c r="O2034">
        <v>34.08</v>
      </c>
      <c r="P2034">
        <v>754.00199999999995</v>
      </c>
      <c r="Q2034">
        <v>34</v>
      </c>
      <c r="R2034">
        <v>12.33</v>
      </c>
    </row>
    <row r="2035" spans="1:18" x14ac:dyDescent="0.25">
      <c r="A2035" s="1" t="s">
        <v>195</v>
      </c>
      <c r="B2035" s="3" t="s">
        <v>196</v>
      </c>
      <c r="C2035" s="19">
        <v>38</v>
      </c>
      <c r="D2035" s="3" t="s">
        <v>495</v>
      </c>
      <c r="E2035" s="3" t="s">
        <v>333</v>
      </c>
      <c r="F2035" s="23">
        <v>155000</v>
      </c>
      <c r="G2035" s="15">
        <v>2016</v>
      </c>
      <c r="H2035" s="15">
        <f>Table_7[[#This Row],[Listing Price (USD)]]/10000</f>
        <v>15.5</v>
      </c>
      <c r="I2035" s="28">
        <f>Table_7[[#This Row],[Length 
(ft)]]</f>
        <v>38</v>
      </c>
      <c r="J2035" s="28">
        <f>2020-Table_7[[#This Row],[Year]]</f>
        <v>4</v>
      </c>
      <c r="K2035">
        <v>1106036000000</v>
      </c>
      <c r="L2035">
        <v>51276.72</v>
      </c>
      <c r="M2035">
        <v>1.23</v>
      </c>
      <c r="N2035">
        <v>2.9</v>
      </c>
      <c r="O2035">
        <v>34.08</v>
      </c>
      <c r="P2035">
        <v>754.00199999999995</v>
      </c>
      <c r="Q2035">
        <v>34</v>
      </c>
      <c r="R2035">
        <v>12.33</v>
      </c>
    </row>
    <row r="2036" spans="1:18" x14ac:dyDescent="0.25">
      <c r="A2036" s="1" t="s">
        <v>195</v>
      </c>
      <c r="B2036" s="2" t="s">
        <v>196</v>
      </c>
      <c r="C2036" s="19">
        <v>38</v>
      </c>
      <c r="D2036" s="3" t="s">
        <v>496</v>
      </c>
      <c r="E2036" s="3" t="s">
        <v>22</v>
      </c>
      <c r="F2036" s="23">
        <v>155481</v>
      </c>
      <c r="G2036" s="15">
        <v>2016</v>
      </c>
      <c r="H2036" s="15">
        <f>Table_7[[#This Row],[Listing Price (USD)]]/10000</f>
        <v>15.5481</v>
      </c>
      <c r="I2036" s="28">
        <f>Table_7[[#This Row],[Length 
(ft)]]</f>
        <v>38</v>
      </c>
      <c r="J2036" s="28">
        <f>2020-Table_7[[#This Row],[Year]]</f>
        <v>4</v>
      </c>
      <c r="K2036">
        <v>3889668895299.6201</v>
      </c>
      <c r="L2036">
        <v>46772.825350754501</v>
      </c>
      <c r="M2036">
        <v>0.50668988995327402</v>
      </c>
      <c r="N2036">
        <v>-3.6967887053804298</v>
      </c>
      <c r="O2036">
        <v>34.08</v>
      </c>
      <c r="P2036">
        <v>754.00199999999995</v>
      </c>
      <c r="Q2036">
        <v>34</v>
      </c>
      <c r="R2036">
        <v>12.33</v>
      </c>
    </row>
    <row r="2037" spans="1:18" x14ac:dyDescent="0.25">
      <c r="A2037" s="1" t="s">
        <v>195</v>
      </c>
      <c r="B2037" s="3" t="s">
        <v>196</v>
      </c>
      <c r="C2037" s="19">
        <v>39</v>
      </c>
      <c r="D2037" s="3" t="s">
        <v>497</v>
      </c>
      <c r="E2037" s="3" t="s">
        <v>370</v>
      </c>
      <c r="F2037" s="23">
        <v>159000</v>
      </c>
      <c r="G2037" s="15">
        <v>2018</v>
      </c>
      <c r="H2037" s="15">
        <f>Table_7[[#This Row],[Listing Price (USD)]]/10000</f>
        <v>15.9</v>
      </c>
      <c r="I2037" s="28">
        <f>Table_7[[#This Row],[Length 
(ft)]]</f>
        <v>39</v>
      </c>
      <c r="J2037" s="28">
        <f>2020-Table_7[[#This Row],[Year]]</f>
        <v>2</v>
      </c>
      <c r="K2037">
        <v>500000000</v>
      </c>
      <c r="L2037">
        <v>34200</v>
      </c>
      <c r="M2037">
        <v>1.1000000000000001</v>
      </c>
      <c r="N2037">
        <v>2</v>
      </c>
      <c r="O2037">
        <v>34.08</v>
      </c>
      <c r="P2037">
        <v>754.00199999999995</v>
      </c>
      <c r="Q2037">
        <v>34</v>
      </c>
      <c r="R2037">
        <v>12.33</v>
      </c>
    </row>
    <row r="2038" spans="1:18" x14ac:dyDescent="0.25">
      <c r="A2038" s="1" t="s">
        <v>195</v>
      </c>
      <c r="B2038" s="3" t="s">
        <v>196</v>
      </c>
      <c r="C2038" s="19">
        <v>39</v>
      </c>
      <c r="D2038" s="3" t="s">
        <v>497</v>
      </c>
      <c r="E2038" s="3" t="s">
        <v>370</v>
      </c>
      <c r="F2038" s="23">
        <v>159000</v>
      </c>
      <c r="G2038" s="15">
        <v>2018</v>
      </c>
      <c r="H2038" s="15">
        <f>Table_7[[#This Row],[Listing Price (USD)]]/10000</f>
        <v>15.9</v>
      </c>
      <c r="I2038" s="28">
        <f>Table_7[[#This Row],[Length 
(ft)]]</f>
        <v>39</v>
      </c>
      <c r="J2038" s="28">
        <f>2020-Table_7[[#This Row],[Year]]</f>
        <v>2</v>
      </c>
      <c r="K2038">
        <v>500000000</v>
      </c>
      <c r="L2038">
        <v>34200</v>
      </c>
      <c r="M2038">
        <v>1.1000000000000001</v>
      </c>
      <c r="N2038">
        <v>2</v>
      </c>
      <c r="O2038">
        <v>34.08</v>
      </c>
      <c r="P2038">
        <v>754.00199999999995</v>
      </c>
      <c r="Q2038">
        <v>34</v>
      </c>
      <c r="R2038">
        <v>12.33</v>
      </c>
    </row>
    <row r="2039" spans="1:18" x14ac:dyDescent="0.25">
      <c r="A2039" s="1" t="s">
        <v>195</v>
      </c>
      <c r="B2039" s="3" t="s">
        <v>196</v>
      </c>
      <c r="C2039" s="19">
        <v>39</v>
      </c>
      <c r="D2039" s="3" t="s">
        <v>497</v>
      </c>
      <c r="E2039" s="3" t="s">
        <v>370</v>
      </c>
      <c r="F2039" s="23">
        <v>165000</v>
      </c>
      <c r="G2039" s="15">
        <v>2018</v>
      </c>
      <c r="H2039" s="15">
        <f>Table_7[[#This Row],[Listing Price (USD)]]/10000</f>
        <v>16.5</v>
      </c>
      <c r="I2039" s="28">
        <f>Table_7[[#This Row],[Length 
(ft)]]</f>
        <v>39</v>
      </c>
      <c r="J2039" s="28">
        <f>2020-Table_7[[#This Row],[Year]]</f>
        <v>2</v>
      </c>
      <c r="K2039">
        <v>500000000</v>
      </c>
      <c r="L2039">
        <v>34200</v>
      </c>
      <c r="M2039">
        <v>1.1000000000000001</v>
      </c>
      <c r="N2039">
        <v>2</v>
      </c>
      <c r="O2039">
        <v>34.08</v>
      </c>
      <c r="P2039">
        <v>754.00199999999995</v>
      </c>
      <c r="Q2039">
        <v>34</v>
      </c>
      <c r="R2039">
        <v>12.33</v>
      </c>
    </row>
    <row r="2040" spans="1:18" x14ac:dyDescent="0.25">
      <c r="A2040" s="1" t="s">
        <v>195</v>
      </c>
      <c r="B2040" s="3" t="s">
        <v>196</v>
      </c>
      <c r="C2040" s="19">
        <v>38</v>
      </c>
      <c r="D2040" s="3" t="s">
        <v>495</v>
      </c>
      <c r="E2040" s="3" t="s">
        <v>333</v>
      </c>
      <c r="F2040" s="23">
        <v>165000</v>
      </c>
      <c r="G2040" s="15">
        <v>2016</v>
      </c>
      <c r="H2040" s="15">
        <f>Table_7[[#This Row],[Listing Price (USD)]]/10000</f>
        <v>16.5</v>
      </c>
      <c r="I2040" s="28">
        <f>Table_7[[#This Row],[Length 
(ft)]]</f>
        <v>38</v>
      </c>
      <c r="J2040" s="28">
        <f>2020-Table_7[[#This Row],[Year]]</f>
        <v>4</v>
      </c>
      <c r="K2040">
        <v>1106036000000</v>
      </c>
      <c r="L2040">
        <v>51276.72</v>
      </c>
      <c r="M2040">
        <v>1.23</v>
      </c>
      <c r="N2040">
        <v>2.9</v>
      </c>
      <c r="O2040">
        <v>34.08</v>
      </c>
      <c r="P2040">
        <v>754.00199999999995</v>
      </c>
      <c r="Q2040">
        <v>34</v>
      </c>
      <c r="R2040">
        <v>12.33</v>
      </c>
    </row>
    <row r="2041" spans="1:18" x14ac:dyDescent="0.25">
      <c r="A2041" s="1" t="s">
        <v>195</v>
      </c>
      <c r="B2041" s="2" t="s">
        <v>196</v>
      </c>
      <c r="C2041" s="19">
        <v>38</v>
      </c>
      <c r="D2041" s="3" t="s">
        <v>496</v>
      </c>
      <c r="E2041" s="3" t="s">
        <v>3</v>
      </c>
      <c r="F2041" s="23">
        <v>182192</v>
      </c>
      <c r="G2041" s="15">
        <v>2016</v>
      </c>
      <c r="H2041" s="15">
        <f>Table_7[[#This Row],[Listing Price (USD)]]/10000</f>
        <v>18.219200000000001</v>
      </c>
      <c r="I2041" s="28">
        <f>Table_7[[#This Row],[Length 
(ft)]]</f>
        <v>38</v>
      </c>
      <c r="J2041" s="28">
        <f>2020-Table_7[[#This Row],[Year]]</f>
        <v>4</v>
      </c>
      <c r="K2041">
        <v>2639008701648.2598</v>
      </c>
      <c r="L2041">
        <v>39055.282928075401</v>
      </c>
      <c r="M2041">
        <v>0.47649885272508302</v>
      </c>
      <c r="N2041">
        <v>-7.7845864916787102</v>
      </c>
      <c r="O2041">
        <v>34.08</v>
      </c>
      <c r="P2041">
        <v>754.00199999999995</v>
      </c>
      <c r="Q2041">
        <v>34</v>
      </c>
      <c r="R2041">
        <v>12.33</v>
      </c>
    </row>
    <row r="2042" spans="1:18" x14ac:dyDescent="0.25">
      <c r="A2042" s="1" t="s">
        <v>195</v>
      </c>
      <c r="B2042" s="3" t="s">
        <v>196</v>
      </c>
      <c r="C2042" s="19">
        <v>39</v>
      </c>
      <c r="D2042" s="3" t="s">
        <v>497</v>
      </c>
      <c r="E2042" s="3" t="s">
        <v>370</v>
      </c>
      <c r="F2042" s="23">
        <v>189000</v>
      </c>
      <c r="G2042" s="15">
        <v>2019</v>
      </c>
      <c r="H2042" s="15">
        <f>Table_7[[#This Row],[Listing Price (USD)]]/10000</f>
        <v>18.899999999999999</v>
      </c>
      <c r="I2042" s="28">
        <f>Table_7[[#This Row],[Length 
(ft)]]</f>
        <v>39</v>
      </c>
      <c r="J2042" s="28">
        <f>2020-Table_7[[#This Row],[Year]]</f>
        <v>1</v>
      </c>
      <c r="K2042">
        <v>500000000</v>
      </c>
      <c r="L2042">
        <v>34200</v>
      </c>
      <c r="M2042">
        <v>1.1000000000000001</v>
      </c>
      <c r="N2042">
        <v>2</v>
      </c>
      <c r="O2042">
        <v>34.08</v>
      </c>
      <c r="P2042">
        <v>754.00199999999995</v>
      </c>
      <c r="Q2042">
        <v>34</v>
      </c>
      <c r="R2042">
        <v>12.33</v>
      </c>
    </row>
    <row r="2043" spans="1:18" x14ac:dyDescent="0.25">
      <c r="A2043" s="1" t="s">
        <v>195</v>
      </c>
      <c r="B2043" s="2" t="s">
        <v>196</v>
      </c>
      <c r="C2043" s="19">
        <v>38</v>
      </c>
      <c r="D2043" s="3" t="s">
        <v>496</v>
      </c>
      <c r="E2043" s="3" t="s">
        <v>3</v>
      </c>
      <c r="F2043" s="23">
        <v>191922</v>
      </c>
      <c r="G2043" s="15">
        <v>2017</v>
      </c>
      <c r="H2043" s="15">
        <f>Table_7[[#This Row],[Listing Price (USD)]]/10000</f>
        <v>19.1922</v>
      </c>
      <c r="I2043" s="28">
        <f>Table_7[[#This Row],[Length 
(ft)]]</f>
        <v>38</v>
      </c>
      <c r="J2043" s="28">
        <f>2020-Table_7[[#This Row],[Year]]</f>
        <v>3</v>
      </c>
      <c r="K2043">
        <v>2639008701648.2598</v>
      </c>
      <c r="L2043">
        <v>39055.282928075401</v>
      </c>
      <c r="M2043">
        <v>0.47649885272508302</v>
      </c>
      <c r="N2043">
        <v>-7.7845864916787102</v>
      </c>
      <c r="O2043">
        <v>34.08</v>
      </c>
      <c r="P2043">
        <v>754.00199999999995</v>
      </c>
      <c r="Q2043">
        <v>34</v>
      </c>
      <c r="R2043">
        <v>12.33</v>
      </c>
    </row>
    <row r="2044" spans="1:18" x14ac:dyDescent="0.25">
      <c r="A2044" s="1" t="s">
        <v>195</v>
      </c>
      <c r="B2044" s="2" t="s">
        <v>580</v>
      </c>
      <c r="C2044" s="19">
        <v>38</v>
      </c>
      <c r="D2044" s="3" t="s">
        <v>496</v>
      </c>
      <c r="E2044" s="3" t="s">
        <v>63</v>
      </c>
      <c r="F2044" s="23">
        <v>218645</v>
      </c>
      <c r="G2044" s="15">
        <v>2019</v>
      </c>
      <c r="H2044" s="15">
        <f>Table_7[[#This Row],[Listing Price (USD)]]/10000</f>
        <v>21.8645</v>
      </c>
      <c r="I2044" s="28">
        <f>Table_7[[#This Row],[Length 
(ft)]]</f>
        <v>38</v>
      </c>
      <c r="J2044" s="28">
        <f>2020-Table_7[[#This Row],[Year]]</f>
        <v>1</v>
      </c>
      <c r="K2044">
        <v>720290000026</v>
      </c>
      <c r="L2044">
        <v>13341.6</v>
      </c>
      <c r="M2044">
        <v>13</v>
      </c>
      <c r="N2044">
        <v>-3</v>
      </c>
      <c r="O2044">
        <v>34.08</v>
      </c>
      <c r="P2044">
        <v>754.00199999999995</v>
      </c>
      <c r="Q2044">
        <v>34</v>
      </c>
      <c r="R2044">
        <v>12.33</v>
      </c>
    </row>
    <row r="2045" spans="1:18" x14ac:dyDescent="0.25">
      <c r="A2045" s="1" t="s">
        <v>195</v>
      </c>
      <c r="B2045" s="2" t="s">
        <v>197</v>
      </c>
      <c r="C2045" s="19">
        <v>39</v>
      </c>
      <c r="D2045" s="3" t="s">
        <v>496</v>
      </c>
      <c r="E2045" s="3" t="s">
        <v>31</v>
      </c>
      <c r="F2045" s="23">
        <v>75311</v>
      </c>
      <c r="G2045" s="15">
        <v>2007</v>
      </c>
      <c r="H2045" s="15">
        <f>Table_7[[#This Row],[Listing Price (USD)]]/10000</f>
        <v>7.5311000000000003</v>
      </c>
      <c r="I2045" s="28">
        <f>Table_7[[#This Row],[Length 
(ft)]]</f>
        <v>39</v>
      </c>
      <c r="J2045" s="28">
        <f>2020-Table_7[[#This Row],[Year]]</f>
        <v>13</v>
      </c>
      <c r="K2045">
        <v>57472012426.685303</v>
      </c>
      <c r="L2045">
        <v>14198.753959474399</v>
      </c>
      <c r="M2045">
        <v>0.15481137456202801</v>
      </c>
      <c r="N2045">
        <v>-8.5803430210621805</v>
      </c>
      <c r="O2045">
        <v>35.15</v>
      </c>
      <c r="P2045">
        <v>670.00199999999995</v>
      </c>
      <c r="Q2045">
        <v>34</v>
      </c>
      <c r="R2045">
        <v>12.73</v>
      </c>
    </row>
    <row r="2046" spans="1:18" x14ac:dyDescent="0.25">
      <c r="A2046" s="1" t="s">
        <v>195</v>
      </c>
      <c r="B2046" s="2" t="s">
        <v>197</v>
      </c>
      <c r="C2046" s="19">
        <v>39</v>
      </c>
      <c r="D2046" s="3" t="s">
        <v>496</v>
      </c>
      <c r="E2046" s="3" t="s">
        <v>18</v>
      </c>
      <c r="F2046" s="23">
        <v>78955</v>
      </c>
      <c r="G2046" s="15">
        <v>2008</v>
      </c>
      <c r="H2046" s="15">
        <f>Table_7[[#This Row],[Listing Price (USD)]]/10000</f>
        <v>7.8955000000000002</v>
      </c>
      <c r="I2046" s="28">
        <f>Table_7[[#This Row],[Length 
(ft)]]</f>
        <v>39</v>
      </c>
      <c r="J2046" s="28">
        <f>2020-Table_7[[#This Row],[Year]]</f>
        <v>12</v>
      </c>
      <c r="K2046">
        <v>188925995936.80701</v>
      </c>
      <c r="L2046">
        <v>17658.947301119199</v>
      </c>
      <c r="M2046">
        <v>-1.2479835558140799</v>
      </c>
      <c r="N2046">
        <v>-9.0040436420214593</v>
      </c>
      <c r="O2046">
        <v>35.15</v>
      </c>
      <c r="P2046">
        <v>670.00199999999995</v>
      </c>
      <c r="Q2046">
        <v>34</v>
      </c>
      <c r="R2046">
        <v>12.73</v>
      </c>
    </row>
    <row r="2047" spans="1:18" x14ac:dyDescent="0.25">
      <c r="A2047" s="1" t="s">
        <v>195</v>
      </c>
      <c r="B2047" s="2" t="s">
        <v>197</v>
      </c>
      <c r="C2047" s="19">
        <v>39</v>
      </c>
      <c r="D2047" s="3" t="s">
        <v>496</v>
      </c>
      <c r="E2047" s="3" t="s">
        <v>198</v>
      </c>
      <c r="F2047" s="23">
        <v>87458</v>
      </c>
      <c r="G2047" s="15">
        <v>2008</v>
      </c>
      <c r="H2047" s="15">
        <f>Table_7[[#This Row],[Listing Price (USD)]]/10000</f>
        <v>8.7457999999999991</v>
      </c>
      <c r="I2047" s="28">
        <f>Table_7[[#This Row],[Length 
(ft)]]</f>
        <v>39</v>
      </c>
      <c r="J2047" s="28">
        <f>2020-Table_7[[#This Row],[Year]]</f>
        <v>12</v>
      </c>
      <c r="K2047">
        <v>53706800043.684196</v>
      </c>
      <c r="L2047">
        <v>25545.241002713599</v>
      </c>
      <c r="M2047">
        <v>-5.4856815760606699E-2</v>
      </c>
      <c r="N2047">
        <v>-4.3213699045106999</v>
      </c>
      <c r="O2047">
        <v>35.15</v>
      </c>
      <c r="P2047">
        <v>670.00199999999995</v>
      </c>
      <c r="Q2047">
        <v>34</v>
      </c>
      <c r="R2047">
        <v>12.73</v>
      </c>
    </row>
    <row r="2048" spans="1:18" x14ac:dyDescent="0.25">
      <c r="A2048" s="1" t="s">
        <v>195</v>
      </c>
      <c r="B2048" s="2" t="s">
        <v>197</v>
      </c>
      <c r="C2048" s="19">
        <v>39</v>
      </c>
      <c r="D2048" s="3" t="s">
        <v>495</v>
      </c>
      <c r="E2048" s="3" t="s">
        <v>518</v>
      </c>
      <c r="F2048" s="23">
        <v>89000</v>
      </c>
      <c r="G2048" s="15">
        <v>2008</v>
      </c>
      <c r="H2048" s="15">
        <f>Table_7[[#This Row],[Listing Price (USD)]]/10000</f>
        <v>8.9</v>
      </c>
      <c r="I2048" s="28">
        <f>Table_7[[#This Row],[Length 
(ft)]]</f>
        <v>39</v>
      </c>
      <c r="J2048" s="28">
        <f>2020-Table_7[[#This Row],[Year]]</f>
        <v>12</v>
      </c>
      <c r="K2048">
        <v>1724759000000</v>
      </c>
      <c r="L2048">
        <v>85575.039999999994</v>
      </c>
      <c r="M2048">
        <v>1.23</v>
      </c>
      <c r="N2048">
        <v>3.8</v>
      </c>
      <c r="O2048">
        <v>35.15</v>
      </c>
      <c r="P2048">
        <v>670.00199999999995</v>
      </c>
      <c r="Q2048">
        <v>34</v>
      </c>
      <c r="R2048">
        <v>12.73</v>
      </c>
    </row>
    <row r="2049" spans="1:18" x14ac:dyDescent="0.25">
      <c r="A2049" s="1" t="s">
        <v>195</v>
      </c>
      <c r="B2049" s="2" t="s">
        <v>197</v>
      </c>
      <c r="C2049" s="19">
        <v>39</v>
      </c>
      <c r="D2049" s="3" t="s">
        <v>496</v>
      </c>
      <c r="E2049" s="3" t="s">
        <v>18</v>
      </c>
      <c r="F2049" s="23">
        <v>91125</v>
      </c>
      <c r="G2049" s="15">
        <v>2007</v>
      </c>
      <c r="H2049" s="15">
        <f>Table_7[[#This Row],[Listing Price (USD)]]/10000</f>
        <v>9.1125000000000007</v>
      </c>
      <c r="I2049" s="28">
        <f>Table_7[[#This Row],[Length 
(ft)]]</f>
        <v>39</v>
      </c>
      <c r="J2049" s="28">
        <f>2020-Table_7[[#This Row],[Year]]</f>
        <v>13</v>
      </c>
      <c r="K2049">
        <v>188925995936.80701</v>
      </c>
      <c r="L2049">
        <v>17658.947301119199</v>
      </c>
      <c r="M2049">
        <v>-1.2479835558140799</v>
      </c>
      <c r="N2049">
        <v>-9.0040436420214593</v>
      </c>
      <c r="O2049">
        <v>35.15</v>
      </c>
      <c r="P2049">
        <v>670.00199999999995</v>
      </c>
      <c r="Q2049">
        <v>34</v>
      </c>
      <c r="R2049">
        <v>12.73</v>
      </c>
    </row>
    <row r="2050" spans="1:18" x14ac:dyDescent="0.25">
      <c r="A2050" s="1" t="s">
        <v>195</v>
      </c>
      <c r="B2050" s="2" t="s">
        <v>197</v>
      </c>
      <c r="C2050" s="19">
        <v>39</v>
      </c>
      <c r="D2050" s="3" t="s">
        <v>496</v>
      </c>
      <c r="E2050" s="3" t="s">
        <v>18</v>
      </c>
      <c r="F2050" s="23">
        <v>95985</v>
      </c>
      <c r="G2050" s="15">
        <v>2007</v>
      </c>
      <c r="H2050" s="15">
        <f>Table_7[[#This Row],[Listing Price (USD)]]/10000</f>
        <v>9.5984999999999996</v>
      </c>
      <c r="I2050" s="28">
        <f>Table_7[[#This Row],[Length 
(ft)]]</f>
        <v>39</v>
      </c>
      <c r="J2050" s="28">
        <f>2020-Table_7[[#This Row],[Year]]</f>
        <v>13</v>
      </c>
      <c r="K2050">
        <v>188925995936.80701</v>
      </c>
      <c r="L2050">
        <v>17658.947301119199</v>
      </c>
      <c r="M2050">
        <v>-1.2479835558140799</v>
      </c>
      <c r="N2050">
        <v>-9.0040436420214593</v>
      </c>
      <c r="O2050">
        <v>35.15</v>
      </c>
      <c r="P2050">
        <v>670.00199999999995</v>
      </c>
      <c r="Q2050">
        <v>34</v>
      </c>
      <c r="R2050">
        <v>12.73</v>
      </c>
    </row>
    <row r="2051" spans="1:18" x14ac:dyDescent="0.25">
      <c r="A2051" s="1" t="s">
        <v>195</v>
      </c>
      <c r="B2051" s="2" t="s">
        <v>197</v>
      </c>
      <c r="C2051" s="19">
        <v>39</v>
      </c>
      <c r="D2051" s="3" t="s">
        <v>496</v>
      </c>
      <c r="E2051" s="3" t="s">
        <v>3</v>
      </c>
      <c r="F2051" s="23">
        <v>96593</v>
      </c>
      <c r="G2051" s="15">
        <v>2008</v>
      </c>
      <c r="H2051" s="15">
        <f>Table_7[[#This Row],[Listing Price (USD)]]/10000</f>
        <v>9.6593</v>
      </c>
      <c r="I2051" s="28">
        <f>Table_7[[#This Row],[Length 
(ft)]]</f>
        <v>39</v>
      </c>
      <c r="J2051" s="28">
        <f>2020-Table_7[[#This Row],[Year]]</f>
        <v>12</v>
      </c>
      <c r="K2051">
        <v>2639008701648.2598</v>
      </c>
      <c r="L2051">
        <v>39055.282928075401</v>
      </c>
      <c r="M2051">
        <v>0.47649885272508302</v>
      </c>
      <c r="N2051">
        <v>-7.7845864916787102</v>
      </c>
      <c r="O2051">
        <v>35.15</v>
      </c>
      <c r="P2051">
        <v>670.00199999999995</v>
      </c>
      <c r="Q2051">
        <v>34</v>
      </c>
      <c r="R2051">
        <v>12.73</v>
      </c>
    </row>
    <row r="2052" spans="1:18" x14ac:dyDescent="0.25">
      <c r="A2052" s="1" t="s">
        <v>195</v>
      </c>
      <c r="B2052" s="2" t="s">
        <v>197</v>
      </c>
      <c r="C2052" s="19">
        <v>39</v>
      </c>
      <c r="D2052" s="3" t="s">
        <v>496</v>
      </c>
      <c r="E2052" s="3" t="s">
        <v>9</v>
      </c>
      <c r="F2052" s="23">
        <v>97200</v>
      </c>
      <c r="G2052" s="15">
        <v>2008</v>
      </c>
      <c r="H2052" s="15">
        <f>Table_7[[#This Row],[Listing Price (USD)]]/10000</f>
        <v>9.7200000000000006</v>
      </c>
      <c r="I2052" s="28">
        <f>Table_7[[#This Row],[Length 
(ft)]]</f>
        <v>39</v>
      </c>
      <c r="J2052" s="28">
        <f>2020-Table_7[[#This Row],[Year]]</f>
        <v>12</v>
      </c>
      <c r="K2052">
        <v>1276962685648.25</v>
      </c>
      <c r="L2052">
        <v>26959.675436732599</v>
      </c>
      <c r="M2052">
        <v>-0.32275301729970501</v>
      </c>
      <c r="N2052">
        <v>-11.3254383222864</v>
      </c>
      <c r="O2052">
        <v>35.15</v>
      </c>
      <c r="P2052">
        <v>670.00199999999995</v>
      </c>
      <c r="Q2052">
        <v>34</v>
      </c>
      <c r="R2052">
        <v>12.73</v>
      </c>
    </row>
    <row r="2053" spans="1:18" x14ac:dyDescent="0.25">
      <c r="A2053" s="1" t="s">
        <v>195</v>
      </c>
      <c r="B2053" s="2" t="s">
        <v>197</v>
      </c>
      <c r="C2053" s="19">
        <v>39</v>
      </c>
      <c r="D2053" s="3" t="s">
        <v>496</v>
      </c>
      <c r="E2053" s="3" t="s">
        <v>24</v>
      </c>
      <c r="F2053" s="23">
        <v>99605</v>
      </c>
      <c r="G2053" s="15">
        <v>2007</v>
      </c>
      <c r="H2053" s="15">
        <f>Table_7[[#This Row],[Listing Price (USD)]]/10000</f>
        <v>9.9604999999999997</v>
      </c>
      <c r="I2053" s="28">
        <f>Table_7[[#This Row],[Length 
(ft)]]</f>
        <v>39</v>
      </c>
      <c r="J2053" s="28">
        <f>2020-Table_7[[#This Row],[Year]]</f>
        <v>13</v>
      </c>
      <c r="K2053">
        <v>1896755301518.1399</v>
      </c>
      <c r="L2053">
        <v>31911.0357890017</v>
      </c>
      <c r="M2053">
        <v>-0.13770757391656999</v>
      </c>
      <c r="N2053">
        <v>-9.0399534112288507</v>
      </c>
      <c r="O2053">
        <v>35.15</v>
      </c>
      <c r="P2053">
        <v>670.00199999999995</v>
      </c>
      <c r="Q2053">
        <v>34</v>
      </c>
      <c r="R2053">
        <v>12.73</v>
      </c>
    </row>
    <row r="2054" spans="1:18" x14ac:dyDescent="0.25">
      <c r="A2054" s="1" t="s">
        <v>195</v>
      </c>
      <c r="B2054" s="2" t="s">
        <v>197</v>
      </c>
      <c r="C2054" s="19">
        <v>39</v>
      </c>
      <c r="D2054" s="3" t="s">
        <v>496</v>
      </c>
      <c r="E2054" s="3" t="s">
        <v>24</v>
      </c>
      <c r="F2054" s="23">
        <v>100820</v>
      </c>
      <c r="G2054" s="15">
        <v>2009</v>
      </c>
      <c r="H2054" s="15">
        <f>Table_7[[#This Row],[Listing Price (USD)]]/10000</f>
        <v>10.082000000000001</v>
      </c>
      <c r="I2054" s="28">
        <f>Table_7[[#This Row],[Length 
(ft)]]</f>
        <v>39</v>
      </c>
      <c r="J2054" s="28">
        <f>2020-Table_7[[#This Row],[Year]]</f>
        <v>11</v>
      </c>
      <c r="K2054">
        <v>1896755301518.1399</v>
      </c>
      <c r="L2054">
        <v>31911.0357890017</v>
      </c>
      <c r="M2054">
        <v>-0.13770757391656999</v>
      </c>
      <c r="N2054">
        <v>-9.0399534112288507</v>
      </c>
      <c r="O2054">
        <v>35.15</v>
      </c>
      <c r="P2054">
        <v>670.00199999999995</v>
      </c>
      <c r="Q2054">
        <v>34</v>
      </c>
      <c r="R2054">
        <v>12.73</v>
      </c>
    </row>
    <row r="2055" spans="1:18" x14ac:dyDescent="0.25">
      <c r="A2055" s="1" t="s">
        <v>195</v>
      </c>
      <c r="B2055" s="2" t="s">
        <v>197</v>
      </c>
      <c r="C2055" s="19">
        <v>39</v>
      </c>
      <c r="D2055" s="3" t="s">
        <v>496</v>
      </c>
      <c r="E2055" s="3" t="s">
        <v>24</v>
      </c>
      <c r="F2055" s="23">
        <v>100845</v>
      </c>
      <c r="G2055" s="15">
        <v>2009</v>
      </c>
      <c r="H2055" s="15">
        <f>Table_7[[#This Row],[Listing Price (USD)]]/10000</f>
        <v>10.0845</v>
      </c>
      <c r="I2055" s="28">
        <f>Table_7[[#This Row],[Length 
(ft)]]</f>
        <v>39</v>
      </c>
      <c r="J2055" s="28">
        <f>2020-Table_7[[#This Row],[Year]]</f>
        <v>11</v>
      </c>
      <c r="K2055">
        <v>1896755301518.1399</v>
      </c>
      <c r="L2055">
        <v>31911.0357890017</v>
      </c>
      <c r="M2055">
        <v>-0.13770757391656999</v>
      </c>
      <c r="N2055">
        <v>-9.0399534112288507</v>
      </c>
      <c r="O2055">
        <v>35.15</v>
      </c>
      <c r="P2055">
        <v>670.00199999999995</v>
      </c>
      <c r="Q2055">
        <v>34</v>
      </c>
      <c r="R2055">
        <v>12.73</v>
      </c>
    </row>
    <row r="2056" spans="1:18" x14ac:dyDescent="0.25">
      <c r="A2056" s="1" t="s">
        <v>195</v>
      </c>
      <c r="B2056" s="2" t="s">
        <v>197</v>
      </c>
      <c r="C2056" s="19">
        <v>39</v>
      </c>
      <c r="D2056" s="3" t="s">
        <v>496</v>
      </c>
      <c r="E2056" s="3" t="s">
        <v>18</v>
      </c>
      <c r="F2056" s="23">
        <v>103275</v>
      </c>
      <c r="G2056" s="15">
        <v>2007</v>
      </c>
      <c r="H2056" s="15">
        <f>Table_7[[#This Row],[Listing Price (USD)]]/10000</f>
        <v>10.327500000000001</v>
      </c>
      <c r="I2056" s="28">
        <f>Table_7[[#This Row],[Length 
(ft)]]</f>
        <v>39</v>
      </c>
      <c r="J2056" s="28">
        <f>2020-Table_7[[#This Row],[Year]]</f>
        <v>13</v>
      </c>
      <c r="K2056">
        <v>188925995936.80701</v>
      </c>
      <c r="L2056">
        <v>17658.947301119199</v>
      </c>
      <c r="M2056">
        <v>-1.2479835558140799</v>
      </c>
      <c r="N2056">
        <v>-9.0040436420214593</v>
      </c>
      <c r="O2056">
        <v>35.15</v>
      </c>
      <c r="P2056">
        <v>670.00199999999995</v>
      </c>
      <c r="Q2056">
        <v>34</v>
      </c>
      <c r="R2056">
        <v>12.73</v>
      </c>
    </row>
    <row r="2057" spans="1:18" x14ac:dyDescent="0.25">
      <c r="A2057" s="1" t="s">
        <v>195</v>
      </c>
      <c r="B2057" s="2" t="s">
        <v>197</v>
      </c>
      <c r="C2057" s="19">
        <v>39</v>
      </c>
      <c r="D2057" s="3" t="s">
        <v>496</v>
      </c>
      <c r="E2057" s="3" t="s">
        <v>24</v>
      </c>
      <c r="F2057" s="23">
        <v>103275</v>
      </c>
      <c r="G2057" s="15">
        <v>2007</v>
      </c>
      <c r="H2057" s="15">
        <f>Table_7[[#This Row],[Listing Price (USD)]]/10000</f>
        <v>10.327500000000001</v>
      </c>
      <c r="I2057" s="28">
        <f>Table_7[[#This Row],[Length 
(ft)]]</f>
        <v>39</v>
      </c>
      <c r="J2057" s="28">
        <f>2020-Table_7[[#This Row],[Year]]</f>
        <v>13</v>
      </c>
      <c r="K2057">
        <v>1896755301518.1399</v>
      </c>
      <c r="L2057">
        <v>31911.0357890017</v>
      </c>
      <c r="M2057">
        <v>-0.13770757391656999</v>
      </c>
      <c r="N2057">
        <v>-9.0399534112288507</v>
      </c>
      <c r="O2057">
        <v>35.15</v>
      </c>
      <c r="P2057">
        <v>670.00199999999995</v>
      </c>
      <c r="Q2057">
        <v>34</v>
      </c>
      <c r="R2057">
        <v>12.73</v>
      </c>
    </row>
    <row r="2058" spans="1:18" x14ac:dyDescent="0.25">
      <c r="A2058" s="1" t="s">
        <v>195</v>
      </c>
      <c r="B2058" s="2" t="s">
        <v>197</v>
      </c>
      <c r="C2058" s="19">
        <v>39</v>
      </c>
      <c r="D2058" s="3" t="s">
        <v>496</v>
      </c>
      <c r="E2058" s="3" t="s">
        <v>237</v>
      </c>
      <c r="F2058" s="23">
        <v>114181</v>
      </c>
      <c r="G2058" s="15">
        <v>2009</v>
      </c>
      <c r="H2058" s="15">
        <f>Table_7[[#This Row],[Listing Price (USD)]]/10000</f>
        <v>11.418100000000001</v>
      </c>
      <c r="I2058" s="28">
        <f>Table_7[[#This Row],[Length 
(ft)]]</f>
        <v>39</v>
      </c>
      <c r="J2058" s="28">
        <f>2020-Table_7[[#This Row],[Year]]</f>
        <v>11</v>
      </c>
      <c r="K2058">
        <v>229031860520.77701</v>
      </c>
      <c r="L2058">
        <v>22242.406417972001</v>
      </c>
      <c r="M2058">
        <v>-1.2438329957616699E-2</v>
      </c>
      <c r="N2058">
        <v>-8.3005160422115107</v>
      </c>
      <c r="O2058">
        <v>35.15</v>
      </c>
      <c r="P2058">
        <v>670.00199999999995</v>
      </c>
      <c r="Q2058">
        <v>34</v>
      </c>
      <c r="R2058">
        <v>12.73</v>
      </c>
    </row>
    <row r="2059" spans="1:18" x14ac:dyDescent="0.25">
      <c r="A2059" s="1" t="s">
        <v>195</v>
      </c>
      <c r="B2059" s="2" t="s">
        <v>197</v>
      </c>
      <c r="C2059" s="19">
        <v>39</v>
      </c>
      <c r="D2059" s="3" t="s">
        <v>496</v>
      </c>
      <c r="E2059" s="3" t="s">
        <v>24</v>
      </c>
      <c r="F2059" s="23">
        <v>119040</v>
      </c>
      <c r="G2059" s="15">
        <v>2008</v>
      </c>
      <c r="H2059" s="15">
        <f>Table_7[[#This Row],[Listing Price (USD)]]/10000</f>
        <v>11.904</v>
      </c>
      <c r="I2059" s="28">
        <f>Table_7[[#This Row],[Length 
(ft)]]</f>
        <v>39</v>
      </c>
      <c r="J2059" s="28">
        <f>2020-Table_7[[#This Row],[Year]]</f>
        <v>12</v>
      </c>
      <c r="K2059">
        <v>1896755301518.1399</v>
      </c>
      <c r="L2059">
        <v>31911.0357890017</v>
      </c>
      <c r="M2059">
        <v>-0.13770757391656999</v>
      </c>
      <c r="N2059">
        <v>-9.0399534112288507</v>
      </c>
      <c r="O2059">
        <v>35.15</v>
      </c>
      <c r="P2059">
        <v>670.00199999999995</v>
      </c>
      <c r="Q2059">
        <v>34</v>
      </c>
      <c r="R2059">
        <v>12.73</v>
      </c>
    </row>
    <row r="2060" spans="1:18" x14ac:dyDescent="0.25">
      <c r="A2060" s="1" t="s">
        <v>195</v>
      </c>
      <c r="B2060" s="2" t="s">
        <v>197</v>
      </c>
      <c r="C2060" s="19">
        <v>39</v>
      </c>
      <c r="D2060" s="3" t="s">
        <v>496</v>
      </c>
      <c r="E2060" s="3" t="s">
        <v>237</v>
      </c>
      <c r="F2060" s="23">
        <v>119070</v>
      </c>
      <c r="G2060" s="15">
        <v>2009</v>
      </c>
      <c r="H2060" s="15">
        <f>Table_7[[#This Row],[Listing Price (USD)]]/10000</f>
        <v>11.907</v>
      </c>
      <c r="I2060" s="28">
        <f>Table_7[[#This Row],[Length 
(ft)]]</f>
        <v>39</v>
      </c>
      <c r="J2060" s="28">
        <f>2020-Table_7[[#This Row],[Year]]</f>
        <v>11</v>
      </c>
      <c r="K2060">
        <v>229031860520.77701</v>
      </c>
      <c r="L2060">
        <v>22242.406417972001</v>
      </c>
      <c r="M2060">
        <v>-1.2438329957616699E-2</v>
      </c>
      <c r="N2060">
        <v>-8.3005160422115107</v>
      </c>
      <c r="O2060">
        <v>35.15</v>
      </c>
      <c r="P2060">
        <v>670.00199999999995</v>
      </c>
      <c r="Q2060">
        <v>34</v>
      </c>
      <c r="R2060">
        <v>12.73</v>
      </c>
    </row>
    <row r="2061" spans="1:18" x14ac:dyDescent="0.25">
      <c r="A2061" s="1" t="s">
        <v>195</v>
      </c>
      <c r="B2061" s="2" t="s">
        <v>197</v>
      </c>
      <c r="C2061" s="19">
        <v>39</v>
      </c>
      <c r="D2061" s="3" t="s">
        <v>495</v>
      </c>
      <c r="E2061" s="3" t="s">
        <v>526</v>
      </c>
      <c r="F2061" s="23">
        <v>129900</v>
      </c>
      <c r="G2061" s="15">
        <v>2008</v>
      </c>
      <c r="H2061" s="15">
        <f>Table_7[[#This Row],[Listing Price (USD)]]/10000</f>
        <v>12.99</v>
      </c>
      <c r="I2061" s="28">
        <f>Table_7[[#This Row],[Length 
(ft)]]</f>
        <v>39</v>
      </c>
      <c r="J2061" s="28">
        <f>2020-Table_7[[#This Row],[Year]]</f>
        <v>12</v>
      </c>
      <c r="K2061">
        <v>4200000000</v>
      </c>
      <c r="L2061">
        <v>39553.199999999997</v>
      </c>
      <c r="M2061">
        <v>4.0999999999999996</v>
      </c>
      <c r="N2061">
        <v>-2.1</v>
      </c>
      <c r="O2061">
        <v>35.15</v>
      </c>
      <c r="P2061">
        <v>670.00199999999995</v>
      </c>
      <c r="Q2061">
        <v>34</v>
      </c>
      <c r="R2061">
        <v>12.73</v>
      </c>
    </row>
    <row r="2062" spans="1:18" x14ac:dyDescent="0.25">
      <c r="A2062" s="1" t="s">
        <v>195</v>
      </c>
      <c r="B2062" s="2" t="s">
        <v>197</v>
      </c>
      <c r="C2062" s="19">
        <v>39</v>
      </c>
      <c r="D2062" s="3" t="s">
        <v>495</v>
      </c>
      <c r="E2062" s="3" t="s">
        <v>333</v>
      </c>
      <c r="F2062" s="23">
        <v>129990</v>
      </c>
      <c r="G2062" s="15">
        <v>2008</v>
      </c>
      <c r="H2062" s="15">
        <f>Table_7[[#This Row],[Listing Price (USD)]]/10000</f>
        <v>12.999000000000001</v>
      </c>
      <c r="I2062" s="28">
        <f>Table_7[[#This Row],[Length 
(ft)]]</f>
        <v>39</v>
      </c>
      <c r="J2062" s="28">
        <f>2020-Table_7[[#This Row],[Year]]</f>
        <v>12</v>
      </c>
      <c r="K2062">
        <v>1106036000000</v>
      </c>
      <c r="L2062">
        <v>51276.72</v>
      </c>
      <c r="M2062">
        <v>1.23</v>
      </c>
      <c r="N2062">
        <v>2.9</v>
      </c>
      <c r="O2062">
        <v>35.15</v>
      </c>
      <c r="P2062">
        <v>670.00199999999995</v>
      </c>
      <c r="Q2062">
        <v>34</v>
      </c>
      <c r="R2062">
        <v>12.73</v>
      </c>
    </row>
    <row r="2063" spans="1:18" x14ac:dyDescent="0.25">
      <c r="A2063" s="1" t="s">
        <v>195</v>
      </c>
      <c r="B2063" s="2" t="s">
        <v>197</v>
      </c>
      <c r="C2063" s="19">
        <v>39</v>
      </c>
      <c r="D2063" s="3" t="s">
        <v>495</v>
      </c>
      <c r="E2063" s="3" t="s">
        <v>333</v>
      </c>
      <c r="F2063" s="23">
        <v>132790</v>
      </c>
      <c r="G2063" s="15">
        <v>2008</v>
      </c>
      <c r="H2063" s="15">
        <f>Table_7[[#This Row],[Listing Price (USD)]]/10000</f>
        <v>13.279</v>
      </c>
      <c r="I2063" s="28">
        <f>Table_7[[#This Row],[Length 
(ft)]]</f>
        <v>39</v>
      </c>
      <c r="J2063" s="28">
        <f>2020-Table_7[[#This Row],[Year]]</f>
        <v>12</v>
      </c>
      <c r="K2063">
        <v>1106036000000</v>
      </c>
      <c r="L2063">
        <v>51276.72</v>
      </c>
      <c r="M2063">
        <v>1.23</v>
      </c>
      <c r="N2063">
        <v>2.9</v>
      </c>
      <c r="O2063">
        <v>35.15</v>
      </c>
      <c r="P2063">
        <v>670.00199999999995</v>
      </c>
      <c r="Q2063">
        <v>34</v>
      </c>
      <c r="R2063">
        <v>12.73</v>
      </c>
    </row>
    <row r="2064" spans="1:18" x14ac:dyDescent="0.25">
      <c r="A2064" s="1" t="s">
        <v>195</v>
      </c>
      <c r="B2064" s="2" t="s">
        <v>197</v>
      </c>
      <c r="C2064" s="19">
        <v>39</v>
      </c>
      <c r="D2064" s="3" t="s">
        <v>495</v>
      </c>
      <c r="E2064" s="3" t="s">
        <v>500</v>
      </c>
      <c r="F2064" s="23">
        <v>149000</v>
      </c>
      <c r="G2064" s="15">
        <v>2008</v>
      </c>
      <c r="H2064" s="15">
        <f>Table_7[[#This Row],[Listing Price (USD)]]/10000</f>
        <v>14.9</v>
      </c>
      <c r="I2064" s="28">
        <f>Table_7[[#This Row],[Length 
(ft)]]</f>
        <v>39</v>
      </c>
      <c r="J2064" s="28">
        <f>2020-Table_7[[#This Row],[Year]]</f>
        <v>12</v>
      </c>
      <c r="K2064">
        <v>3007188000000</v>
      </c>
      <c r="L2064">
        <v>76131.839999999997</v>
      </c>
      <c r="M2064">
        <v>1.23</v>
      </c>
      <c r="N2064">
        <v>2.7</v>
      </c>
      <c r="O2064">
        <v>35.15</v>
      </c>
      <c r="P2064">
        <v>670.00199999999995</v>
      </c>
      <c r="Q2064">
        <v>34</v>
      </c>
      <c r="R2064">
        <v>12.73</v>
      </c>
    </row>
    <row r="2065" spans="1:18" x14ac:dyDescent="0.25">
      <c r="A2065" s="1" t="s">
        <v>195</v>
      </c>
      <c r="B2065" s="2" t="s">
        <v>197</v>
      </c>
      <c r="C2065" s="19">
        <v>39</v>
      </c>
      <c r="D2065" s="3" t="s">
        <v>495</v>
      </c>
      <c r="E2065" s="3" t="s">
        <v>555</v>
      </c>
      <c r="F2065" s="23">
        <v>155900</v>
      </c>
      <c r="G2065" s="15">
        <v>2010</v>
      </c>
      <c r="H2065" s="15">
        <f>Table_7[[#This Row],[Listing Price (USD)]]/10000</f>
        <v>15.59</v>
      </c>
      <c r="I2065" s="28">
        <f>Table_7[[#This Row],[Length 
(ft)]]</f>
        <v>39</v>
      </c>
      <c r="J2065" s="28">
        <f>2020-Table_7[[#This Row],[Year]]</f>
        <v>10</v>
      </c>
      <c r="K2065">
        <v>4200000000</v>
      </c>
      <c r="L2065">
        <v>39553.199999999997</v>
      </c>
      <c r="M2065">
        <v>1.23</v>
      </c>
      <c r="N2065">
        <v>-2.1</v>
      </c>
      <c r="O2065">
        <v>35.15</v>
      </c>
      <c r="P2065">
        <v>670.00199999999995</v>
      </c>
      <c r="Q2065">
        <v>34</v>
      </c>
      <c r="R2065">
        <v>12.73</v>
      </c>
    </row>
    <row r="2066" spans="1:18" x14ac:dyDescent="0.25">
      <c r="A2066" s="1" t="s">
        <v>195</v>
      </c>
      <c r="B2066" s="2" t="s">
        <v>200</v>
      </c>
      <c r="C2066" s="19">
        <v>39</v>
      </c>
      <c r="D2066" s="3" t="s">
        <v>496</v>
      </c>
      <c r="E2066" s="3" t="s">
        <v>9</v>
      </c>
      <c r="F2066" s="23">
        <v>111780</v>
      </c>
      <c r="G2066" s="15">
        <v>2007</v>
      </c>
      <c r="H2066" s="15">
        <f>Table_7[[#This Row],[Listing Price (USD)]]/10000</f>
        <v>11.178000000000001</v>
      </c>
      <c r="I2066" s="28">
        <f>Table_7[[#This Row],[Length 
(ft)]]</f>
        <v>39</v>
      </c>
      <c r="J2066" s="28">
        <f>2020-Table_7[[#This Row],[Year]]</f>
        <v>13</v>
      </c>
      <c r="K2066">
        <v>1276962685648.25</v>
      </c>
      <c r="L2066">
        <v>26959.675436732599</v>
      </c>
      <c r="M2066">
        <v>-0.32275301729970501</v>
      </c>
      <c r="N2066">
        <v>-11.3254383222864</v>
      </c>
      <c r="O2066">
        <v>35.15</v>
      </c>
      <c r="P2066">
        <v>670.00199999999995</v>
      </c>
      <c r="Q2066">
        <v>34</v>
      </c>
      <c r="R2066">
        <v>12.73</v>
      </c>
    </row>
    <row r="2067" spans="1:18" x14ac:dyDescent="0.25">
      <c r="A2067" s="1" t="s">
        <v>195</v>
      </c>
      <c r="B2067" s="3" t="s">
        <v>211</v>
      </c>
      <c r="C2067" s="19">
        <v>42</v>
      </c>
      <c r="D2067" s="3" t="s">
        <v>497</v>
      </c>
      <c r="E2067" s="3" t="s">
        <v>392</v>
      </c>
      <c r="F2067" s="23">
        <v>129000</v>
      </c>
      <c r="G2067" s="15">
        <v>2007</v>
      </c>
      <c r="H2067" s="15">
        <f>Table_7[[#This Row],[Listing Price (USD)]]/10000</f>
        <v>12.9</v>
      </c>
      <c r="I2067" s="28">
        <f>Table_7[[#This Row],[Length 
(ft)]]</f>
        <v>42</v>
      </c>
      <c r="J2067" s="28">
        <f>2020-Table_7[[#This Row],[Year]]</f>
        <v>13</v>
      </c>
      <c r="K2067">
        <v>1043414814.81481</v>
      </c>
      <c r="L2067">
        <v>8437.5667322870595</v>
      </c>
      <c r="M2067">
        <v>-0.74073259704550098</v>
      </c>
      <c r="N2067">
        <v>-13.7559294530644</v>
      </c>
      <c r="O2067">
        <v>38.06</v>
      </c>
      <c r="P2067">
        <v>768.00199999999995</v>
      </c>
      <c r="Q2067">
        <v>34</v>
      </c>
      <c r="R2067">
        <v>13.55</v>
      </c>
    </row>
    <row r="2068" spans="1:18" x14ac:dyDescent="0.25">
      <c r="A2068" s="1" t="s">
        <v>195</v>
      </c>
      <c r="B2068" s="3" t="s">
        <v>211</v>
      </c>
      <c r="C2068" s="19">
        <v>42</v>
      </c>
      <c r="D2068" s="3" t="s">
        <v>496</v>
      </c>
      <c r="E2068" s="3" t="s">
        <v>9</v>
      </c>
      <c r="F2068" s="23">
        <v>133230</v>
      </c>
      <c r="G2068" s="15">
        <v>2006</v>
      </c>
      <c r="H2068" s="15">
        <f>Table_7[[#This Row],[Listing Price (USD)]]/10000</f>
        <v>13.323</v>
      </c>
      <c r="I2068" s="28">
        <f>Table_7[[#This Row],[Length 
(ft)]]</f>
        <v>42</v>
      </c>
      <c r="J2068" s="28">
        <f>2020-Table_7[[#This Row],[Year]]</f>
        <v>14</v>
      </c>
      <c r="K2068">
        <v>1276962685648.25</v>
      </c>
      <c r="L2068">
        <v>26959.675436732599</v>
      </c>
      <c r="M2068">
        <v>-0.32275301729970501</v>
      </c>
      <c r="N2068">
        <v>-11.3254383222864</v>
      </c>
      <c r="O2068">
        <v>38.06</v>
      </c>
      <c r="P2068">
        <v>768.00199999999995</v>
      </c>
      <c r="Q2068">
        <v>34</v>
      </c>
      <c r="R2068">
        <v>13.55</v>
      </c>
    </row>
    <row r="2069" spans="1:18" x14ac:dyDescent="0.25">
      <c r="A2069" s="1" t="s">
        <v>195</v>
      </c>
      <c r="B2069" s="3" t="s">
        <v>211</v>
      </c>
      <c r="C2069" s="19">
        <v>42</v>
      </c>
      <c r="D2069" s="3" t="s">
        <v>497</v>
      </c>
      <c r="E2069" s="3" t="s">
        <v>506</v>
      </c>
      <c r="F2069" s="23">
        <v>145000</v>
      </c>
      <c r="G2069" s="15">
        <v>2009</v>
      </c>
      <c r="H2069" s="15">
        <f>Table_7[[#This Row],[Listing Price (USD)]]/10000</f>
        <v>14.5</v>
      </c>
      <c r="I2069" s="28">
        <f>Table_7[[#This Row],[Length 
(ft)]]</f>
        <v>42</v>
      </c>
      <c r="J2069" s="28">
        <f>2020-Table_7[[#This Row],[Year]]</f>
        <v>11</v>
      </c>
      <c r="K2069">
        <v>1370281481.4814799</v>
      </c>
      <c r="L2069">
        <v>14787.6357752901</v>
      </c>
      <c r="M2069">
        <v>0.62598970704669799</v>
      </c>
      <c r="N2069">
        <v>-20.1923705722071</v>
      </c>
      <c r="O2069">
        <v>38.06</v>
      </c>
      <c r="P2069">
        <v>768.00199999999995</v>
      </c>
      <c r="Q2069">
        <v>34</v>
      </c>
      <c r="R2069">
        <v>13.55</v>
      </c>
    </row>
    <row r="2070" spans="1:18" x14ac:dyDescent="0.25">
      <c r="A2070" s="1" t="s">
        <v>195</v>
      </c>
      <c r="B2070" s="3" t="s">
        <v>211</v>
      </c>
      <c r="C2070" s="19">
        <v>42</v>
      </c>
      <c r="D2070" s="3" t="s">
        <v>497</v>
      </c>
      <c r="E2070" s="3" t="s">
        <v>370</v>
      </c>
      <c r="F2070" s="23">
        <v>149000</v>
      </c>
      <c r="G2070" s="15">
        <v>2008</v>
      </c>
      <c r="H2070" s="15">
        <f>Table_7[[#This Row],[Listing Price (USD)]]/10000</f>
        <v>14.9</v>
      </c>
      <c r="I2070" s="28">
        <f>Table_7[[#This Row],[Length 
(ft)]]</f>
        <v>42</v>
      </c>
      <c r="J2070" s="28">
        <f>2020-Table_7[[#This Row],[Year]]</f>
        <v>12</v>
      </c>
      <c r="K2070">
        <v>500000000</v>
      </c>
      <c r="L2070">
        <v>34200</v>
      </c>
      <c r="M2070">
        <v>1.1000000000000001</v>
      </c>
      <c r="N2070">
        <v>2</v>
      </c>
      <c r="O2070">
        <v>38.06</v>
      </c>
      <c r="P2070">
        <v>768.00199999999995</v>
      </c>
      <c r="Q2070">
        <v>34</v>
      </c>
      <c r="R2070">
        <v>13.55</v>
      </c>
    </row>
    <row r="2071" spans="1:18" x14ac:dyDescent="0.25">
      <c r="A2071" s="1" t="s">
        <v>195</v>
      </c>
      <c r="B2071" s="3" t="s">
        <v>211</v>
      </c>
      <c r="C2071" s="19">
        <v>42</v>
      </c>
      <c r="D2071" s="3" t="s">
        <v>496</v>
      </c>
      <c r="E2071" s="3" t="s">
        <v>18</v>
      </c>
      <c r="F2071" s="23">
        <v>151876</v>
      </c>
      <c r="G2071" s="15">
        <v>2012</v>
      </c>
      <c r="H2071" s="15">
        <f>Table_7[[#This Row],[Listing Price (USD)]]/10000</f>
        <v>15.1876</v>
      </c>
      <c r="I2071" s="28">
        <f>Table_7[[#This Row],[Length 
(ft)]]</f>
        <v>42</v>
      </c>
      <c r="J2071" s="28">
        <f>2020-Table_7[[#This Row],[Year]]</f>
        <v>8</v>
      </c>
      <c r="K2071">
        <v>188925995936.80701</v>
      </c>
      <c r="L2071">
        <v>17658.947301119199</v>
      </c>
      <c r="M2071">
        <v>-1.2479835558140799</v>
      </c>
      <c r="N2071">
        <v>-9.0040436420214593</v>
      </c>
      <c r="O2071">
        <v>38.06</v>
      </c>
      <c r="P2071">
        <v>768.00199999999995</v>
      </c>
      <c r="Q2071">
        <v>34</v>
      </c>
      <c r="R2071">
        <v>13.55</v>
      </c>
    </row>
    <row r="2072" spans="1:18" x14ac:dyDescent="0.25">
      <c r="A2072" s="1" t="s">
        <v>195</v>
      </c>
      <c r="B2072" s="3" t="s">
        <v>211</v>
      </c>
      <c r="C2072" s="19">
        <v>42</v>
      </c>
      <c r="D2072" s="3" t="s">
        <v>495</v>
      </c>
      <c r="E2072" s="3" t="s">
        <v>521</v>
      </c>
      <c r="F2072" s="23">
        <v>159000</v>
      </c>
      <c r="G2072" s="15">
        <v>2006</v>
      </c>
      <c r="H2072" s="15">
        <f>Table_7[[#This Row],[Listing Price (USD)]]/10000</f>
        <v>15.9</v>
      </c>
      <c r="I2072" s="28">
        <f>Table_7[[#This Row],[Length 
(ft)]]</f>
        <v>42</v>
      </c>
      <c r="J2072" s="28">
        <f>2020-Table_7[[#This Row],[Year]]</f>
        <v>14</v>
      </c>
      <c r="K2072">
        <v>60556000000</v>
      </c>
      <c r="L2072">
        <v>55240.56</v>
      </c>
      <c r="M2072">
        <v>3</v>
      </c>
      <c r="N2072">
        <v>2.2000000000000002</v>
      </c>
      <c r="O2072">
        <v>38.06</v>
      </c>
      <c r="P2072">
        <v>768.00199999999995</v>
      </c>
      <c r="Q2072">
        <v>34</v>
      </c>
      <c r="R2072">
        <v>13.55</v>
      </c>
    </row>
    <row r="2073" spans="1:18" x14ac:dyDescent="0.25">
      <c r="A2073" s="1" t="s">
        <v>195</v>
      </c>
      <c r="B2073" s="3" t="s">
        <v>211</v>
      </c>
      <c r="C2073" s="19">
        <v>42</v>
      </c>
      <c r="D2073" s="3" t="s">
        <v>496</v>
      </c>
      <c r="E2073" s="3" t="s">
        <v>24</v>
      </c>
      <c r="F2073" s="23">
        <v>163984</v>
      </c>
      <c r="G2073" s="15">
        <v>2010</v>
      </c>
      <c r="H2073" s="15">
        <f>Table_7[[#This Row],[Listing Price (USD)]]/10000</f>
        <v>16.398399999999999</v>
      </c>
      <c r="I2073" s="28">
        <f>Table_7[[#This Row],[Length 
(ft)]]</f>
        <v>42</v>
      </c>
      <c r="J2073" s="28">
        <f>2020-Table_7[[#This Row],[Year]]</f>
        <v>10</v>
      </c>
      <c r="K2073">
        <v>1896755301518.1399</v>
      </c>
      <c r="L2073">
        <v>31911.0357890017</v>
      </c>
      <c r="M2073">
        <v>-0.13770757391656999</v>
      </c>
      <c r="N2073">
        <v>-9.0399534112288507</v>
      </c>
      <c r="O2073">
        <v>38.06</v>
      </c>
      <c r="P2073">
        <v>768.00199999999995</v>
      </c>
      <c r="Q2073">
        <v>34</v>
      </c>
      <c r="R2073">
        <v>13.55</v>
      </c>
    </row>
    <row r="2074" spans="1:18" x14ac:dyDescent="0.25">
      <c r="A2074" s="1" t="s">
        <v>195</v>
      </c>
      <c r="B2074" s="3" t="s">
        <v>211</v>
      </c>
      <c r="C2074" s="19">
        <v>42</v>
      </c>
      <c r="D2074" s="3" t="s">
        <v>495</v>
      </c>
      <c r="E2074" s="3" t="s">
        <v>545</v>
      </c>
      <c r="F2074" s="23">
        <v>168000</v>
      </c>
      <c r="G2074" s="15">
        <v>2007</v>
      </c>
      <c r="H2074" s="15">
        <f>Table_7[[#This Row],[Listing Price (USD)]]/10000</f>
        <v>16.8</v>
      </c>
      <c r="I2074" s="28">
        <f>Table_7[[#This Row],[Length 
(ft)]]</f>
        <v>42</v>
      </c>
      <c r="J2074" s="28">
        <f>2020-Table_7[[#This Row],[Year]]</f>
        <v>13</v>
      </c>
      <c r="K2074">
        <v>515120000000</v>
      </c>
      <c r="L2074">
        <v>51165.75</v>
      </c>
      <c r="M2074">
        <v>1.23</v>
      </c>
      <c r="N2074">
        <v>2.6</v>
      </c>
      <c r="O2074">
        <v>38.06</v>
      </c>
      <c r="P2074">
        <v>768.00199999999995</v>
      </c>
      <c r="Q2074">
        <v>34</v>
      </c>
      <c r="R2074">
        <v>13.55</v>
      </c>
    </row>
    <row r="2075" spans="1:18" x14ac:dyDescent="0.25">
      <c r="A2075" s="1" t="s">
        <v>195</v>
      </c>
      <c r="B2075" s="3" t="s">
        <v>211</v>
      </c>
      <c r="C2075" s="19">
        <v>42</v>
      </c>
      <c r="D2075" s="3" t="s">
        <v>495</v>
      </c>
      <c r="E2075" s="3" t="s">
        <v>333</v>
      </c>
      <c r="F2075" s="23">
        <v>175000</v>
      </c>
      <c r="G2075" s="15">
        <v>2007</v>
      </c>
      <c r="H2075" s="15">
        <f>Table_7[[#This Row],[Listing Price (USD)]]/10000</f>
        <v>17.5</v>
      </c>
      <c r="I2075" s="28">
        <f>Table_7[[#This Row],[Length 
(ft)]]</f>
        <v>42</v>
      </c>
      <c r="J2075" s="28">
        <f>2020-Table_7[[#This Row],[Year]]</f>
        <v>13</v>
      </c>
      <c r="K2075">
        <v>1106036000000</v>
      </c>
      <c r="L2075">
        <v>51276.72</v>
      </c>
      <c r="M2075">
        <v>1.23</v>
      </c>
      <c r="N2075">
        <v>2.9</v>
      </c>
      <c r="O2075">
        <v>38.06</v>
      </c>
      <c r="P2075">
        <v>768.00199999999995</v>
      </c>
      <c r="Q2075">
        <v>34</v>
      </c>
      <c r="R2075">
        <v>13.55</v>
      </c>
    </row>
    <row r="2076" spans="1:18" x14ac:dyDescent="0.25">
      <c r="A2076" s="1" t="s">
        <v>195</v>
      </c>
      <c r="B2076" s="3" t="s">
        <v>211</v>
      </c>
      <c r="C2076" s="19">
        <v>42</v>
      </c>
      <c r="D2076" s="3" t="s">
        <v>496</v>
      </c>
      <c r="E2076" s="3" t="s">
        <v>9</v>
      </c>
      <c r="F2076" s="23">
        <v>176131</v>
      </c>
      <c r="G2076" s="15">
        <v>2008</v>
      </c>
      <c r="H2076" s="15">
        <f>Table_7[[#This Row],[Listing Price (USD)]]/10000</f>
        <v>17.613099999999999</v>
      </c>
      <c r="I2076" s="28">
        <f>Table_7[[#This Row],[Length 
(ft)]]</f>
        <v>42</v>
      </c>
      <c r="J2076" s="28">
        <f>2020-Table_7[[#This Row],[Year]]</f>
        <v>12</v>
      </c>
      <c r="K2076">
        <v>1276962685648.25</v>
      </c>
      <c r="L2076">
        <v>26959.675436732599</v>
      </c>
      <c r="M2076">
        <v>-0.32275301729970501</v>
      </c>
      <c r="N2076">
        <v>-11.3254383222864</v>
      </c>
      <c r="O2076">
        <v>38.06</v>
      </c>
      <c r="P2076">
        <v>768.00199999999995</v>
      </c>
      <c r="Q2076">
        <v>34</v>
      </c>
      <c r="R2076">
        <v>13.55</v>
      </c>
    </row>
    <row r="2077" spans="1:18" x14ac:dyDescent="0.25">
      <c r="A2077" s="1" t="s">
        <v>195</v>
      </c>
      <c r="B2077" s="3" t="s">
        <v>211</v>
      </c>
      <c r="C2077" s="19">
        <v>42</v>
      </c>
      <c r="D2077" s="3" t="s">
        <v>497</v>
      </c>
      <c r="E2077" s="3" t="s">
        <v>498</v>
      </c>
      <c r="F2077" s="23">
        <v>180000</v>
      </c>
      <c r="G2077" s="15">
        <v>2006</v>
      </c>
      <c r="H2077" s="15">
        <f>Table_7[[#This Row],[Listing Price (USD)]]/10000</f>
        <v>18</v>
      </c>
      <c r="I2077" s="28">
        <f>Table_7[[#This Row],[Length 
(ft)]]</f>
        <v>42</v>
      </c>
      <c r="J2077" s="28">
        <f>2020-Table_7[[#This Row],[Year]]</f>
        <v>14</v>
      </c>
      <c r="K2077">
        <v>1090515389749.41</v>
      </c>
      <c r="L2077">
        <v>8655.0006820680301</v>
      </c>
      <c r="M2077">
        <v>3.3968341556999899</v>
      </c>
      <c r="N2077">
        <v>-7.9879123401474903</v>
      </c>
      <c r="O2077">
        <v>38.06</v>
      </c>
      <c r="P2077">
        <v>768.00199999999995</v>
      </c>
      <c r="Q2077">
        <v>34</v>
      </c>
      <c r="R2077">
        <v>13.55</v>
      </c>
    </row>
    <row r="2078" spans="1:18" x14ac:dyDescent="0.25">
      <c r="A2078" s="1" t="s">
        <v>195</v>
      </c>
      <c r="B2078" s="3" t="s">
        <v>211</v>
      </c>
      <c r="C2078" s="19">
        <v>42</v>
      </c>
      <c r="D2078" s="3" t="s">
        <v>496</v>
      </c>
      <c r="E2078" s="3" t="s">
        <v>9</v>
      </c>
      <c r="F2078" s="23">
        <v>188278</v>
      </c>
      <c r="G2078" s="15">
        <v>2009</v>
      </c>
      <c r="H2078" s="15">
        <f>Table_7[[#This Row],[Listing Price (USD)]]/10000</f>
        <v>18.8278</v>
      </c>
      <c r="I2078" s="28">
        <f>Table_7[[#This Row],[Length 
(ft)]]</f>
        <v>42</v>
      </c>
      <c r="J2078" s="28">
        <f>2020-Table_7[[#This Row],[Year]]</f>
        <v>11</v>
      </c>
      <c r="K2078">
        <v>1276962685648.25</v>
      </c>
      <c r="L2078">
        <v>26959.675436732599</v>
      </c>
      <c r="M2078">
        <v>-0.32275301729970501</v>
      </c>
      <c r="N2078">
        <v>-11.3254383222864</v>
      </c>
      <c r="O2078">
        <v>38.06</v>
      </c>
      <c r="P2078">
        <v>768.00199999999995</v>
      </c>
      <c r="Q2078">
        <v>34</v>
      </c>
      <c r="R2078">
        <v>13.55</v>
      </c>
    </row>
    <row r="2079" spans="1:18" x14ac:dyDescent="0.25">
      <c r="A2079" s="1" t="s">
        <v>195</v>
      </c>
      <c r="B2079" s="3" t="s">
        <v>211</v>
      </c>
      <c r="C2079" s="19">
        <v>42</v>
      </c>
      <c r="D2079" s="3" t="s">
        <v>495</v>
      </c>
      <c r="E2079" s="3" t="s">
        <v>515</v>
      </c>
      <c r="F2079" s="23">
        <v>195000</v>
      </c>
      <c r="G2079" s="15">
        <v>2012</v>
      </c>
      <c r="H2079" s="15">
        <f>Table_7[[#This Row],[Listing Price (USD)]]/10000</f>
        <v>19.5</v>
      </c>
      <c r="I2079" s="28">
        <f>Table_7[[#This Row],[Length 
(ft)]]</f>
        <v>42</v>
      </c>
      <c r="J2079" s="28">
        <f>2020-Table_7[[#This Row],[Year]]</f>
        <v>8</v>
      </c>
      <c r="K2079">
        <v>410675000000</v>
      </c>
      <c r="L2079">
        <v>66531.03</v>
      </c>
      <c r="M2079">
        <v>1.23</v>
      </c>
      <c r="N2079">
        <v>1.8</v>
      </c>
      <c r="O2079">
        <v>38.06</v>
      </c>
      <c r="P2079">
        <v>768.00199999999995</v>
      </c>
      <c r="Q2079">
        <v>34</v>
      </c>
      <c r="R2079">
        <v>13.55</v>
      </c>
    </row>
    <row r="2080" spans="1:18" x14ac:dyDescent="0.25">
      <c r="A2080" s="1" t="s">
        <v>195</v>
      </c>
      <c r="B2080" s="2" t="s">
        <v>209</v>
      </c>
      <c r="C2080" s="19">
        <v>42</v>
      </c>
      <c r="D2080" s="3" t="s">
        <v>496</v>
      </c>
      <c r="E2080" s="3" t="s">
        <v>31</v>
      </c>
      <c r="F2080" s="23">
        <v>84786</v>
      </c>
      <c r="G2080" s="15">
        <v>2007</v>
      </c>
      <c r="H2080" s="15">
        <f>Table_7[[#This Row],[Listing Price (USD)]]/10000</f>
        <v>8.4786000000000001</v>
      </c>
      <c r="I2080" s="28">
        <f>Table_7[[#This Row],[Length 
(ft)]]</f>
        <v>42</v>
      </c>
      <c r="J2080" s="28">
        <f>2020-Table_7[[#This Row],[Year]]</f>
        <v>13</v>
      </c>
      <c r="K2080">
        <v>57472012426.685303</v>
      </c>
      <c r="L2080">
        <v>14198.753959474399</v>
      </c>
      <c r="M2080">
        <v>0.15481137456202801</v>
      </c>
      <c r="N2080">
        <v>-8.5803430210621805</v>
      </c>
      <c r="O2080">
        <v>38.06</v>
      </c>
      <c r="P2080">
        <v>762.00199999999995</v>
      </c>
      <c r="Q2080">
        <v>34</v>
      </c>
      <c r="R2080">
        <v>13.55</v>
      </c>
    </row>
    <row r="2081" spans="1:18" x14ac:dyDescent="0.25">
      <c r="A2081" s="1" t="s">
        <v>195</v>
      </c>
      <c r="B2081" s="2" t="s">
        <v>209</v>
      </c>
      <c r="C2081" s="19">
        <v>42</v>
      </c>
      <c r="D2081" s="3" t="s">
        <v>496</v>
      </c>
      <c r="E2081" s="3" t="s">
        <v>31</v>
      </c>
      <c r="F2081" s="23">
        <v>93519</v>
      </c>
      <c r="G2081" s="15">
        <v>2008</v>
      </c>
      <c r="H2081" s="15">
        <f>Table_7[[#This Row],[Listing Price (USD)]]/10000</f>
        <v>9.3519000000000005</v>
      </c>
      <c r="I2081" s="28">
        <f>Table_7[[#This Row],[Length 
(ft)]]</f>
        <v>42</v>
      </c>
      <c r="J2081" s="28">
        <f>2020-Table_7[[#This Row],[Year]]</f>
        <v>12</v>
      </c>
      <c r="K2081">
        <v>57472012426.685303</v>
      </c>
      <c r="L2081">
        <v>14198.753959474399</v>
      </c>
      <c r="M2081">
        <v>0.15481137456202801</v>
      </c>
      <c r="N2081">
        <v>-8.5803430210621805</v>
      </c>
      <c r="O2081">
        <v>38.06</v>
      </c>
      <c r="P2081">
        <v>762.00199999999995</v>
      </c>
      <c r="Q2081">
        <v>34</v>
      </c>
      <c r="R2081">
        <v>13.55</v>
      </c>
    </row>
    <row r="2082" spans="1:18" x14ac:dyDescent="0.25">
      <c r="A2082" s="1" t="s">
        <v>195</v>
      </c>
      <c r="B2082" s="2" t="s">
        <v>209</v>
      </c>
      <c r="C2082" s="19">
        <v>42</v>
      </c>
      <c r="D2082" s="3" t="s">
        <v>496</v>
      </c>
      <c r="E2082" s="3" t="s">
        <v>31</v>
      </c>
      <c r="F2082" s="23">
        <v>95948</v>
      </c>
      <c r="G2082" s="15">
        <v>2010</v>
      </c>
      <c r="H2082" s="15">
        <f>Table_7[[#This Row],[Listing Price (USD)]]/10000</f>
        <v>9.5947999999999993</v>
      </c>
      <c r="I2082" s="28">
        <f>Table_7[[#This Row],[Length 
(ft)]]</f>
        <v>42</v>
      </c>
      <c r="J2082" s="28">
        <f>2020-Table_7[[#This Row],[Year]]</f>
        <v>10</v>
      </c>
      <c r="K2082">
        <v>57472012426.685303</v>
      </c>
      <c r="L2082">
        <v>14198.753959474399</v>
      </c>
      <c r="M2082">
        <v>0.15481137456202801</v>
      </c>
      <c r="N2082">
        <v>-8.5803430210621805</v>
      </c>
      <c r="O2082">
        <v>38.06</v>
      </c>
      <c r="P2082">
        <v>762.00199999999995</v>
      </c>
      <c r="Q2082">
        <v>34</v>
      </c>
      <c r="R2082">
        <v>13.55</v>
      </c>
    </row>
    <row r="2083" spans="1:18" x14ac:dyDescent="0.25">
      <c r="A2083" s="1" t="s">
        <v>195</v>
      </c>
      <c r="B2083" s="2" t="s">
        <v>209</v>
      </c>
      <c r="C2083" s="19">
        <v>42</v>
      </c>
      <c r="D2083" s="3" t="s">
        <v>496</v>
      </c>
      <c r="E2083" s="3" t="s">
        <v>18</v>
      </c>
      <c r="F2083" s="23">
        <v>95948</v>
      </c>
      <c r="G2083" s="15">
        <v>2010</v>
      </c>
      <c r="H2083" s="15">
        <f>Table_7[[#This Row],[Listing Price (USD)]]/10000</f>
        <v>9.5947999999999993</v>
      </c>
      <c r="I2083" s="28">
        <f>Table_7[[#This Row],[Length 
(ft)]]</f>
        <v>42</v>
      </c>
      <c r="J2083" s="28">
        <f>2020-Table_7[[#This Row],[Year]]</f>
        <v>10</v>
      </c>
      <c r="K2083">
        <v>188925995936.80701</v>
      </c>
      <c r="L2083">
        <v>17658.947301119199</v>
      </c>
      <c r="M2083">
        <v>-1.2479835558140799</v>
      </c>
      <c r="N2083">
        <v>-9.0040436420214593</v>
      </c>
      <c r="O2083">
        <v>38.06</v>
      </c>
      <c r="P2083">
        <v>762.00199999999995</v>
      </c>
      <c r="Q2083">
        <v>34</v>
      </c>
      <c r="R2083">
        <v>13.55</v>
      </c>
    </row>
    <row r="2084" spans="1:18" x14ac:dyDescent="0.25">
      <c r="A2084" s="1" t="s">
        <v>195</v>
      </c>
      <c r="B2084" s="2" t="s">
        <v>209</v>
      </c>
      <c r="C2084" s="19">
        <v>42</v>
      </c>
      <c r="D2084" s="3" t="s">
        <v>496</v>
      </c>
      <c r="E2084" s="3" t="s">
        <v>31</v>
      </c>
      <c r="F2084" s="23">
        <v>99630</v>
      </c>
      <c r="G2084" s="15">
        <v>2009</v>
      </c>
      <c r="H2084" s="15">
        <f>Table_7[[#This Row],[Listing Price (USD)]]/10000</f>
        <v>9.9629999999999992</v>
      </c>
      <c r="I2084" s="28">
        <f>Table_7[[#This Row],[Length 
(ft)]]</f>
        <v>42</v>
      </c>
      <c r="J2084" s="28">
        <f>2020-Table_7[[#This Row],[Year]]</f>
        <v>11</v>
      </c>
      <c r="K2084">
        <v>57472012426.685303</v>
      </c>
      <c r="L2084">
        <v>14198.753959474399</v>
      </c>
      <c r="M2084">
        <v>0.15481137456202801</v>
      </c>
      <c r="N2084">
        <v>-8.5803430210621805</v>
      </c>
      <c r="O2084">
        <v>38.06</v>
      </c>
      <c r="P2084">
        <v>762.00199999999995</v>
      </c>
      <c r="Q2084">
        <v>34</v>
      </c>
      <c r="R2084">
        <v>13.55</v>
      </c>
    </row>
    <row r="2085" spans="1:18" x14ac:dyDescent="0.25">
      <c r="A2085" s="1" t="s">
        <v>195</v>
      </c>
      <c r="B2085" s="2" t="s">
        <v>209</v>
      </c>
      <c r="C2085" s="19">
        <v>42</v>
      </c>
      <c r="D2085" s="3" t="s">
        <v>496</v>
      </c>
      <c r="E2085" s="3" t="s">
        <v>31</v>
      </c>
      <c r="F2085" s="23">
        <v>99630</v>
      </c>
      <c r="G2085" s="15">
        <v>2008</v>
      </c>
      <c r="H2085" s="15">
        <f>Table_7[[#This Row],[Listing Price (USD)]]/10000</f>
        <v>9.9629999999999992</v>
      </c>
      <c r="I2085" s="28">
        <f>Table_7[[#This Row],[Length 
(ft)]]</f>
        <v>42</v>
      </c>
      <c r="J2085" s="28">
        <f>2020-Table_7[[#This Row],[Year]]</f>
        <v>12</v>
      </c>
      <c r="K2085">
        <v>57472012426.685303</v>
      </c>
      <c r="L2085">
        <v>14198.753959474399</v>
      </c>
      <c r="M2085">
        <v>0.15481137456202801</v>
      </c>
      <c r="N2085">
        <v>-8.5803430210621805</v>
      </c>
      <c r="O2085">
        <v>38.06</v>
      </c>
      <c r="P2085">
        <v>762.00199999999995</v>
      </c>
      <c r="Q2085">
        <v>34</v>
      </c>
      <c r="R2085">
        <v>13.55</v>
      </c>
    </row>
    <row r="2086" spans="1:18" x14ac:dyDescent="0.25">
      <c r="A2086" s="1" t="s">
        <v>195</v>
      </c>
      <c r="B2086" s="2" t="s">
        <v>209</v>
      </c>
      <c r="C2086" s="19">
        <v>42</v>
      </c>
      <c r="D2086" s="3" t="s">
        <v>496</v>
      </c>
      <c r="E2086" s="3" t="s">
        <v>31</v>
      </c>
      <c r="F2086" s="23">
        <v>101913</v>
      </c>
      <c r="G2086" s="15">
        <v>2009</v>
      </c>
      <c r="H2086" s="15">
        <f>Table_7[[#This Row],[Listing Price (USD)]]/10000</f>
        <v>10.1913</v>
      </c>
      <c r="I2086" s="28">
        <f>Table_7[[#This Row],[Length 
(ft)]]</f>
        <v>42</v>
      </c>
      <c r="J2086" s="28">
        <f>2020-Table_7[[#This Row],[Year]]</f>
        <v>11</v>
      </c>
      <c r="K2086">
        <v>57472012426.685303</v>
      </c>
      <c r="L2086">
        <v>14198.753959474399</v>
      </c>
      <c r="M2086">
        <v>0.15481137456202801</v>
      </c>
      <c r="N2086">
        <v>-8.5803430210621805</v>
      </c>
      <c r="O2086">
        <v>38.06</v>
      </c>
      <c r="P2086">
        <v>762.00199999999995</v>
      </c>
      <c r="Q2086">
        <v>34</v>
      </c>
      <c r="R2086">
        <v>13.55</v>
      </c>
    </row>
    <row r="2087" spans="1:18" x14ac:dyDescent="0.25">
      <c r="A2087" s="1" t="s">
        <v>195</v>
      </c>
      <c r="B2087" s="2" t="s">
        <v>209</v>
      </c>
      <c r="C2087" s="19">
        <v>42</v>
      </c>
      <c r="D2087" s="3" t="s">
        <v>496</v>
      </c>
      <c r="E2087" s="3" t="s">
        <v>18</v>
      </c>
      <c r="F2087" s="23">
        <v>103275</v>
      </c>
      <c r="G2087" s="15">
        <v>2010</v>
      </c>
      <c r="H2087" s="15">
        <f>Table_7[[#This Row],[Listing Price (USD)]]/10000</f>
        <v>10.327500000000001</v>
      </c>
      <c r="I2087" s="28">
        <f>Table_7[[#This Row],[Length 
(ft)]]</f>
        <v>42</v>
      </c>
      <c r="J2087" s="28">
        <f>2020-Table_7[[#This Row],[Year]]</f>
        <v>10</v>
      </c>
      <c r="K2087">
        <v>188925995936.80701</v>
      </c>
      <c r="L2087">
        <v>17658.947301119199</v>
      </c>
      <c r="M2087">
        <v>-1.2479835558140799</v>
      </c>
      <c r="N2087">
        <v>-9.0040436420214593</v>
      </c>
      <c r="O2087">
        <v>38.06</v>
      </c>
      <c r="P2087">
        <v>762.00199999999995</v>
      </c>
      <c r="Q2087">
        <v>34</v>
      </c>
      <c r="R2087">
        <v>13.55</v>
      </c>
    </row>
    <row r="2088" spans="1:18" x14ac:dyDescent="0.25">
      <c r="A2088" s="1" t="s">
        <v>195</v>
      </c>
      <c r="B2088" s="2" t="s">
        <v>209</v>
      </c>
      <c r="C2088" s="19">
        <v>42</v>
      </c>
      <c r="D2088" s="3" t="s">
        <v>496</v>
      </c>
      <c r="E2088" s="3" t="s">
        <v>31</v>
      </c>
      <c r="F2088" s="23">
        <v>105679</v>
      </c>
      <c r="G2088" s="15">
        <v>2009</v>
      </c>
      <c r="H2088" s="15">
        <f>Table_7[[#This Row],[Listing Price (USD)]]/10000</f>
        <v>10.5679</v>
      </c>
      <c r="I2088" s="28">
        <f>Table_7[[#This Row],[Length 
(ft)]]</f>
        <v>42</v>
      </c>
      <c r="J2088" s="28">
        <f>2020-Table_7[[#This Row],[Year]]</f>
        <v>11</v>
      </c>
      <c r="K2088">
        <v>57472012426.685303</v>
      </c>
      <c r="L2088">
        <v>14198.753959474399</v>
      </c>
      <c r="M2088">
        <v>0.15481137456202801</v>
      </c>
      <c r="N2088">
        <v>-8.5803430210621805</v>
      </c>
      <c r="O2088">
        <v>38.06</v>
      </c>
      <c r="P2088">
        <v>762.00199999999995</v>
      </c>
      <c r="Q2088">
        <v>34</v>
      </c>
      <c r="R2088">
        <v>13.55</v>
      </c>
    </row>
    <row r="2089" spans="1:18" x14ac:dyDescent="0.25">
      <c r="A2089" s="1" t="s">
        <v>195</v>
      </c>
      <c r="B2089" s="2" t="s">
        <v>209</v>
      </c>
      <c r="C2089" s="19">
        <v>42</v>
      </c>
      <c r="D2089" s="3" t="s">
        <v>496</v>
      </c>
      <c r="E2089" s="3" t="s">
        <v>18</v>
      </c>
      <c r="F2089" s="23">
        <v>115380</v>
      </c>
      <c r="G2089" s="15">
        <v>2010</v>
      </c>
      <c r="H2089" s="15">
        <f>Table_7[[#This Row],[Listing Price (USD)]]/10000</f>
        <v>11.538</v>
      </c>
      <c r="I2089" s="28">
        <f>Table_7[[#This Row],[Length 
(ft)]]</f>
        <v>42</v>
      </c>
      <c r="J2089" s="28">
        <f>2020-Table_7[[#This Row],[Year]]</f>
        <v>10</v>
      </c>
      <c r="K2089">
        <v>188925995936.80701</v>
      </c>
      <c r="L2089">
        <v>17658.947301119199</v>
      </c>
      <c r="M2089">
        <v>-1.2479835558140799</v>
      </c>
      <c r="N2089">
        <v>-9.0040436420214593</v>
      </c>
      <c r="O2089">
        <v>38.06</v>
      </c>
      <c r="P2089">
        <v>762.00199999999995</v>
      </c>
      <c r="Q2089">
        <v>34</v>
      </c>
      <c r="R2089">
        <v>13.55</v>
      </c>
    </row>
    <row r="2090" spans="1:18" x14ac:dyDescent="0.25">
      <c r="A2090" s="1" t="s">
        <v>195</v>
      </c>
      <c r="B2090" s="2" t="s">
        <v>209</v>
      </c>
      <c r="C2090" s="19">
        <v>42</v>
      </c>
      <c r="D2090" s="3" t="s">
        <v>496</v>
      </c>
      <c r="E2090" s="3" t="s">
        <v>24</v>
      </c>
      <c r="F2090" s="23">
        <v>119024</v>
      </c>
      <c r="G2090" s="15">
        <v>2009</v>
      </c>
      <c r="H2090" s="15">
        <f>Table_7[[#This Row],[Listing Price (USD)]]/10000</f>
        <v>11.9024</v>
      </c>
      <c r="I2090" s="28">
        <f>Table_7[[#This Row],[Length 
(ft)]]</f>
        <v>42</v>
      </c>
      <c r="J2090" s="28">
        <f>2020-Table_7[[#This Row],[Year]]</f>
        <v>11</v>
      </c>
      <c r="K2090">
        <v>1896755301518.1399</v>
      </c>
      <c r="L2090">
        <v>31911.0357890017</v>
      </c>
      <c r="M2090">
        <v>-0.13770757391656999</v>
      </c>
      <c r="N2090">
        <v>-9.0399534112288507</v>
      </c>
      <c r="O2090">
        <v>38.06</v>
      </c>
      <c r="P2090">
        <v>762.00199999999995</v>
      </c>
      <c r="Q2090">
        <v>34</v>
      </c>
      <c r="R2090">
        <v>13.55</v>
      </c>
    </row>
    <row r="2091" spans="1:18" x14ac:dyDescent="0.25">
      <c r="A2091" s="1" t="s">
        <v>195</v>
      </c>
      <c r="B2091" s="2" t="s">
        <v>209</v>
      </c>
      <c r="C2091" s="19">
        <v>42</v>
      </c>
      <c r="D2091" s="3" t="s">
        <v>496</v>
      </c>
      <c r="E2091" s="3" t="s">
        <v>24</v>
      </c>
      <c r="F2091" s="23">
        <v>121440</v>
      </c>
      <c r="G2091" s="15">
        <v>2007</v>
      </c>
      <c r="H2091" s="15">
        <f>Table_7[[#This Row],[Listing Price (USD)]]/10000</f>
        <v>12.144</v>
      </c>
      <c r="I2091" s="28">
        <f>Table_7[[#This Row],[Length 
(ft)]]</f>
        <v>42</v>
      </c>
      <c r="J2091" s="28">
        <f>2020-Table_7[[#This Row],[Year]]</f>
        <v>13</v>
      </c>
      <c r="K2091">
        <v>1896755301518.1399</v>
      </c>
      <c r="L2091">
        <v>31911.0357890017</v>
      </c>
      <c r="M2091">
        <v>-0.13770757391656999</v>
      </c>
      <c r="N2091">
        <v>-9.0399534112288507</v>
      </c>
      <c r="O2091">
        <v>38.06</v>
      </c>
      <c r="P2091">
        <v>762.00199999999995</v>
      </c>
      <c r="Q2091">
        <v>34</v>
      </c>
      <c r="R2091">
        <v>13.55</v>
      </c>
    </row>
    <row r="2092" spans="1:18" x14ac:dyDescent="0.25">
      <c r="A2092" s="1" t="s">
        <v>195</v>
      </c>
      <c r="B2092" s="3" t="s">
        <v>209</v>
      </c>
      <c r="C2092" s="19">
        <v>42</v>
      </c>
      <c r="D2092" s="3" t="s">
        <v>497</v>
      </c>
      <c r="E2092" s="3" t="s">
        <v>525</v>
      </c>
      <c r="F2092" s="23">
        <v>129000</v>
      </c>
      <c r="G2092" s="15">
        <v>2009</v>
      </c>
      <c r="H2092" s="15">
        <f>Table_7[[#This Row],[Listing Price (USD)]]/10000</f>
        <v>12.9</v>
      </c>
      <c r="I2092" s="28">
        <f>Table_7[[#This Row],[Length 
(ft)]]</f>
        <v>42</v>
      </c>
      <c r="J2092" s="28">
        <f>2020-Table_7[[#This Row],[Year]]</f>
        <v>11</v>
      </c>
      <c r="K2092">
        <v>4200000000</v>
      </c>
      <c r="L2092">
        <v>39553.199999999997</v>
      </c>
      <c r="M2092">
        <v>4.0999999999999996</v>
      </c>
      <c r="N2092">
        <v>-2.1</v>
      </c>
      <c r="O2092">
        <v>38.06</v>
      </c>
      <c r="P2092">
        <v>762.00199999999995</v>
      </c>
      <c r="Q2092">
        <v>34</v>
      </c>
      <c r="R2092">
        <v>13.55</v>
      </c>
    </row>
    <row r="2093" spans="1:18" x14ac:dyDescent="0.25">
      <c r="A2093" s="1" t="s">
        <v>195</v>
      </c>
      <c r="B2093" s="2" t="s">
        <v>209</v>
      </c>
      <c r="C2093" s="19">
        <v>42</v>
      </c>
      <c r="D2093" s="3" t="s">
        <v>496</v>
      </c>
      <c r="E2093" s="3" t="s">
        <v>24</v>
      </c>
      <c r="F2093" s="23">
        <v>133651</v>
      </c>
      <c r="G2093" s="15">
        <v>2009</v>
      </c>
      <c r="H2093" s="15">
        <f>Table_7[[#This Row],[Listing Price (USD)]]/10000</f>
        <v>13.3651</v>
      </c>
      <c r="I2093" s="28">
        <f>Table_7[[#This Row],[Length 
(ft)]]</f>
        <v>42</v>
      </c>
      <c r="J2093" s="28">
        <f>2020-Table_7[[#This Row],[Year]]</f>
        <v>11</v>
      </c>
      <c r="K2093">
        <v>1896755301518.1399</v>
      </c>
      <c r="L2093">
        <v>31911.0357890017</v>
      </c>
      <c r="M2093">
        <v>-0.13770757391656999</v>
      </c>
      <c r="N2093">
        <v>-9.0399534112288507</v>
      </c>
      <c r="O2093">
        <v>38.06</v>
      </c>
      <c r="P2093">
        <v>762.00199999999995</v>
      </c>
      <c r="Q2093">
        <v>34</v>
      </c>
      <c r="R2093">
        <v>13.55</v>
      </c>
    </row>
    <row r="2094" spans="1:18" x14ac:dyDescent="0.25">
      <c r="A2094" s="1" t="s">
        <v>195</v>
      </c>
      <c r="B2094" s="2" t="s">
        <v>209</v>
      </c>
      <c r="C2094" s="19">
        <v>42</v>
      </c>
      <c r="D2094" s="3" t="s">
        <v>496</v>
      </c>
      <c r="E2094" s="3" t="s">
        <v>24</v>
      </c>
      <c r="F2094" s="23">
        <v>138511</v>
      </c>
      <c r="G2094" s="15">
        <v>2008</v>
      </c>
      <c r="H2094" s="15">
        <f>Table_7[[#This Row],[Listing Price (USD)]]/10000</f>
        <v>13.851100000000001</v>
      </c>
      <c r="I2094" s="28">
        <f>Table_7[[#This Row],[Length 
(ft)]]</f>
        <v>42</v>
      </c>
      <c r="J2094" s="28">
        <f>2020-Table_7[[#This Row],[Year]]</f>
        <v>12</v>
      </c>
      <c r="K2094">
        <v>1896755301518.1399</v>
      </c>
      <c r="L2094">
        <v>31911.0357890017</v>
      </c>
      <c r="M2094">
        <v>-0.13770757391656999</v>
      </c>
      <c r="N2094">
        <v>-9.0399534112288507</v>
      </c>
      <c r="O2094">
        <v>38.06</v>
      </c>
      <c r="P2094">
        <v>762.00199999999995</v>
      </c>
      <c r="Q2094">
        <v>34</v>
      </c>
      <c r="R2094">
        <v>13.55</v>
      </c>
    </row>
    <row r="2095" spans="1:18" x14ac:dyDescent="0.25">
      <c r="A2095" s="1" t="s">
        <v>195</v>
      </c>
      <c r="B2095" s="2" t="s">
        <v>209</v>
      </c>
      <c r="C2095" s="19">
        <v>42</v>
      </c>
      <c r="D2095" s="3" t="s">
        <v>496</v>
      </c>
      <c r="E2095" s="3" t="s">
        <v>24</v>
      </c>
      <c r="F2095" s="23">
        <v>139671</v>
      </c>
      <c r="G2095" s="15">
        <v>2007</v>
      </c>
      <c r="H2095" s="15">
        <f>Table_7[[#This Row],[Listing Price (USD)]]/10000</f>
        <v>13.9671</v>
      </c>
      <c r="I2095" s="28">
        <f>Table_7[[#This Row],[Length 
(ft)]]</f>
        <v>42</v>
      </c>
      <c r="J2095" s="28">
        <f>2020-Table_7[[#This Row],[Year]]</f>
        <v>13</v>
      </c>
      <c r="K2095">
        <v>1896755301518.1399</v>
      </c>
      <c r="L2095">
        <v>31911.0357890017</v>
      </c>
      <c r="M2095">
        <v>-0.13770757391656999</v>
      </c>
      <c r="N2095">
        <v>-9.0399534112288507</v>
      </c>
      <c r="O2095">
        <v>38.06</v>
      </c>
      <c r="P2095">
        <v>762.00199999999995</v>
      </c>
      <c r="Q2095">
        <v>34</v>
      </c>
      <c r="R2095">
        <v>13.55</v>
      </c>
    </row>
    <row r="2096" spans="1:18" x14ac:dyDescent="0.25">
      <c r="A2096" s="1" t="s">
        <v>195</v>
      </c>
      <c r="B2096" s="2" t="s">
        <v>209</v>
      </c>
      <c r="C2096" s="19">
        <v>42</v>
      </c>
      <c r="D2096" s="3" t="s">
        <v>496</v>
      </c>
      <c r="E2096" s="3" t="s">
        <v>24</v>
      </c>
      <c r="F2096" s="23">
        <v>145744</v>
      </c>
      <c r="G2096" s="15">
        <v>2011</v>
      </c>
      <c r="H2096" s="15">
        <f>Table_7[[#This Row],[Listing Price (USD)]]/10000</f>
        <v>14.574400000000001</v>
      </c>
      <c r="I2096" s="28">
        <f>Table_7[[#This Row],[Length 
(ft)]]</f>
        <v>42</v>
      </c>
      <c r="J2096" s="28">
        <f>2020-Table_7[[#This Row],[Year]]</f>
        <v>9</v>
      </c>
      <c r="K2096">
        <v>1896755301518.1399</v>
      </c>
      <c r="L2096">
        <v>31911.0357890017</v>
      </c>
      <c r="M2096">
        <v>-0.13770757391656999</v>
      </c>
      <c r="N2096">
        <v>-9.0399534112288507</v>
      </c>
      <c r="O2096">
        <v>38.06</v>
      </c>
      <c r="P2096">
        <v>762.00199999999995</v>
      </c>
      <c r="Q2096">
        <v>34</v>
      </c>
      <c r="R2096">
        <v>13.55</v>
      </c>
    </row>
    <row r="2097" spans="1:18" x14ac:dyDescent="0.25">
      <c r="A2097" s="1" t="s">
        <v>195</v>
      </c>
      <c r="B2097" s="2" t="s">
        <v>209</v>
      </c>
      <c r="C2097" s="19">
        <v>42</v>
      </c>
      <c r="D2097" s="3" t="s">
        <v>496</v>
      </c>
      <c r="E2097" s="3" t="s">
        <v>24</v>
      </c>
      <c r="F2097" s="23">
        <v>145801</v>
      </c>
      <c r="G2097" s="15">
        <v>2011</v>
      </c>
      <c r="H2097" s="15">
        <f>Table_7[[#This Row],[Listing Price (USD)]]/10000</f>
        <v>14.5801</v>
      </c>
      <c r="I2097" s="28">
        <f>Table_7[[#This Row],[Length 
(ft)]]</f>
        <v>42</v>
      </c>
      <c r="J2097" s="28">
        <f>2020-Table_7[[#This Row],[Year]]</f>
        <v>9</v>
      </c>
      <c r="K2097">
        <v>1896755301518.1399</v>
      </c>
      <c r="L2097">
        <v>31911.0357890017</v>
      </c>
      <c r="M2097">
        <v>-0.13770757391656999</v>
      </c>
      <c r="N2097">
        <v>-9.0399534112288507</v>
      </c>
      <c r="O2097">
        <v>38.06</v>
      </c>
      <c r="P2097">
        <v>762.00199999999995</v>
      </c>
      <c r="Q2097">
        <v>34</v>
      </c>
      <c r="R2097">
        <v>13.55</v>
      </c>
    </row>
    <row r="2098" spans="1:18" x14ac:dyDescent="0.25">
      <c r="A2098" s="1" t="s">
        <v>195</v>
      </c>
      <c r="B2098" s="2" t="s">
        <v>209</v>
      </c>
      <c r="C2098" s="19">
        <v>42</v>
      </c>
      <c r="D2098" s="3" t="s">
        <v>496</v>
      </c>
      <c r="E2098" s="3" t="s">
        <v>24</v>
      </c>
      <c r="F2098" s="23">
        <v>155460</v>
      </c>
      <c r="G2098" s="15">
        <v>2009</v>
      </c>
      <c r="H2098" s="15">
        <f>Table_7[[#This Row],[Listing Price (USD)]]/10000</f>
        <v>15.545999999999999</v>
      </c>
      <c r="I2098" s="28">
        <f>Table_7[[#This Row],[Length 
(ft)]]</f>
        <v>42</v>
      </c>
      <c r="J2098" s="28">
        <f>2020-Table_7[[#This Row],[Year]]</f>
        <v>11</v>
      </c>
      <c r="K2098">
        <v>1896755301518.1399</v>
      </c>
      <c r="L2098">
        <v>31911.0357890017</v>
      </c>
      <c r="M2098">
        <v>-0.13770757391656999</v>
      </c>
      <c r="N2098">
        <v>-9.0399534112288507</v>
      </c>
      <c r="O2098">
        <v>38.06</v>
      </c>
      <c r="P2098">
        <v>762.00199999999995</v>
      </c>
      <c r="Q2098">
        <v>34</v>
      </c>
      <c r="R2098">
        <v>13.55</v>
      </c>
    </row>
    <row r="2099" spans="1:18" x14ac:dyDescent="0.25">
      <c r="A2099" s="1" t="s">
        <v>195</v>
      </c>
      <c r="B2099" s="2" t="s">
        <v>209</v>
      </c>
      <c r="C2099" s="19">
        <v>42</v>
      </c>
      <c r="D2099" s="3" t="s">
        <v>496</v>
      </c>
      <c r="E2099" s="3" t="s">
        <v>124</v>
      </c>
      <c r="F2099" s="23">
        <v>160340</v>
      </c>
      <c r="G2099" s="15">
        <v>2007</v>
      </c>
      <c r="H2099" s="15">
        <f>Table_7[[#This Row],[Listing Price (USD)]]/10000</f>
        <v>16.033999999999999</v>
      </c>
      <c r="I2099" s="28">
        <f>Table_7[[#This Row],[Length 
(ft)]]</f>
        <v>42</v>
      </c>
      <c r="J2099" s="28">
        <f>2020-Table_7[[#This Row],[Year]]</f>
        <v>13</v>
      </c>
      <c r="K2099">
        <v>547054174235.87598</v>
      </c>
      <c r="L2099">
        <v>52837.903977814902</v>
      </c>
      <c r="M2099">
        <v>0.497367318853562</v>
      </c>
      <c r="N2099">
        <v>-2.1702131788587198</v>
      </c>
      <c r="O2099">
        <v>38.06</v>
      </c>
      <c r="P2099">
        <v>762.00199999999995</v>
      </c>
      <c r="Q2099">
        <v>34</v>
      </c>
      <c r="R2099">
        <v>13.55</v>
      </c>
    </row>
    <row r="2100" spans="1:18" x14ac:dyDescent="0.25">
      <c r="A2100" s="1" t="s">
        <v>195</v>
      </c>
      <c r="B2100" s="3" t="s">
        <v>209</v>
      </c>
      <c r="C2100" s="19">
        <v>42</v>
      </c>
      <c r="D2100" s="3" t="s">
        <v>495</v>
      </c>
      <c r="E2100" s="3" t="s">
        <v>333</v>
      </c>
      <c r="F2100" s="23">
        <v>168717</v>
      </c>
      <c r="G2100" s="15">
        <v>2007</v>
      </c>
      <c r="H2100" s="15">
        <f>Table_7[[#This Row],[Listing Price (USD)]]/10000</f>
        <v>16.871700000000001</v>
      </c>
      <c r="I2100" s="28">
        <f>Table_7[[#This Row],[Length 
(ft)]]</f>
        <v>42</v>
      </c>
      <c r="J2100" s="28">
        <f>2020-Table_7[[#This Row],[Year]]</f>
        <v>13</v>
      </c>
      <c r="K2100">
        <v>1106036000000</v>
      </c>
      <c r="L2100">
        <v>51276.72</v>
      </c>
      <c r="M2100">
        <v>1.23</v>
      </c>
      <c r="N2100">
        <v>2.9</v>
      </c>
      <c r="O2100">
        <v>38.06</v>
      </c>
      <c r="P2100">
        <v>762.00199999999995</v>
      </c>
      <c r="Q2100">
        <v>34</v>
      </c>
      <c r="R2100">
        <v>13.55</v>
      </c>
    </row>
    <row r="2101" spans="1:18" x14ac:dyDescent="0.25">
      <c r="A2101" s="1" t="s">
        <v>195</v>
      </c>
      <c r="B2101" s="2" t="s">
        <v>209</v>
      </c>
      <c r="C2101" s="19">
        <v>42</v>
      </c>
      <c r="D2101" s="3" t="s">
        <v>496</v>
      </c>
      <c r="E2101" s="3" t="s">
        <v>24</v>
      </c>
      <c r="F2101" s="23">
        <v>178606</v>
      </c>
      <c r="G2101" s="15">
        <v>2008</v>
      </c>
      <c r="H2101" s="15">
        <f>Table_7[[#This Row],[Listing Price (USD)]]/10000</f>
        <v>17.860600000000002</v>
      </c>
      <c r="I2101" s="28">
        <f>Table_7[[#This Row],[Length 
(ft)]]</f>
        <v>42</v>
      </c>
      <c r="J2101" s="28">
        <f>2020-Table_7[[#This Row],[Year]]</f>
        <v>12</v>
      </c>
      <c r="K2101">
        <v>1896755301518.1399</v>
      </c>
      <c r="L2101">
        <v>31911.0357890017</v>
      </c>
      <c r="M2101">
        <v>-0.13770757391656999</v>
      </c>
      <c r="N2101">
        <v>-9.0399534112288507</v>
      </c>
      <c r="O2101">
        <v>38.06</v>
      </c>
      <c r="P2101">
        <v>762.00199999999995</v>
      </c>
      <c r="Q2101">
        <v>34</v>
      </c>
      <c r="R2101">
        <v>13.55</v>
      </c>
    </row>
    <row r="2102" spans="1:18" x14ac:dyDescent="0.25">
      <c r="A2102" s="1" t="s">
        <v>195</v>
      </c>
      <c r="B2102" s="2" t="s">
        <v>209</v>
      </c>
      <c r="C2102" s="19">
        <v>42</v>
      </c>
      <c r="D2102" s="3" t="s">
        <v>496</v>
      </c>
      <c r="E2102" s="3" t="s">
        <v>18</v>
      </c>
      <c r="F2102" s="23">
        <v>200398</v>
      </c>
      <c r="G2102" s="15">
        <v>2007</v>
      </c>
      <c r="H2102" s="15">
        <f>Table_7[[#This Row],[Listing Price (USD)]]/10000</f>
        <v>20.0398</v>
      </c>
      <c r="I2102" s="28">
        <f>Table_7[[#This Row],[Length 
(ft)]]</f>
        <v>42</v>
      </c>
      <c r="J2102" s="28">
        <f>2020-Table_7[[#This Row],[Year]]</f>
        <v>13</v>
      </c>
      <c r="K2102">
        <v>188925995936.80701</v>
      </c>
      <c r="L2102">
        <v>17658.947301119199</v>
      </c>
      <c r="M2102">
        <v>-1.2479835558140799</v>
      </c>
      <c r="N2102">
        <v>-9.0040436420214593</v>
      </c>
      <c r="O2102">
        <v>38.06</v>
      </c>
      <c r="P2102">
        <v>762.00199999999995</v>
      </c>
      <c r="Q2102">
        <v>34</v>
      </c>
      <c r="R2102">
        <v>13.55</v>
      </c>
    </row>
    <row r="2103" spans="1:18" x14ac:dyDescent="0.25">
      <c r="A2103" s="1" t="s">
        <v>195</v>
      </c>
      <c r="B2103" s="2" t="s">
        <v>212</v>
      </c>
      <c r="C2103" s="19">
        <v>42</v>
      </c>
      <c r="D2103" s="3" t="s">
        <v>496</v>
      </c>
      <c r="E2103" s="3" t="s">
        <v>24</v>
      </c>
      <c r="F2103" s="23">
        <v>145744</v>
      </c>
      <c r="G2103" s="15">
        <v>2008</v>
      </c>
      <c r="H2103" s="15">
        <f>Table_7[[#This Row],[Listing Price (USD)]]/10000</f>
        <v>14.574400000000001</v>
      </c>
      <c r="I2103" s="28">
        <f>Table_7[[#This Row],[Length 
(ft)]]</f>
        <v>42</v>
      </c>
      <c r="J2103" s="28">
        <f>2020-Table_7[[#This Row],[Year]]</f>
        <v>12</v>
      </c>
      <c r="K2103">
        <v>1896755301518.1399</v>
      </c>
      <c r="L2103">
        <v>31911.0357890017</v>
      </c>
      <c r="M2103">
        <v>-0.13770757391656999</v>
      </c>
      <c r="N2103">
        <v>-9.0399534112288507</v>
      </c>
      <c r="O2103">
        <v>38.06</v>
      </c>
      <c r="P2103">
        <v>762.00199999999995</v>
      </c>
      <c r="Q2103">
        <v>34</v>
      </c>
      <c r="R2103">
        <v>13.55</v>
      </c>
    </row>
    <row r="2104" spans="1:18" x14ac:dyDescent="0.25">
      <c r="A2104" s="1" t="s">
        <v>195</v>
      </c>
      <c r="B2104" s="2" t="s">
        <v>212</v>
      </c>
      <c r="C2104" s="19">
        <v>42</v>
      </c>
      <c r="D2104" s="3" t="s">
        <v>496</v>
      </c>
      <c r="E2104" s="3" t="s">
        <v>24</v>
      </c>
      <c r="F2104" s="23">
        <v>151837</v>
      </c>
      <c r="G2104" s="15">
        <v>2008</v>
      </c>
      <c r="H2104" s="15">
        <f>Table_7[[#This Row],[Listing Price (USD)]]/10000</f>
        <v>15.1837</v>
      </c>
      <c r="I2104" s="28">
        <f>Table_7[[#This Row],[Length 
(ft)]]</f>
        <v>42</v>
      </c>
      <c r="J2104" s="28">
        <f>2020-Table_7[[#This Row],[Year]]</f>
        <v>12</v>
      </c>
      <c r="K2104">
        <v>1896755301518.1399</v>
      </c>
      <c r="L2104">
        <v>31911.0357890017</v>
      </c>
      <c r="M2104">
        <v>-0.13770757391656999</v>
      </c>
      <c r="N2104">
        <v>-9.0399534112288507</v>
      </c>
      <c r="O2104">
        <v>38.06</v>
      </c>
      <c r="P2104">
        <v>762.00199999999995</v>
      </c>
      <c r="Q2104">
        <v>34</v>
      </c>
      <c r="R2104">
        <v>13.55</v>
      </c>
    </row>
    <row r="2105" spans="1:18" x14ac:dyDescent="0.25">
      <c r="A2105" s="1" t="s">
        <v>117</v>
      </c>
      <c r="B2105" s="2" t="s">
        <v>120</v>
      </c>
      <c r="C2105" s="19">
        <v>44</v>
      </c>
      <c r="D2105" s="3" t="s">
        <v>496</v>
      </c>
      <c r="E2105" s="3" t="s">
        <v>9</v>
      </c>
      <c r="F2105" s="23">
        <v>108108</v>
      </c>
      <c r="G2105" s="15">
        <v>2015</v>
      </c>
      <c r="H2105" s="15">
        <f>Table_7[[#This Row],[Listing Price (USD)]]/10000</f>
        <v>10.8108</v>
      </c>
      <c r="I2105" s="28">
        <f>Table_7[[#This Row],[Length 
(ft)]]</f>
        <v>44</v>
      </c>
      <c r="J2105" s="28">
        <f>2020-Table_7[[#This Row],[Year]]</f>
        <v>5</v>
      </c>
      <c r="K2105">
        <v>1276962685648.25</v>
      </c>
      <c r="L2105">
        <v>26959.675436732599</v>
      </c>
      <c r="M2105">
        <v>-0.32275301729970501</v>
      </c>
      <c r="N2105">
        <v>-11.3254383222864</v>
      </c>
      <c r="O2105">
        <v>39.369999999999997</v>
      </c>
      <c r="P2105">
        <v>1129.002</v>
      </c>
      <c r="Q2105">
        <v>32</v>
      </c>
      <c r="R2105">
        <v>13.65</v>
      </c>
    </row>
    <row r="2106" spans="1:18" x14ac:dyDescent="0.25">
      <c r="A2106" s="1" t="s">
        <v>187</v>
      </c>
      <c r="B2106" s="3">
        <v>41</v>
      </c>
      <c r="C2106" s="19">
        <v>40</v>
      </c>
      <c r="D2106" s="3" t="s">
        <v>495</v>
      </c>
      <c r="E2106" s="3" t="s">
        <v>500</v>
      </c>
      <c r="F2106" s="23">
        <v>120000</v>
      </c>
      <c r="G2106" s="15">
        <v>2006</v>
      </c>
      <c r="H2106" s="15">
        <f>Table_7[[#This Row],[Listing Price (USD)]]/10000</f>
        <v>12</v>
      </c>
      <c r="I2106" s="28">
        <f>Table_7[[#This Row],[Length 
(ft)]]</f>
        <v>40</v>
      </c>
      <c r="J2106" s="28">
        <f>2020-Table_7[[#This Row],[Year]]</f>
        <v>14</v>
      </c>
      <c r="K2106">
        <v>3007188000000</v>
      </c>
      <c r="L2106">
        <v>76131.839999999997</v>
      </c>
      <c r="M2106">
        <v>1.23</v>
      </c>
      <c r="N2106">
        <v>2.7</v>
      </c>
      <c r="O2106">
        <v>37.729999999999997</v>
      </c>
      <c r="P2106">
        <v>990</v>
      </c>
      <c r="Q2106">
        <v>29</v>
      </c>
      <c r="R2106">
        <v>12.89</v>
      </c>
    </row>
    <row r="2107" spans="1:18" x14ac:dyDescent="0.25">
      <c r="A2107" s="1" t="s">
        <v>117</v>
      </c>
      <c r="B2107" s="2">
        <v>41</v>
      </c>
      <c r="C2107" s="19">
        <v>40</v>
      </c>
      <c r="D2107" s="3" t="s">
        <v>496</v>
      </c>
      <c r="E2107" s="3" t="s">
        <v>3</v>
      </c>
      <c r="F2107" s="23">
        <v>193137</v>
      </c>
      <c r="G2107" s="15">
        <v>2012</v>
      </c>
      <c r="H2107" s="15">
        <f>Table_7[[#This Row],[Listing Price (USD)]]/10000</f>
        <v>19.313700000000001</v>
      </c>
      <c r="I2107" s="28">
        <f>Table_7[[#This Row],[Length 
(ft)]]</f>
        <v>40</v>
      </c>
      <c r="J2107" s="28">
        <f>2020-Table_7[[#This Row],[Year]]</f>
        <v>8</v>
      </c>
      <c r="K2107">
        <v>2639008701648.2598</v>
      </c>
      <c r="L2107">
        <v>39055.282928075401</v>
      </c>
      <c r="M2107">
        <v>0.47649885272508302</v>
      </c>
      <c r="N2107">
        <v>-7.7845864916787102</v>
      </c>
      <c r="O2107">
        <v>37.729999999999997</v>
      </c>
      <c r="P2107">
        <v>990</v>
      </c>
      <c r="Q2107">
        <v>29</v>
      </c>
      <c r="R2107">
        <v>12.89</v>
      </c>
    </row>
    <row r="2108" spans="1:18" x14ac:dyDescent="0.25">
      <c r="A2108" s="1" t="s">
        <v>117</v>
      </c>
      <c r="B2108" s="2">
        <v>41</v>
      </c>
      <c r="C2108" s="19">
        <v>40</v>
      </c>
      <c r="D2108" s="3" t="s">
        <v>496</v>
      </c>
      <c r="E2108" s="3" t="s">
        <v>19</v>
      </c>
      <c r="F2108" s="23">
        <v>199823</v>
      </c>
      <c r="G2108" s="15">
        <v>2012</v>
      </c>
      <c r="H2108" s="15">
        <f>Table_7[[#This Row],[Listing Price (USD)]]/10000</f>
        <v>19.982299999999999</v>
      </c>
      <c r="I2108" s="28">
        <f>Table_7[[#This Row],[Length 
(ft)]]</f>
        <v>40</v>
      </c>
      <c r="J2108" s="28">
        <f>2020-Table_7[[#This Row],[Year]]</f>
        <v>8</v>
      </c>
      <c r="K2108">
        <v>4200000000</v>
      </c>
      <c r="L2108">
        <v>39553.199999999997</v>
      </c>
      <c r="M2108">
        <v>4.0999999999999996</v>
      </c>
      <c r="N2108">
        <v>-2.1</v>
      </c>
      <c r="O2108">
        <v>37.729999999999997</v>
      </c>
      <c r="P2108">
        <v>990</v>
      </c>
      <c r="Q2108">
        <v>29</v>
      </c>
      <c r="R2108">
        <v>12.89</v>
      </c>
    </row>
    <row r="2109" spans="1:18" x14ac:dyDescent="0.25">
      <c r="A2109" s="1" t="s">
        <v>117</v>
      </c>
      <c r="B2109" s="2">
        <v>41</v>
      </c>
      <c r="C2109" s="19">
        <v>40</v>
      </c>
      <c r="D2109" s="3" t="s">
        <v>496</v>
      </c>
      <c r="E2109" s="3" t="s">
        <v>516</v>
      </c>
      <c r="F2109" s="23">
        <v>206377</v>
      </c>
      <c r="G2109" s="15">
        <v>2011</v>
      </c>
      <c r="H2109" s="15">
        <f>Table_7[[#This Row],[Listing Price (USD)]]/10000</f>
        <v>20.637699999999999</v>
      </c>
      <c r="I2109" s="28">
        <f>Table_7[[#This Row],[Length 
(ft)]]</f>
        <v>40</v>
      </c>
      <c r="J2109" s="28">
        <f>2020-Table_7[[#This Row],[Year]]</f>
        <v>9</v>
      </c>
      <c r="K2109">
        <v>909793466661.48096</v>
      </c>
      <c r="L2109">
        <v>52162.570115040602</v>
      </c>
      <c r="M2109">
        <v>1.2724603778917001</v>
      </c>
      <c r="N2109">
        <v>-3.88608391819609</v>
      </c>
      <c r="O2109">
        <v>37.729999999999997</v>
      </c>
      <c r="P2109">
        <v>990</v>
      </c>
      <c r="Q2109">
        <v>29</v>
      </c>
      <c r="R2109">
        <v>12.89</v>
      </c>
    </row>
    <row r="2110" spans="1:18" x14ac:dyDescent="0.25">
      <c r="A2110" s="1" t="s">
        <v>304</v>
      </c>
      <c r="B2110" s="2">
        <v>41</v>
      </c>
      <c r="C2110" s="19">
        <v>41</v>
      </c>
      <c r="D2110" s="3" t="s">
        <v>496</v>
      </c>
      <c r="E2110" s="3" t="s">
        <v>31</v>
      </c>
      <c r="F2110" s="23">
        <v>206470</v>
      </c>
      <c r="G2110" s="15">
        <v>2007</v>
      </c>
      <c r="H2110" s="15">
        <f>Table_7[[#This Row],[Listing Price (USD)]]/10000</f>
        <v>20.646999999999998</v>
      </c>
      <c r="I2110" s="28">
        <f>Table_7[[#This Row],[Length 
(ft)]]</f>
        <v>41</v>
      </c>
      <c r="J2110" s="28">
        <f>2020-Table_7[[#This Row],[Year]]</f>
        <v>13</v>
      </c>
      <c r="K2110">
        <v>57472012426.685303</v>
      </c>
      <c r="L2110">
        <v>14198.753959474399</v>
      </c>
      <c r="M2110">
        <v>0.15481137456202801</v>
      </c>
      <c r="N2110">
        <v>-8.5803430210621805</v>
      </c>
      <c r="O2110">
        <v>37.729999999999997</v>
      </c>
      <c r="P2110">
        <v>990</v>
      </c>
      <c r="Q2110">
        <v>29</v>
      </c>
      <c r="R2110">
        <v>12.89</v>
      </c>
    </row>
    <row r="2111" spans="1:18" x14ac:dyDescent="0.25">
      <c r="A2111" s="1" t="s">
        <v>117</v>
      </c>
      <c r="B2111" s="2">
        <v>41</v>
      </c>
      <c r="C2111" s="19">
        <v>40</v>
      </c>
      <c r="D2111" s="3" t="s">
        <v>496</v>
      </c>
      <c r="E2111" s="3" t="s">
        <v>19</v>
      </c>
      <c r="F2111" s="23">
        <v>219832</v>
      </c>
      <c r="G2111" s="15">
        <v>2013</v>
      </c>
      <c r="H2111" s="15">
        <f>Table_7[[#This Row],[Listing Price (USD)]]/10000</f>
        <v>21.9832</v>
      </c>
      <c r="I2111" s="28">
        <f>Table_7[[#This Row],[Length 
(ft)]]</f>
        <v>40</v>
      </c>
      <c r="J2111" s="28">
        <f>2020-Table_7[[#This Row],[Year]]</f>
        <v>7</v>
      </c>
      <c r="K2111">
        <v>4200000000</v>
      </c>
      <c r="L2111">
        <v>39553.199999999997</v>
      </c>
      <c r="M2111">
        <v>4.0999999999999996</v>
      </c>
      <c r="N2111">
        <v>-2.1</v>
      </c>
      <c r="O2111">
        <v>37.729999999999997</v>
      </c>
      <c r="P2111">
        <v>990</v>
      </c>
      <c r="Q2111">
        <v>29</v>
      </c>
      <c r="R2111">
        <v>12.89</v>
      </c>
    </row>
    <row r="2112" spans="1:18" x14ac:dyDescent="0.25">
      <c r="A2112" s="1" t="s">
        <v>304</v>
      </c>
      <c r="B2112" s="2">
        <v>41</v>
      </c>
      <c r="C2112" s="19">
        <v>41</v>
      </c>
      <c r="D2112" s="3" t="s">
        <v>496</v>
      </c>
      <c r="E2112" s="3" t="s">
        <v>31</v>
      </c>
      <c r="F2112" s="23">
        <v>224776</v>
      </c>
      <c r="G2112" s="15">
        <v>2007</v>
      </c>
      <c r="H2112" s="15">
        <f>Table_7[[#This Row],[Listing Price (USD)]]/10000</f>
        <v>22.477599999999999</v>
      </c>
      <c r="I2112" s="28">
        <f>Table_7[[#This Row],[Length 
(ft)]]</f>
        <v>41</v>
      </c>
      <c r="J2112" s="28">
        <f>2020-Table_7[[#This Row],[Year]]</f>
        <v>13</v>
      </c>
      <c r="K2112">
        <v>57472012426.685303</v>
      </c>
      <c r="L2112">
        <v>14198.753959474399</v>
      </c>
      <c r="M2112">
        <v>0.15481137456202801</v>
      </c>
      <c r="N2112">
        <v>-8.5803430210621805</v>
      </c>
      <c r="O2112">
        <v>37.729999999999997</v>
      </c>
      <c r="P2112">
        <v>990</v>
      </c>
      <c r="Q2112">
        <v>29</v>
      </c>
      <c r="R2112">
        <v>12.89</v>
      </c>
    </row>
    <row r="2113" spans="1:18" x14ac:dyDescent="0.25">
      <c r="A2113" s="1" t="s">
        <v>117</v>
      </c>
      <c r="B2113" s="2" t="s">
        <v>118</v>
      </c>
      <c r="C2113" s="19">
        <v>39</v>
      </c>
      <c r="D2113" s="3" t="s">
        <v>496</v>
      </c>
      <c r="E2113" s="3" t="s">
        <v>24</v>
      </c>
      <c r="F2113" s="23">
        <v>170101</v>
      </c>
      <c r="G2113" s="15">
        <v>2010</v>
      </c>
      <c r="H2113" s="15">
        <f>Table_7[[#This Row],[Listing Price (USD)]]/10000</f>
        <v>17.010100000000001</v>
      </c>
      <c r="I2113" s="28">
        <f>Table_7[[#This Row],[Length 
(ft)]]</f>
        <v>39</v>
      </c>
      <c r="J2113" s="28">
        <f>2020-Table_7[[#This Row],[Year]]</f>
        <v>10</v>
      </c>
      <c r="K2113">
        <v>1896755301518.1399</v>
      </c>
      <c r="L2113">
        <v>31911.0357890017</v>
      </c>
      <c r="M2113">
        <v>-0.13770757391656999</v>
      </c>
      <c r="N2113">
        <v>-9.0399534112288507</v>
      </c>
      <c r="O2113">
        <v>35.11</v>
      </c>
      <c r="P2113">
        <v>947.22199999999998</v>
      </c>
      <c r="Q2113">
        <v>29</v>
      </c>
      <c r="R2113">
        <v>12.62</v>
      </c>
    </row>
    <row r="2114" spans="1:18" x14ac:dyDescent="0.25">
      <c r="A2114" s="1" t="s">
        <v>117</v>
      </c>
      <c r="B2114" s="2" t="s">
        <v>118</v>
      </c>
      <c r="C2114" s="19">
        <v>39</v>
      </c>
      <c r="D2114" s="3" t="s">
        <v>496</v>
      </c>
      <c r="E2114" s="3" t="s">
        <v>516</v>
      </c>
      <c r="F2114" s="23">
        <v>193793</v>
      </c>
      <c r="G2114" s="15">
        <v>2007</v>
      </c>
      <c r="H2114" s="15">
        <f>Table_7[[#This Row],[Listing Price (USD)]]/10000</f>
        <v>19.379300000000001</v>
      </c>
      <c r="I2114" s="28">
        <f>Table_7[[#This Row],[Length 
(ft)]]</f>
        <v>39</v>
      </c>
      <c r="J2114" s="28">
        <f>2020-Table_7[[#This Row],[Year]]</f>
        <v>13</v>
      </c>
      <c r="K2114">
        <v>909793466661.48096</v>
      </c>
      <c r="L2114">
        <v>52162.570115040602</v>
      </c>
      <c r="M2114">
        <v>1.2724603778917001</v>
      </c>
      <c r="N2114">
        <v>-3.88608391819609</v>
      </c>
      <c r="O2114">
        <v>35.11</v>
      </c>
      <c r="P2114">
        <v>947.22199999999998</v>
      </c>
      <c r="Q2114">
        <v>29</v>
      </c>
      <c r="R2114">
        <v>12.62</v>
      </c>
    </row>
    <row r="2115" spans="1:18" x14ac:dyDescent="0.25">
      <c r="A2115" s="1" t="s">
        <v>296</v>
      </c>
      <c r="B2115" s="2" t="s">
        <v>297</v>
      </c>
      <c r="C2115" s="19">
        <v>39</v>
      </c>
      <c r="D2115" s="3" t="s">
        <v>496</v>
      </c>
      <c r="E2115" s="3" t="s">
        <v>3</v>
      </c>
      <c r="F2115" s="23">
        <v>241725</v>
      </c>
      <c r="G2115" s="15">
        <v>2013</v>
      </c>
      <c r="H2115" s="15">
        <f>Table_7[[#This Row],[Listing Price (USD)]]/10000</f>
        <v>24.172499999999999</v>
      </c>
      <c r="I2115" s="28">
        <f>Table_7[[#This Row],[Length 
(ft)]]</f>
        <v>39</v>
      </c>
      <c r="J2115" s="28">
        <f>2020-Table_7[[#This Row],[Year]]</f>
        <v>7</v>
      </c>
      <c r="K2115">
        <v>2639008701648.2598</v>
      </c>
      <c r="L2115">
        <v>39055.282928075401</v>
      </c>
      <c r="M2115">
        <v>0.47649885272508302</v>
      </c>
      <c r="N2115">
        <v>-7.7845864916787102</v>
      </c>
      <c r="O2115">
        <v>36.15</v>
      </c>
      <c r="P2115">
        <v>903.00199999999995</v>
      </c>
      <c r="Q2115">
        <v>29</v>
      </c>
      <c r="R2115">
        <v>13.71</v>
      </c>
    </row>
    <row r="2116" spans="1:18" x14ac:dyDescent="0.25">
      <c r="A2116" s="1" t="s">
        <v>328</v>
      </c>
      <c r="B2116" s="3">
        <v>115</v>
      </c>
      <c r="C2116" s="19">
        <v>38</v>
      </c>
      <c r="D2116" s="3" t="s">
        <v>495</v>
      </c>
      <c r="E2116" s="3" t="s">
        <v>515</v>
      </c>
      <c r="F2116" s="23">
        <v>129000</v>
      </c>
      <c r="G2116" s="15">
        <v>2006</v>
      </c>
      <c r="H2116" s="15">
        <f>Table_7[[#This Row],[Listing Price (USD)]]/10000</f>
        <v>12.9</v>
      </c>
      <c r="I2116" s="28">
        <f>Table_7[[#This Row],[Length 
(ft)]]</f>
        <v>38</v>
      </c>
      <c r="J2116" s="28">
        <f>2020-Table_7[[#This Row],[Year]]</f>
        <v>14</v>
      </c>
      <c r="K2116">
        <v>410675000000</v>
      </c>
      <c r="L2116">
        <v>66531.03</v>
      </c>
      <c r="M2116">
        <v>1.23</v>
      </c>
      <c r="N2116">
        <v>1.8</v>
      </c>
      <c r="O2116">
        <v>33</v>
      </c>
      <c r="P2116">
        <v>781</v>
      </c>
      <c r="Q2116">
        <v>26</v>
      </c>
      <c r="R2116">
        <v>11.95</v>
      </c>
    </row>
    <row r="2117" spans="1:18" x14ac:dyDescent="0.25">
      <c r="A2117" s="1" t="s">
        <v>328</v>
      </c>
      <c r="B2117" s="3">
        <v>115</v>
      </c>
      <c r="C2117" s="19">
        <v>38</v>
      </c>
      <c r="D2117" s="3" t="s">
        <v>495</v>
      </c>
      <c r="E2117" s="3" t="s">
        <v>523</v>
      </c>
      <c r="F2117" s="23">
        <v>134900</v>
      </c>
      <c r="G2117" s="15">
        <v>2008</v>
      </c>
      <c r="H2117" s="15">
        <f>Table_7[[#This Row],[Listing Price (USD)]]/10000</f>
        <v>13.49</v>
      </c>
      <c r="I2117" s="28">
        <f>Table_7[[#This Row],[Length 
(ft)]]</f>
        <v>38</v>
      </c>
      <c r="J2117" s="28">
        <f>2020-Table_7[[#This Row],[Year]]</f>
        <v>12</v>
      </c>
      <c r="K2117">
        <v>1775588000000</v>
      </c>
      <c r="L2117">
        <v>60771.06</v>
      </c>
      <c r="M2117">
        <v>1.23</v>
      </c>
      <c r="N2117">
        <v>5.0999999999999996</v>
      </c>
      <c r="O2117">
        <v>33</v>
      </c>
      <c r="P2117">
        <v>781</v>
      </c>
      <c r="Q2117">
        <v>26</v>
      </c>
      <c r="R2117">
        <v>11.95</v>
      </c>
    </row>
    <row r="2118" spans="1:18" x14ac:dyDescent="0.25">
      <c r="A2118" s="1" t="s">
        <v>328</v>
      </c>
      <c r="B2118" s="3">
        <v>115</v>
      </c>
      <c r="C2118" s="19">
        <v>38</v>
      </c>
      <c r="D2118" s="3" t="s">
        <v>495</v>
      </c>
      <c r="E2118" s="3" t="s">
        <v>500</v>
      </c>
      <c r="F2118" s="23">
        <v>144900</v>
      </c>
      <c r="G2118" s="15">
        <v>2006</v>
      </c>
      <c r="H2118" s="15">
        <f>Table_7[[#This Row],[Listing Price (USD)]]/10000</f>
        <v>14.49</v>
      </c>
      <c r="I2118" s="28">
        <f>Table_7[[#This Row],[Length 
(ft)]]</f>
        <v>38</v>
      </c>
      <c r="J2118" s="28">
        <f>2020-Table_7[[#This Row],[Year]]</f>
        <v>14</v>
      </c>
      <c r="K2118">
        <v>3007188000000</v>
      </c>
      <c r="L2118">
        <v>76131.839999999997</v>
      </c>
      <c r="M2118">
        <v>1.23</v>
      </c>
      <c r="N2118">
        <v>2.7</v>
      </c>
      <c r="O2118">
        <v>33</v>
      </c>
      <c r="P2118">
        <v>781</v>
      </c>
      <c r="Q2118">
        <v>26</v>
      </c>
      <c r="R2118">
        <v>11.95</v>
      </c>
    </row>
    <row r="2119" spans="1:18" x14ac:dyDescent="0.25">
      <c r="A2119" s="1" t="s">
        <v>328</v>
      </c>
      <c r="B2119" s="3">
        <v>115</v>
      </c>
      <c r="C2119" s="19">
        <v>38</v>
      </c>
      <c r="D2119" s="3" t="s">
        <v>495</v>
      </c>
      <c r="E2119" s="3" t="s">
        <v>555</v>
      </c>
      <c r="F2119" s="23">
        <v>165000</v>
      </c>
      <c r="G2119" s="15">
        <v>2009</v>
      </c>
      <c r="H2119" s="15">
        <f>Table_7[[#This Row],[Listing Price (USD)]]/10000</f>
        <v>16.5</v>
      </c>
      <c r="I2119" s="28">
        <f>Table_7[[#This Row],[Length 
(ft)]]</f>
        <v>38</v>
      </c>
      <c r="J2119" s="28">
        <f>2020-Table_7[[#This Row],[Year]]</f>
        <v>11</v>
      </c>
      <c r="K2119">
        <v>4200000000</v>
      </c>
      <c r="L2119">
        <v>39553.199999999997</v>
      </c>
      <c r="M2119">
        <v>1.23</v>
      </c>
      <c r="N2119">
        <v>-2.1</v>
      </c>
      <c r="O2119">
        <v>33</v>
      </c>
      <c r="P2119">
        <v>781</v>
      </c>
      <c r="Q2119">
        <v>26</v>
      </c>
      <c r="R2119">
        <v>11.95</v>
      </c>
    </row>
    <row r="2120" spans="1:18" x14ac:dyDescent="0.25">
      <c r="A2120" s="1" t="s">
        <v>101</v>
      </c>
      <c r="B2120" s="2" t="s">
        <v>102</v>
      </c>
      <c r="C2120" s="19">
        <v>42</v>
      </c>
      <c r="D2120" s="3" t="s">
        <v>496</v>
      </c>
      <c r="E2120" s="3" t="s">
        <v>9</v>
      </c>
      <c r="F2120" s="23">
        <v>546613</v>
      </c>
      <c r="G2120" s="15">
        <v>2017</v>
      </c>
      <c r="H2120" s="15">
        <f>Table_7[[#This Row],[Listing Price (USD)]]/10000</f>
        <v>54.661299999999997</v>
      </c>
      <c r="I2120" s="28">
        <f>Table_7[[#This Row],[Length 
(ft)]]</f>
        <v>42</v>
      </c>
      <c r="J2120" s="28">
        <f>2020-Table_7[[#This Row],[Year]]</f>
        <v>3</v>
      </c>
      <c r="K2120">
        <v>1276962685648.25</v>
      </c>
      <c r="L2120">
        <v>26959.675436732599</v>
      </c>
      <c r="M2120">
        <v>-0.32275301729970501</v>
      </c>
      <c r="N2120">
        <v>-11.3254383222864</v>
      </c>
      <c r="O2120">
        <v>0</v>
      </c>
      <c r="P2120">
        <v>1076.3920000000001</v>
      </c>
      <c r="Q2120">
        <v>26</v>
      </c>
      <c r="R2120">
        <v>10.17</v>
      </c>
    </row>
    <row r="2121" spans="1:18" x14ac:dyDescent="0.25">
      <c r="A2121" s="1" t="s">
        <v>264</v>
      </c>
      <c r="B2121" s="2" t="s">
        <v>266</v>
      </c>
      <c r="C2121" s="19">
        <v>39</v>
      </c>
      <c r="D2121" s="3" t="s">
        <v>496</v>
      </c>
      <c r="E2121" s="3" t="s">
        <v>3</v>
      </c>
      <c r="F2121" s="23">
        <v>285415</v>
      </c>
      <c r="G2121" s="15">
        <v>2013</v>
      </c>
      <c r="H2121" s="15">
        <f>Table_7[[#This Row],[Listing Price (USD)]]/10000</f>
        <v>28.541499999999999</v>
      </c>
      <c r="I2121" s="28">
        <f>Table_7[[#This Row],[Length 
(ft)]]</f>
        <v>39</v>
      </c>
      <c r="J2121" s="28">
        <f>2020-Table_7[[#This Row],[Year]]</f>
        <v>7</v>
      </c>
      <c r="K2121">
        <v>2639008701648.2598</v>
      </c>
      <c r="L2121">
        <v>39055.282928075401</v>
      </c>
      <c r="M2121">
        <v>0.47649885272508302</v>
      </c>
      <c r="N2121">
        <v>-7.7845864916787102</v>
      </c>
      <c r="O2121">
        <v>32.15</v>
      </c>
      <c r="P2121">
        <v>680.00199999999995</v>
      </c>
      <c r="Q2121">
        <v>26</v>
      </c>
      <c r="R2121">
        <v>12.96</v>
      </c>
    </row>
    <row r="2122" spans="1:18" x14ac:dyDescent="0.25">
      <c r="A2122" s="1" t="s">
        <v>264</v>
      </c>
      <c r="B2122" s="2" t="s">
        <v>266</v>
      </c>
      <c r="C2122" s="19">
        <v>39</v>
      </c>
      <c r="D2122" s="3" t="s">
        <v>496</v>
      </c>
      <c r="E2122" s="3" t="s">
        <v>3</v>
      </c>
      <c r="F2122" s="23">
        <v>333996</v>
      </c>
      <c r="G2122" s="15">
        <v>2013</v>
      </c>
      <c r="H2122" s="15">
        <f>Table_7[[#This Row],[Listing Price (USD)]]/10000</f>
        <v>33.3996</v>
      </c>
      <c r="I2122" s="28">
        <f>Table_7[[#This Row],[Length 
(ft)]]</f>
        <v>39</v>
      </c>
      <c r="J2122" s="28">
        <f>2020-Table_7[[#This Row],[Year]]</f>
        <v>7</v>
      </c>
      <c r="K2122">
        <v>2639008701648.2598</v>
      </c>
      <c r="L2122">
        <v>39055.282928075401</v>
      </c>
      <c r="M2122">
        <v>0.47649885272508302</v>
      </c>
      <c r="N2122">
        <v>-7.7845864916787102</v>
      </c>
      <c r="O2122">
        <v>32.15</v>
      </c>
      <c r="P2122">
        <v>680.00199999999995</v>
      </c>
      <c r="Q2122">
        <v>26</v>
      </c>
      <c r="R2122">
        <v>12.96</v>
      </c>
    </row>
    <row r="2123" spans="1:18" x14ac:dyDescent="0.25">
      <c r="A2123" s="1" t="s">
        <v>264</v>
      </c>
      <c r="B2123" s="2" t="s">
        <v>267</v>
      </c>
      <c r="C2123" s="19">
        <v>40</v>
      </c>
      <c r="D2123" s="3" t="s">
        <v>496</v>
      </c>
      <c r="E2123" s="3" t="s">
        <v>3</v>
      </c>
      <c r="F2123" s="23">
        <v>406868</v>
      </c>
      <c r="G2123" s="15">
        <v>2019</v>
      </c>
      <c r="H2123" s="15">
        <f>Table_7[[#This Row],[Listing Price (USD)]]/10000</f>
        <v>40.686799999999998</v>
      </c>
      <c r="I2123" s="28">
        <f>Table_7[[#This Row],[Length 
(ft)]]</f>
        <v>40</v>
      </c>
      <c r="J2123" s="28">
        <f>2020-Table_7[[#This Row],[Year]]</f>
        <v>1</v>
      </c>
      <c r="K2123">
        <v>2639008701648.2598</v>
      </c>
      <c r="L2123">
        <v>39055.282928075401</v>
      </c>
      <c r="M2123">
        <v>0.47649885272508302</v>
      </c>
      <c r="N2123">
        <v>-7.7845864916787102</v>
      </c>
      <c r="O2123">
        <v>32.15</v>
      </c>
      <c r="P2123">
        <v>680.00199999999995</v>
      </c>
      <c r="Q2123">
        <v>26</v>
      </c>
      <c r="R2123">
        <v>12.96</v>
      </c>
    </row>
    <row r="2124" spans="1:18" x14ac:dyDescent="0.25">
      <c r="A2124" s="1" t="s">
        <v>164</v>
      </c>
      <c r="B2124" s="2" t="s">
        <v>165</v>
      </c>
      <c r="C2124" s="19">
        <v>38</v>
      </c>
      <c r="D2124" s="3" t="s">
        <v>496</v>
      </c>
      <c r="E2124" s="3" t="s">
        <v>3</v>
      </c>
      <c r="F2124" s="23">
        <v>139690</v>
      </c>
      <c r="G2124" s="15">
        <v>2009</v>
      </c>
      <c r="H2124" s="15">
        <f>Table_7[[#This Row],[Listing Price (USD)]]/10000</f>
        <v>13.968999999999999</v>
      </c>
      <c r="I2124" s="28">
        <f>Table_7[[#This Row],[Length 
(ft)]]</f>
        <v>38</v>
      </c>
      <c r="J2124" s="28">
        <f>2020-Table_7[[#This Row],[Year]]</f>
        <v>11</v>
      </c>
      <c r="K2124">
        <v>2639008701648.2598</v>
      </c>
      <c r="L2124">
        <v>39055.282928075401</v>
      </c>
      <c r="M2124">
        <v>0.47649885272508302</v>
      </c>
      <c r="N2124">
        <v>-7.7845864916787102</v>
      </c>
      <c r="O2124">
        <v>27.25</v>
      </c>
      <c r="P2124">
        <v>640.00199999999995</v>
      </c>
      <c r="Q2124">
        <v>22</v>
      </c>
      <c r="R2124">
        <v>12</v>
      </c>
    </row>
    <row r="2125" spans="1:18" x14ac:dyDescent="0.25">
      <c r="A2125" s="1" t="s">
        <v>275</v>
      </c>
      <c r="B2125" s="2" t="s">
        <v>277</v>
      </c>
      <c r="C2125" s="19">
        <v>48</v>
      </c>
      <c r="D2125" s="3" t="s">
        <v>496</v>
      </c>
      <c r="E2125" s="3" t="s">
        <v>24</v>
      </c>
      <c r="F2125" s="23">
        <v>388650</v>
      </c>
      <c r="G2125" s="15">
        <v>2009</v>
      </c>
      <c r="H2125" s="15">
        <f>Table_7[[#This Row],[Listing Price (USD)]]/10000</f>
        <v>38.865000000000002</v>
      </c>
      <c r="I2125" s="28">
        <f>Table_7[[#This Row],[Length 
(ft)]]</f>
        <v>48</v>
      </c>
      <c r="J2125" s="28">
        <f>2020-Table_7[[#This Row],[Year]]</f>
        <v>11</v>
      </c>
      <c r="K2125">
        <v>1896755301518.1399</v>
      </c>
      <c r="L2125">
        <v>31911.0357890017</v>
      </c>
      <c r="M2125">
        <v>-0.13770757391656999</v>
      </c>
      <c r="N2125">
        <v>-9.0399534112288507</v>
      </c>
      <c r="O2125">
        <v>40.92</v>
      </c>
      <c r="P2125">
        <v>1192.002</v>
      </c>
      <c r="Q2125">
        <v>22</v>
      </c>
      <c r="R2125">
        <v>14.17</v>
      </c>
    </row>
    <row r="2126" spans="1:18" x14ac:dyDescent="0.25">
      <c r="A2126" s="1" t="s">
        <v>264</v>
      </c>
      <c r="B2126" s="2" t="s">
        <v>268</v>
      </c>
      <c r="C2126" s="19">
        <v>42</v>
      </c>
      <c r="D2126" s="3" t="s">
        <v>496</v>
      </c>
      <c r="E2126" s="3" t="s">
        <v>3</v>
      </c>
      <c r="F2126" s="23">
        <v>406923</v>
      </c>
      <c r="G2126" s="15">
        <v>2019</v>
      </c>
      <c r="H2126" s="15">
        <f>Table_7[[#This Row],[Listing Price (USD)]]/10000</f>
        <v>40.692300000000003</v>
      </c>
      <c r="I2126" s="28">
        <f>Table_7[[#This Row],[Length 
(ft)]]</f>
        <v>42</v>
      </c>
      <c r="J2126" s="28">
        <f>2020-Table_7[[#This Row],[Year]]</f>
        <v>1</v>
      </c>
      <c r="K2126">
        <v>2639008701648.2598</v>
      </c>
      <c r="L2126">
        <v>39055.282928075401</v>
      </c>
      <c r="M2126">
        <v>0.47649885272508302</v>
      </c>
      <c r="N2126">
        <v>-7.7845864916787102</v>
      </c>
      <c r="O2126">
        <v>34.450000000000003</v>
      </c>
      <c r="P2126">
        <v>626.46199999999999</v>
      </c>
      <c r="Q2126">
        <v>21</v>
      </c>
      <c r="R2126">
        <v>13.12</v>
      </c>
    </row>
    <row r="2127" spans="1:18" x14ac:dyDescent="0.25">
      <c r="A2127" s="1" t="s">
        <v>11</v>
      </c>
      <c r="B2127" s="2" t="s">
        <v>12</v>
      </c>
      <c r="C2127" s="19">
        <v>39</v>
      </c>
      <c r="D2127" s="3" t="s">
        <v>496</v>
      </c>
      <c r="E2127" s="3" t="s">
        <v>18</v>
      </c>
      <c r="F2127" s="23">
        <v>119024</v>
      </c>
      <c r="G2127" s="15">
        <v>2007</v>
      </c>
      <c r="H2127" s="15">
        <f>Table_7[[#This Row],[Listing Price (USD)]]/10000</f>
        <v>11.9024</v>
      </c>
      <c r="I2127" s="28">
        <f>Table_7[[#This Row],[Length 
(ft)]]</f>
        <v>39</v>
      </c>
      <c r="J2127" s="28">
        <f>2020-Table_7[[#This Row],[Year]]</f>
        <v>13</v>
      </c>
      <c r="K2127">
        <v>188925995936.80701</v>
      </c>
      <c r="L2127">
        <v>17658.947301119199</v>
      </c>
      <c r="M2127">
        <v>-1.2479835558140799</v>
      </c>
      <c r="N2127">
        <v>-9.0040436420214593</v>
      </c>
      <c r="O2127">
        <v>34.58</v>
      </c>
      <c r="P2127">
        <v>847.00199999999995</v>
      </c>
      <c r="Q2127">
        <v>20</v>
      </c>
      <c r="R2127">
        <v>12.3</v>
      </c>
    </row>
    <row r="2128" spans="1:18" x14ac:dyDescent="0.25">
      <c r="A2128" s="1" t="s">
        <v>11</v>
      </c>
      <c r="B2128" s="2" t="s">
        <v>12</v>
      </c>
      <c r="C2128" s="19">
        <v>39</v>
      </c>
      <c r="D2128" s="3" t="s">
        <v>496</v>
      </c>
      <c r="E2128" s="3" t="s">
        <v>3</v>
      </c>
      <c r="F2128" s="23">
        <v>127526</v>
      </c>
      <c r="G2128" s="15">
        <v>2008</v>
      </c>
      <c r="H2128" s="15">
        <f>Table_7[[#This Row],[Listing Price (USD)]]/10000</f>
        <v>12.752599999999999</v>
      </c>
      <c r="I2128" s="28">
        <f>Table_7[[#This Row],[Length 
(ft)]]</f>
        <v>39</v>
      </c>
      <c r="J2128" s="28">
        <f>2020-Table_7[[#This Row],[Year]]</f>
        <v>12</v>
      </c>
      <c r="K2128">
        <v>2639008701648.2598</v>
      </c>
      <c r="L2128">
        <v>39055.282928075401</v>
      </c>
      <c r="M2128">
        <v>0.47649885272508302</v>
      </c>
      <c r="N2128">
        <v>-7.7845864916787102</v>
      </c>
      <c r="O2128">
        <v>34.58</v>
      </c>
      <c r="P2128">
        <v>847.00199999999995</v>
      </c>
      <c r="Q2128">
        <v>20</v>
      </c>
      <c r="R2128">
        <v>12.3</v>
      </c>
    </row>
    <row r="2129" spans="1:18" x14ac:dyDescent="0.25">
      <c r="A2129" s="1" t="s">
        <v>11</v>
      </c>
      <c r="B2129" s="2" t="s">
        <v>12</v>
      </c>
      <c r="C2129" s="19">
        <v>39</v>
      </c>
      <c r="D2129" s="3" t="s">
        <v>496</v>
      </c>
      <c r="E2129" s="3" t="s">
        <v>3</v>
      </c>
      <c r="F2129" s="23">
        <v>127543</v>
      </c>
      <c r="G2129" s="15">
        <v>2008</v>
      </c>
      <c r="H2129" s="15">
        <f>Table_7[[#This Row],[Listing Price (USD)]]/10000</f>
        <v>12.754300000000001</v>
      </c>
      <c r="I2129" s="28">
        <f>Table_7[[#This Row],[Length 
(ft)]]</f>
        <v>39</v>
      </c>
      <c r="J2129" s="28">
        <f>2020-Table_7[[#This Row],[Year]]</f>
        <v>12</v>
      </c>
      <c r="K2129">
        <v>2639008701648.2598</v>
      </c>
      <c r="L2129">
        <v>39055.282928075401</v>
      </c>
      <c r="M2129">
        <v>0.47649885272508302</v>
      </c>
      <c r="N2129">
        <v>-7.7845864916787102</v>
      </c>
      <c r="O2129">
        <v>34.58</v>
      </c>
      <c r="P2129">
        <v>847.00199999999995</v>
      </c>
      <c r="Q2129">
        <v>20</v>
      </c>
      <c r="R2129">
        <v>12.3</v>
      </c>
    </row>
    <row r="2130" spans="1:18" x14ac:dyDescent="0.25">
      <c r="A2130" s="1" t="s">
        <v>11</v>
      </c>
      <c r="B2130" s="2" t="s">
        <v>12</v>
      </c>
      <c r="C2130" s="19">
        <v>39</v>
      </c>
      <c r="D2130" s="3" t="s">
        <v>496</v>
      </c>
      <c r="E2130" s="3" t="s">
        <v>3</v>
      </c>
      <c r="F2130" s="23">
        <v>132436</v>
      </c>
      <c r="G2130" s="15">
        <v>2009</v>
      </c>
      <c r="H2130" s="15">
        <f>Table_7[[#This Row],[Listing Price (USD)]]/10000</f>
        <v>13.243600000000001</v>
      </c>
      <c r="I2130" s="28">
        <f>Table_7[[#This Row],[Length 
(ft)]]</f>
        <v>39</v>
      </c>
      <c r="J2130" s="28">
        <f>2020-Table_7[[#This Row],[Year]]</f>
        <v>11</v>
      </c>
      <c r="K2130">
        <v>2639008701648.2598</v>
      </c>
      <c r="L2130">
        <v>39055.282928075401</v>
      </c>
      <c r="M2130">
        <v>0.47649885272508302</v>
      </c>
      <c r="N2130">
        <v>-7.7845864916787102</v>
      </c>
      <c r="O2130">
        <v>34.58</v>
      </c>
      <c r="P2130">
        <v>847.00199999999995</v>
      </c>
      <c r="Q2130">
        <v>20</v>
      </c>
      <c r="R2130">
        <v>12.3</v>
      </c>
    </row>
    <row r="2131" spans="1:18" x14ac:dyDescent="0.25">
      <c r="A2131" s="1" t="s">
        <v>11</v>
      </c>
      <c r="B2131" s="2" t="s">
        <v>12</v>
      </c>
      <c r="C2131" s="19">
        <v>39</v>
      </c>
      <c r="D2131" s="3" t="s">
        <v>496</v>
      </c>
      <c r="E2131" s="3" t="s">
        <v>9</v>
      </c>
      <c r="F2131" s="23">
        <v>151816</v>
      </c>
      <c r="G2131" s="15">
        <v>2009</v>
      </c>
      <c r="H2131" s="15">
        <f>Table_7[[#This Row],[Listing Price (USD)]]/10000</f>
        <v>15.1816</v>
      </c>
      <c r="I2131" s="28">
        <f>Table_7[[#This Row],[Length 
(ft)]]</f>
        <v>39</v>
      </c>
      <c r="J2131" s="28">
        <f>2020-Table_7[[#This Row],[Year]]</f>
        <v>11</v>
      </c>
      <c r="K2131">
        <v>1276962685648.25</v>
      </c>
      <c r="L2131">
        <v>26959.675436732599</v>
      </c>
      <c r="M2131">
        <v>-0.32275301729970501</v>
      </c>
      <c r="N2131">
        <v>-11.3254383222864</v>
      </c>
      <c r="O2131">
        <v>34.58</v>
      </c>
      <c r="P2131">
        <v>847.00199999999995</v>
      </c>
      <c r="Q2131">
        <v>20</v>
      </c>
      <c r="R2131">
        <v>12.3</v>
      </c>
    </row>
    <row r="2132" spans="1:18" x14ac:dyDescent="0.25">
      <c r="A2132" s="1" t="s">
        <v>11</v>
      </c>
      <c r="B2132" s="2" t="s">
        <v>12</v>
      </c>
      <c r="C2132" s="19">
        <v>39</v>
      </c>
      <c r="D2132" s="3" t="s">
        <v>496</v>
      </c>
      <c r="E2132" s="3" t="s">
        <v>9</v>
      </c>
      <c r="F2132" s="23">
        <v>151876</v>
      </c>
      <c r="G2132" s="15">
        <v>2009</v>
      </c>
      <c r="H2132" s="15">
        <f>Table_7[[#This Row],[Listing Price (USD)]]/10000</f>
        <v>15.1876</v>
      </c>
      <c r="I2132" s="28">
        <f>Table_7[[#This Row],[Length 
(ft)]]</f>
        <v>39</v>
      </c>
      <c r="J2132" s="28">
        <f>2020-Table_7[[#This Row],[Year]]</f>
        <v>11</v>
      </c>
      <c r="K2132">
        <v>1276962685648.25</v>
      </c>
      <c r="L2132">
        <v>26959.675436732599</v>
      </c>
      <c r="M2132">
        <v>-0.32275301729970501</v>
      </c>
      <c r="N2132">
        <v>-11.3254383222864</v>
      </c>
      <c r="O2132">
        <v>34.58</v>
      </c>
      <c r="P2132">
        <v>847.00199999999995</v>
      </c>
      <c r="Q2132">
        <v>20</v>
      </c>
      <c r="R2132">
        <v>12.3</v>
      </c>
    </row>
    <row r="2133" spans="1:18" x14ac:dyDescent="0.25">
      <c r="A2133" s="1" t="s">
        <v>128</v>
      </c>
      <c r="B2133" s="3">
        <v>380</v>
      </c>
      <c r="C2133" s="19">
        <v>38</v>
      </c>
      <c r="D2133" s="3" t="s">
        <v>497</v>
      </c>
      <c r="E2133" s="3" t="s">
        <v>525</v>
      </c>
      <c r="F2133" s="23">
        <v>99950</v>
      </c>
      <c r="G2133" s="15">
        <v>2013</v>
      </c>
      <c r="H2133" s="15">
        <f>Table_7[[#This Row],[Listing Price (USD)]]/10000</f>
        <v>9.9949999999999992</v>
      </c>
      <c r="I2133" s="28">
        <f>Table_7[[#This Row],[Length 
(ft)]]</f>
        <v>38</v>
      </c>
      <c r="J2133" s="28">
        <f>2020-Table_7[[#This Row],[Year]]</f>
        <v>7</v>
      </c>
      <c r="K2133">
        <v>4200000000</v>
      </c>
      <c r="L2133">
        <v>39553.199999999997</v>
      </c>
      <c r="M2133">
        <v>4.0999999999999996</v>
      </c>
      <c r="N2133">
        <v>-2.1</v>
      </c>
      <c r="O2133">
        <v>25.26</v>
      </c>
      <c r="P2133">
        <v>439</v>
      </c>
      <c r="Q2133">
        <v>12</v>
      </c>
      <c r="R2133">
        <v>10.66</v>
      </c>
    </row>
    <row r="2134" spans="1:18" x14ac:dyDescent="0.25">
      <c r="A2134" s="1" t="s">
        <v>195</v>
      </c>
      <c r="B2134" s="2" t="s">
        <v>205</v>
      </c>
      <c r="C2134" s="19">
        <v>40</v>
      </c>
      <c r="D2134" s="3" t="s">
        <v>496</v>
      </c>
      <c r="E2134" s="3" t="s">
        <v>9</v>
      </c>
      <c r="F2134" s="23">
        <v>127526</v>
      </c>
      <c r="G2134" s="15">
        <v>2013</v>
      </c>
      <c r="H2134" s="15">
        <f>Table_7[[#This Row],[Listing Price (USD)]]/10000</f>
        <v>12.752599999999999</v>
      </c>
      <c r="I2134" s="28">
        <f>Table_7[[#This Row],[Length 
(ft)]]</f>
        <v>40</v>
      </c>
      <c r="J2134" s="28">
        <f>2020-Table_7[[#This Row],[Year]]</f>
        <v>7</v>
      </c>
      <c r="K2134">
        <v>1276962685648.25</v>
      </c>
      <c r="L2134">
        <v>26959.675436732599</v>
      </c>
      <c r="M2134">
        <v>-0.32275301729970501</v>
      </c>
      <c r="N2134">
        <v>-11.3254383222864</v>
      </c>
      <c r="O2134">
        <v>21.67</v>
      </c>
      <c r="P2134">
        <v>265.00200000000001</v>
      </c>
      <c r="Q2134">
        <v>7</v>
      </c>
      <c r="R2134">
        <v>8.16</v>
      </c>
    </row>
    <row r="2135" spans="1:18" x14ac:dyDescent="0.25">
      <c r="A2135" s="1" t="s">
        <v>195</v>
      </c>
      <c r="B2135" s="2" t="s">
        <v>572</v>
      </c>
      <c r="C2135" s="19">
        <v>48</v>
      </c>
      <c r="D2135" s="3" t="s">
        <v>496</v>
      </c>
      <c r="E2135" s="3" t="s">
        <v>3</v>
      </c>
      <c r="F2135" s="23">
        <v>206507</v>
      </c>
      <c r="G2135" s="15">
        <v>2006</v>
      </c>
      <c r="H2135" s="15">
        <f>Table_7[[#This Row],[Listing Price (USD)]]/10000</f>
        <v>20.650700000000001</v>
      </c>
      <c r="I2135" s="28">
        <f>Table_7[[#This Row],[Length 
(ft)]]</f>
        <v>48</v>
      </c>
      <c r="J2135" s="28">
        <f>2020-Table_7[[#This Row],[Year]]</f>
        <v>14</v>
      </c>
      <c r="K2135">
        <v>2639008701648.2598</v>
      </c>
      <c r="L2135">
        <v>39055.282928075401</v>
      </c>
      <c r="M2135">
        <v>0.47649885272508302</v>
      </c>
      <c r="N2135">
        <v>-7.7845864916787102</v>
      </c>
      <c r="O2135">
        <v>21.67</v>
      </c>
      <c r="P2135">
        <v>265.00200000000001</v>
      </c>
      <c r="Q2135">
        <v>7</v>
      </c>
      <c r="R2135">
        <v>8.16</v>
      </c>
    </row>
    <row r="2136" spans="1:18" x14ac:dyDescent="0.25">
      <c r="A2136" s="1" t="s">
        <v>195</v>
      </c>
      <c r="B2136" s="3" t="s">
        <v>352</v>
      </c>
      <c r="C2136" s="19">
        <v>53</v>
      </c>
      <c r="D2136" s="3" t="s">
        <v>495</v>
      </c>
      <c r="E2136" s="3" t="s">
        <v>333</v>
      </c>
      <c r="F2136" s="23">
        <v>299000</v>
      </c>
      <c r="G2136" s="15">
        <v>2010</v>
      </c>
      <c r="H2136" s="15">
        <f>Table_7[[#This Row],[Listing Price (USD)]]/10000</f>
        <v>29.9</v>
      </c>
      <c r="I2136" s="28">
        <f>Table_7[[#This Row],[Length 
(ft)]]</f>
        <v>53</v>
      </c>
      <c r="J2136" s="28">
        <f>2020-Table_7[[#This Row],[Year]]</f>
        <v>10</v>
      </c>
      <c r="K2136">
        <v>1106036000000</v>
      </c>
      <c r="L2136">
        <v>51276.72</v>
      </c>
      <c r="M2136">
        <v>1.23</v>
      </c>
      <c r="N2136">
        <v>2.9</v>
      </c>
      <c r="O2136">
        <v>21.67</v>
      </c>
      <c r="P2136">
        <v>265.00200000000001</v>
      </c>
      <c r="Q2136">
        <v>7</v>
      </c>
      <c r="R2136">
        <v>8.16</v>
      </c>
    </row>
    <row r="2137" spans="1:18" x14ac:dyDescent="0.25">
      <c r="A2137" s="1" t="s">
        <v>195</v>
      </c>
      <c r="B2137" s="3" t="s">
        <v>352</v>
      </c>
      <c r="C2137" s="19">
        <v>53</v>
      </c>
      <c r="D2137" s="3" t="s">
        <v>495</v>
      </c>
      <c r="E2137" s="3" t="s">
        <v>333</v>
      </c>
      <c r="F2137" s="23">
        <v>364800</v>
      </c>
      <c r="G2137" s="15">
        <v>2014</v>
      </c>
      <c r="H2137" s="15">
        <f>Table_7[[#This Row],[Listing Price (USD)]]/10000</f>
        <v>36.479999999999997</v>
      </c>
      <c r="I2137" s="28">
        <f>Table_7[[#This Row],[Length 
(ft)]]</f>
        <v>53</v>
      </c>
      <c r="J2137" s="28">
        <f>2020-Table_7[[#This Row],[Year]]</f>
        <v>6</v>
      </c>
      <c r="K2137">
        <v>1106036000000</v>
      </c>
      <c r="L2137">
        <v>51276.72</v>
      </c>
      <c r="M2137">
        <v>1.23</v>
      </c>
      <c r="N2137">
        <v>2.9</v>
      </c>
      <c r="O2137">
        <v>21.67</v>
      </c>
      <c r="P2137">
        <v>265.00200000000001</v>
      </c>
      <c r="Q2137">
        <v>7</v>
      </c>
      <c r="R2137">
        <v>8.16</v>
      </c>
    </row>
    <row r="2138" spans="1:18" x14ac:dyDescent="0.25">
      <c r="A2138" s="1" t="s">
        <v>195</v>
      </c>
      <c r="B2138" s="3" t="s">
        <v>352</v>
      </c>
      <c r="C2138" s="19">
        <v>53</v>
      </c>
      <c r="D2138" s="3" t="s">
        <v>495</v>
      </c>
      <c r="E2138" s="3" t="s">
        <v>526</v>
      </c>
      <c r="F2138" s="23">
        <v>389500</v>
      </c>
      <c r="G2138" s="15">
        <v>2015</v>
      </c>
      <c r="H2138" s="15">
        <f>Table_7[[#This Row],[Listing Price (USD)]]/10000</f>
        <v>38.950000000000003</v>
      </c>
      <c r="I2138" s="28">
        <f>Table_7[[#This Row],[Length 
(ft)]]</f>
        <v>53</v>
      </c>
      <c r="J2138" s="28">
        <f>2020-Table_7[[#This Row],[Year]]</f>
        <v>5</v>
      </c>
      <c r="K2138">
        <v>4200000000</v>
      </c>
      <c r="L2138">
        <v>39553.199999999997</v>
      </c>
      <c r="M2138">
        <v>4.0999999999999996</v>
      </c>
      <c r="N2138">
        <v>-2.1</v>
      </c>
      <c r="O2138">
        <v>21.67</v>
      </c>
      <c r="P2138">
        <v>265.00200000000001</v>
      </c>
      <c r="Q2138">
        <v>7</v>
      </c>
      <c r="R2138">
        <v>8.16</v>
      </c>
    </row>
    <row r="2139" spans="1:18" x14ac:dyDescent="0.25">
      <c r="A2139" s="1" t="s">
        <v>195</v>
      </c>
      <c r="B2139" s="3" t="s">
        <v>352</v>
      </c>
      <c r="C2139" s="19">
        <v>53</v>
      </c>
      <c r="D2139" s="3" t="s">
        <v>495</v>
      </c>
      <c r="E2139" s="3" t="s">
        <v>500</v>
      </c>
      <c r="F2139" s="23">
        <v>440500</v>
      </c>
      <c r="G2139" s="15">
        <v>2014</v>
      </c>
      <c r="H2139" s="15">
        <f>Table_7[[#This Row],[Listing Price (USD)]]/10000</f>
        <v>44.05</v>
      </c>
      <c r="I2139" s="28">
        <f>Table_7[[#This Row],[Length 
(ft)]]</f>
        <v>53</v>
      </c>
      <c r="J2139" s="28">
        <f>2020-Table_7[[#This Row],[Year]]</f>
        <v>6</v>
      </c>
      <c r="K2139">
        <v>3007188000000</v>
      </c>
      <c r="L2139">
        <v>76131.839999999997</v>
      </c>
      <c r="M2139">
        <v>1.23</v>
      </c>
      <c r="N2139">
        <v>2.7</v>
      </c>
      <c r="O2139">
        <v>21.67</v>
      </c>
      <c r="P2139">
        <v>265.00200000000001</v>
      </c>
      <c r="Q2139">
        <v>7</v>
      </c>
      <c r="R2139">
        <v>8.16</v>
      </c>
    </row>
    <row r="2140" spans="1:18" x14ac:dyDescent="0.25">
      <c r="A2140" s="1" t="s">
        <v>195</v>
      </c>
      <c r="B2140" s="2">
        <v>53</v>
      </c>
      <c r="C2140" s="19">
        <v>53</v>
      </c>
      <c r="D2140" s="3" t="s">
        <v>496</v>
      </c>
      <c r="E2140" s="3" t="s">
        <v>31</v>
      </c>
      <c r="F2140" s="23">
        <v>191922</v>
      </c>
      <c r="G2140" s="15">
        <v>2012</v>
      </c>
      <c r="H2140" s="15">
        <f>Table_7[[#This Row],[Listing Price (USD)]]/10000</f>
        <v>19.1922</v>
      </c>
      <c r="I2140" s="28">
        <f>Table_7[[#This Row],[Length 
(ft)]]</f>
        <v>53</v>
      </c>
      <c r="J2140" s="28">
        <f>2020-Table_7[[#This Row],[Year]]</f>
        <v>8</v>
      </c>
      <c r="K2140">
        <v>57472012426.685303</v>
      </c>
      <c r="L2140">
        <v>14198.753959474399</v>
      </c>
      <c r="M2140">
        <v>0.15481137456202801</v>
      </c>
      <c r="N2140">
        <v>-8.5803430210621805</v>
      </c>
      <c r="O2140">
        <v>43</v>
      </c>
      <c r="P2140">
        <v>1320.002</v>
      </c>
      <c r="Q2140">
        <v>0</v>
      </c>
      <c r="R2140">
        <v>15</v>
      </c>
    </row>
    <row r="2141" spans="1:18" x14ac:dyDescent="0.25">
      <c r="A2141" s="1" t="s">
        <v>195</v>
      </c>
      <c r="B2141" s="2">
        <v>53</v>
      </c>
      <c r="C2141" s="19">
        <v>53</v>
      </c>
      <c r="D2141" s="3" t="s">
        <v>496</v>
      </c>
      <c r="E2141" s="3" t="s">
        <v>31</v>
      </c>
      <c r="F2141" s="23">
        <v>230792</v>
      </c>
      <c r="G2141" s="15">
        <v>2013</v>
      </c>
      <c r="H2141" s="15">
        <f>Table_7[[#This Row],[Listing Price (USD)]]/10000</f>
        <v>23.0792</v>
      </c>
      <c r="I2141" s="28">
        <f>Table_7[[#This Row],[Length 
(ft)]]</f>
        <v>53</v>
      </c>
      <c r="J2141" s="28">
        <f>2020-Table_7[[#This Row],[Year]]</f>
        <v>7</v>
      </c>
      <c r="K2141">
        <v>57472012426.685303</v>
      </c>
      <c r="L2141">
        <v>14198.753959474399</v>
      </c>
      <c r="M2141">
        <v>0.15481137456202801</v>
      </c>
      <c r="N2141">
        <v>-8.5803430210621805</v>
      </c>
      <c r="O2141">
        <v>43</v>
      </c>
      <c r="P2141">
        <v>1320.002</v>
      </c>
      <c r="Q2141">
        <v>0</v>
      </c>
      <c r="R2141">
        <v>15</v>
      </c>
    </row>
    <row r="2142" spans="1:18" x14ac:dyDescent="0.25">
      <c r="A2142" s="1" t="s">
        <v>195</v>
      </c>
      <c r="B2142" s="2" t="s">
        <v>236</v>
      </c>
      <c r="C2142" s="19">
        <v>53</v>
      </c>
      <c r="D2142" s="3" t="s">
        <v>496</v>
      </c>
      <c r="E2142" s="3" t="s">
        <v>24</v>
      </c>
      <c r="F2142" s="23">
        <v>249023</v>
      </c>
      <c r="G2142" s="15">
        <v>2015</v>
      </c>
      <c r="H2142" s="15">
        <f>Table_7[[#This Row],[Listing Price (USD)]]/10000</f>
        <v>24.9023</v>
      </c>
      <c r="I2142" s="28">
        <f>Table_7[[#This Row],[Length 
(ft)]]</f>
        <v>53</v>
      </c>
      <c r="J2142" s="28">
        <f>2020-Table_7[[#This Row],[Year]]</f>
        <v>5</v>
      </c>
      <c r="K2142">
        <v>1896755301518.1399</v>
      </c>
      <c r="L2142">
        <v>31911.0357890017</v>
      </c>
      <c r="M2142">
        <v>-0.13770757391656999</v>
      </c>
      <c r="N2142">
        <v>-9.0399534112288507</v>
      </c>
      <c r="O2142">
        <v>43</v>
      </c>
      <c r="P2142">
        <v>1320.002</v>
      </c>
      <c r="Q2142">
        <v>0</v>
      </c>
      <c r="R2142">
        <v>15</v>
      </c>
    </row>
    <row r="2143" spans="1:18" x14ac:dyDescent="0.25">
      <c r="A2143" s="1" t="s">
        <v>195</v>
      </c>
      <c r="B2143" s="2">
        <v>53</v>
      </c>
      <c r="C2143" s="19">
        <v>53</v>
      </c>
      <c r="D2143" s="3" t="s">
        <v>496</v>
      </c>
      <c r="E2143" s="3" t="s">
        <v>63</v>
      </c>
      <c r="F2143" s="23">
        <v>261160</v>
      </c>
      <c r="G2143" s="15">
        <v>2010</v>
      </c>
      <c r="H2143" s="15">
        <f>Table_7[[#This Row],[Listing Price (USD)]]/10000</f>
        <v>26.116</v>
      </c>
      <c r="I2143" s="28">
        <f>Table_7[[#This Row],[Length 
(ft)]]</f>
        <v>53</v>
      </c>
      <c r="J2143" s="28">
        <f>2020-Table_7[[#This Row],[Year]]</f>
        <v>10</v>
      </c>
      <c r="K2143">
        <v>720290000029</v>
      </c>
      <c r="L2143">
        <v>13341.6</v>
      </c>
      <c r="M2143">
        <v>13</v>
      </c>
      <c r="N2143">
        <v>-3</v>
      </c>
      <c r="O2143">
        <v>43</v>
      </c>
      <c r="P2143">
        <v>1320.002</v>
      </c>
      <c r="Q2143">
        <v>0</v>
      </c>
      <c r="R2143">
        <v>15</v>
      </c>
    </row>
    <row r="2144" spans="1:18" x14ac:dyDescent="0.25">
      <c r="A2144" s="1" t="s">
        <v>260</v>
      </c>
      <c r="B2144" s="2">
        <v>53</v>
      </c>
      <c r="C2144" s="19">
        <v>53</v>
      </c>
      <c r="D2144" s="3" t="s">
        <v>496</v>
      </c>
      <c r="E2144" s="3" t="s">
        <v>19</v>
      </c>
      <c r="F2144" s="23">
        <v>646174</v>
      </c>
      <c r="G2144" s="15">
        <v>2007</v>
      </c>
      <c r="H2144" s="15">
        <f>Table_7[[#This Row],[Listing Price (USD)]]/10000</f>
        <v>64.617400000000004</v>
      </c>
      <c r="I2144" s="28">
        <f>Table_7[[#This Row],[Length 
(ft)]]</f>
        <v>53</v>
      </c>
      <c r="J2144" s="28">
        <f>2020-Table_7[[#This Row],[Year]]</f>
        <v>13</v>
      </c>
      <c r="K2144">
        <v>4200000000</v>
      </c>
      <c r="L2144">
        <v>39553.199999999997</v>
      </c>
      <c r="M2144">
        <v>4.0999999999999996</v>
      </c>
      <c r="N2144">
        <v>-2.1</v>
      </c>
      <c r="O2144">
        <v>43</v>
      </c>
      <c r="P2144">
        <v>1320.002</v>
      </c>
      <c r="Q2144">
        <v>0</v>
      </c>
      <c r="R2144">
        <v>15</v>
      </c>
    </row>
    <row r="2145" spans="1:18" x14ac:dyDescent="0.25">
      <c r="A2145" s="1" t="s">
        <v>177</v>
      </c>
      <c r="B2145" s="2">
        <v>540</v>
      </c>
      <c r="C2145" s="19">
        <v>52</v>
      </c>
      <c r="D2145" s="3" t="s">
        <v>496</v>
      </c>
      <c r="E2145" s="3" t="s">
        <v>18</v>
      </c>
      <c r="F2145" s="23">
        <v>242949</v>
      </c>
      <c r="G2145" s="15">
        <v>2008</v>
      </c>
      <c r="H2145" s="15">
        <f>Table_7[[#This Row],[Listing Price (USD)]]/10000</f>
        <v>24.294899999999998</v>
      </c>
      <c r="I2145" s="28">
        <f>Table_7[[#This Row],[Length 
(ft)]]</f>
        <v>52</v>
      </c>
      <c r="J2145" s="28">
        <f>2020-Table_7[[#This Row],[Year]]</f>
        <v>12</v>
      </c>
      <c r="K2145">
        <v>188925995936.80701</v>
      </c>
      <c r="L2145">
        <v>17658.947301119199</v>
      </c>
      <c r="M2145">
        <v>-1.2479835558140799</v>
      </c>
      <c r="N2145">
        <v>-9.0040436420214593</v>
      </c>
      <c r="O2145">
        <v>0</v>
      </c>
      <c r="P2145">
        <v>193.00200000000001</v>
      </c>
      <c r="Q2145">
        <v>0</v>
      </c>
      <c r="R2145">
        <v>6.79</v>
      </c>
    </row>
    <row r="2146" spans="1:18" x14ac:dyDescent="0.25">
      <c r="A2146" s="1" t="s">
        <v>177</v>
      </c>
      <c r="B2146" s="2">
        <v>540</v>
      </c>
      <c r="C2146" s="19">
        <v>52</v>
      </c>
      <c r="D2146" s="3" t="s">
        <v>496</v>
      </c>
      <c r="E2146" s="3" t="s">
        <v>24</v>
      </c>
      <c r="F2146" s="23">
        <v>253882</v>
      </c>
      <c r="G2146" s="15">
        <v>2007</v>
      </c>
      <c r="H2146" s="15">
        <f>Table_7[[#This Row],[Listing Price (USD)]]/10000</f>
        <v>25.388200000000001</v>
      </c>
      <c r="I2146" s="28">
        <f>Table_7[[#This Row],[Length 
(ft)]]</f>
        <v>52</v>
      </c>
      <c r="J2146" s="28">
        <f>2020-Table_7[[#This Row],[Year]]</f>
        <v>13</v>
      </c>
      <c r="K2146">
        <v>1896755301518.1399</v>
      </c>
      <c r="L2146">
        <v>31911.0357890017</v>
      </c>
      <c r="M2146">
        <v>-0.13770757391656999</v>
      </c>
      <c r="N2146">
        <v>-9.0399534112288507</v>
      </c>
      <c r="O2146">
        <v>0</v>
      </c>
      <c r="P2146">
        <v>193.00200000000001</v>
      </c>
      <c r="Q2146">
        <v>0</v>
      </c>
      <c r="R2146">
        <v>6.79</v>
      </c>
    </row>
    <row r="2147" spans="1:18" x14ac:dyDescent="0.25">
      <c r="A2147" s="1" t="s">
        <v>177</v>
      </c>
      <c r="B2147" s="2">
        <v>540</v>
      </c>
      <c r="C2147" s="19">
        <v>52</v>
      </c>
      <c r="D2147" s="3" t="s">
        <v>496</v>
      </c>
      <c r="E2147" s="3" t="s">
        <v>536</v>
      </c>
      <c r="F2147" s="23">
        <v>258730</v>
      </c>
      <c r="G2147" s="15">
        <v>2007</v>
      </c>
      <c r="H2147" s="15">
        <f>Table_7[[#This Row],[Listing Price (USD)]]/10000</f>
        <v>25.873000000000001</v>
      </c>
      <c r="I2147" s="28">
        <f>Table_7[[#This Row],[Length 
(ft)]]</f>
        <v>52</v>
      </c>
      <c r="J2147" s="28">
        <f>2020-Table_7[[#This Row],[Year]]</f>
        <v>13</v>
      </c>
      <c r="K2147">
        <v>355222449505.211</v>
      </c>
      <c r="L2147">
        <v>60915.424399546202</v>
      </c>
      <c r="M2147">
        <v>0.42071197411002598</v>
      </c>
      <c r="N2147">
        <v>-1.99460756850381</v>
      </c>
      <c r="O2147">
        <v>0</v>
      </c>
      <c r="P2147">
        <v>193.00200000000001</v>
      </c>
      <c r="Q2147">
        <v>0</v>
      </c>
      <c r="R2147">
        <v>6.79</v>
      </c>
    </row>
    <row r="2148" spans="1:18" x14ac:dyDescent="0.25">
      <c r="A2148" s="1" t="s">
        <v>128</v>
      </c>
      <c r="B2148" s="2" t="s">
        <v>570</v>
      </c>
      <c r="C2148" s="19">
        <v>50</v>
      </c>
      <c r="D2148" s="3" t="s">
        <v>496</v>
      </c>
      <c r="E2148" s="3" t="s">
        <v>22</v>
      </c>
      <c r="F2148" s="23">
        <v>480196</v>
      </c>
      <c r="G2148" s="15">
        <v>2018</v>
      </c>
      <c r="H2148" s="15">
        <f>Table_7[[#This Row],[Listing Price (USD)]]/10000</f>
        <v>48.019599999999997</v>
      </c>
      <c r="I2148" s="28">
        <f>Table_7[[#This Row],[Length 
(ft)]]</f>
        <v>50</v>
      </c>
      <c r="J2148" s="28">
        <f>2020-Table_7[[#This Row],[Year]]</f>
        <v>2</v>
      </c>
      <c r="K2148">
        <v>3889668895299.6201</v>
      </c>
      <c r="L2148">
        <v>46772.825350754501</v>
      </c>
      <c r="M2148">
        <v>0.50668988995327402</v>
      </c>
      <c r="N2148">
        <v>-3.6967887053804298</v>
      </c>
      <c r="O2148">
        <v>15.09</v>
      </c>
      <c r="P2148">
        <v>150.00200000000001</v>
      </c>
      <c r="Q2148">
        <v>0</v>
      </c>
      <c r="R2148">
        <v>7.28</v>
      </c>
    </row>
    <row r="2149" spans="1:18" x14ac:dyDescent="0.25">
      <c r="A2149" s="1" t="s">
        <v>177</v>
      </c>
      <c r="B2149" s="3" t="s">
        <v>385</v>
      </c>
      <c r="C2149" s="19">
        <v>52</v>
      </c>
      <c r="D2149" s="3" t="s">
        <v>497</v>
      </c>
      <c r="E2149" s="3" t="s">
        <v>498</v>
      </c>
      <c r="F2149" s="23">
        <v>280000</v>
      </c>
      <c r="G2149" s="15">
        <v>2008</v>
      </c>
      <c r="H2149" s="15">
        <f>Table_7[[#This Row],[Listing Price (USD)]]/10000</f>
        <v>28</v>
      </c>
      <c r="I2149" s="28">
        <f>Table_7[[#This Row],[Length 
(ft)]]</f>
        <v>52</v>
      </c>
      <c r="J2149" s="28">
        <f>2020-Table_7[[#This Row],[Year]]</f>
        <v>12</v>
      </c>
      <c r="K2149">
        <v>1090515389749.41</v>
      </c>
      <c r="L2149">
        <v>8655.0006820680301</v>
      </c>
      <c r="M2149">
        <v>3.3968341556999899</v>
      </c>
      <c r="N2149">
        <v>-7.9879123401474903</v>
      </c>
      <c r="O2149">
        <v>0</v>
      </c>
      <c r="P2149">
        <v>193.00200000000001</v>
      </c>
      <c r="Q2149">
        <v>0</v>
      </c>
      <c r="R2149">
        <v>6.79</v>
      </c>
    </row>
    <row r="2150" spans="1:18" x14ac:dyDescent="0.25">
      <c r="A2150" s="1" t="s">
        <v>128</v>
      </c>
      <c r="B2150" s="2" t="s">
        <v>561</v>
      </c>
      <c r="C2150" s="19">
        <v>40</v>
      </c>
      <c r="D2150" s="3" t="s">
        <v>497</v>
      </c>
      <c r="E2150" s="3" t="s">
        <v>506</v>
      </c>
      <c r="F2150" s="23">
        <v>91135</v>
      </c>
      <c r="G2150" s="15">
        <v>2011</v>
      </c>
      <c r="H2150" s="15">
        <f>Table_7[[#This Row],[Listing Price (USD)]]/10000</f>
        <v>9.1135000000000002</v>
      </c>
      <c r="I2150" s="28">
        <f>Table_7[[#This Row],[Length 
(ft)]]</f>
        <v>40</v>
      </c>
      <c r="J2150" s="28">
        <f>2020-Table_7[[#This Row],[Year]]</f>
        <v>9</v>
      </c>
      <c r="K2150">
        <v>1370281481.4814799</v>
      </c>
      <c r="L2150">
        <v>14787.6357752901</v>
      </c>
      <c r="M2150">
        <v>0.62598970704669799</v>
      </c>
      <c r="N2150">
        <v>-20.1923705722071</v>
      </c>
      <c r="O2150">
        <v>12.9</v>
      </c>
      <c r="P2150">
        <v>85.902000000000001</v>
      </c>
      <c r="Q2150">
        <v>0</v>
      </c>
      <c r="R2150">
        <v>4.53</v>
      </c>
    </row>
    <row r="2151" spans="1:18" x14ac:dyDescent="0.25">
      <c r="A2151" s="1" t="s">
        <v>128</v>
      </c>
      <c r="B2151" s="2" t="s">
        <v>561</v>
      </c>
      <c r="C2151" s="19">
        <v>40</v>
      </c>
      <c r="D2151" s="3" t="s">
        <v>496</v>
      </c>
      <c r="E2151" s="3" t="s">
        <v>18</v>
      </c>
      <c r="F2151" s="23">
        <v>103249</v>
      </c>
      <c r="G2151" s="15">
        <v>2012</v>
      </c>
      <c r="H2151" s="15">
        <f>Table_7[[#This Row],[Listing Price (USD)]]/10000</f>
        <v>10.3249</v>
      </c>
      <c r="I2151" s="28">
        <f>Table_7[[#This Row],[Length 
(ft)]]</f>
        <v>40</v>
      </c>
      <c r="J2151" s="28">
        <f>2020-Table_7[[#This Row],[Year]]</f>
        <v>8</v>
      </c>
      <c r="K2151">
        <v>188925995936.80701</v>
      </c>
      <c r="L2151">
        <v>17658.947301119199</v>
      </c>
      <c r="M2151">
        <v>-1.2479835558140799</v>
      </c>
      <c r="N2151">
        <v>-9.0040436420214593</v>
      </c>
      <c r="O2151">
        <v>12.9</v>
      </c>
      <c r="P2151">
        <v>85.902000000000001</v>
      </c>
      <c r="Q2151">
        <v>0</v>
      </c>
      <c r="R2151">
        <v>4.53</v>
      </c>
    </row>
    <row r="2152" spans="1:18" x14ac:dyDescent="0.25">
      <c r="A2152" s="1" t="s">
        <v>128</v>
      </c>
      <c r="B2152" s="2" t="s">
        <v>561</v>
      </c>
      <c r="C2152" s="19">
        <v>40</v>
      </c>
      <c r="D2152" s="3" t="s">
        <v>496</v>
      </c>
      <c r="E2152" s="3" t="s">
        <v>3</v>
      </c>
      <c r="F2152" s="23">
        <v>132436</v>
      </c>
      <c r="G2152" s="15">
        <v>2009</v>
      </c>
      <c r="H2152" s="15">
        <f>Table_7[[#This Row],[Listing Price (USD)]]/10000</f>
        <v>13.243600000000001</v>
      </c>
      <c r="I2152" s="28">
        <f>Table_7[[#This Row],[Length 
(ft)]]</f>
        <v>40</v>
      </c>
      <c r="J2152" s="28">
        <f>2020-Table_7[[#This Row],[Year]]</f>
        <v>11</v>
      </c>
      <c r="K2152">
        <v>2639008701648.2598</v>
      </c>
      <c r="L2152">
        <v>39055.282928075401</v>
      </c>
      <c r="M2152">
        <v>0.47649885272508302</v>
      </c>
      <c r="N2152">
        <v>-7.7845864916787102</v>
      </c>
      <c r="O2152">
        <v>12.9</v>
      </c>
      <c r="P2152">
        <v>85.902000000000001</v>
      </c>
      <c r="Q2152">
        <v>0</v>
      </c>
      <c r="R2152">
        <v>4.53</v>
      </c>
    </row>
    <row r="2153" spans="1:18" x14ac:dyDescent="0.25">
      <c r="A2153" s="1" t="s">
        <v>128</v>
      </c>
      <c r="B2153" s="2" t="s">
        <v>561</v>
      </c>
      <c r="C2153" s="19">
        <v>40</v>
      </c>
      <c r="D2153" s="3" t="s">
        <v>496</v>
      </c>
      <c r="E2153" s="3" t="s">
        <v>3</v>
      </c>
      <c r="F2153" s="23">
        <v>133617</v>
      </c>
      <c r="G2153" s="15">
        <v>2011</v>
      </c>
      <c r="H2153" s="15">
        <f>Table_7[[#This Row],[Listing Price (USD)]]/10000</f>
        <v>13.361700000000001</v>
      </c>
      <c r="I2153" s="28">
        <f>Table_7[[#This Row],[Length 
(ft)]]</f>
        <v>40</v>
      </c>
      <c r="J2153" s="28">
        <f>2020-Table_7[[#This Row],[Year]]</f>
        <v>9</v>
      </c>
      <c r="K2153">
        <v>2639008701648.2598</v>
      </c>
      <c r="L2153">
        <v>39055.282928075401</v>
      </c>
      <c r="M2153">
        <v>0.47649885272508302</v>
      </c>
      <c r="N2153">
        <v>-7.7845864916787102</v>
      </c>
      <c r="O2153">
        <v>12.9</v>
      </c>
      <c r="P2153">
        <v>85.902000000000001</v>
      </c>
      <c r="Q2153">
        <v>0</v>
      </c>
      <c r="R2153">
        <v>4.53</v>
      </c>
    </row>
    <row r="2154" spans="1:18" x14ac:dyDescent="0.25">
      <c r="A2154" s="1" t="s">
        <v>128</v>
      </c>
      <c r="B2154" s="2" t="s">
        <v>561</v>
      </c>
      <c r="C2154" s="19">
        <v>40</v>
      </c>
      <c r="D2154" s="3" t="s">
        <v>496</v>
      </c>
      <c r="E2154" s="3" t="s">
        <v>19</v>
      </c>
      <c r="F2154" s="23">
        <v>146488</v>
      </c>
      <c r="G2154" s="15">
        <v>2010</v>
      </c>
      <c r="H2154" s="15">
        <f>Table_7[[#This Row],[Listing Price (USD)]]/10000</f>
        <v>14.6488</v>
      </c>
      <c r="I2154" s="28">
        <f>Table_7[[#This Row],[Length 
(ft)]]</f>
        <v>40</v>
      </c>
      <c r="J2154" s="28">
        <f>2020-Table_7[[#This Row],[Year]]</f>
        <v>10</v>
      </c>
      <c r="K2154">
        <v>4200000000</v>
      </c>
      <c r="L2154">
        <v>39553.199999999997</v>
      </c>
      <c r="M2154">
        <v>4.0999999999999996</v>
      </c>
      <c r="N2154">
        <v>-2.1</v>
      </c>
      <c r="O2154">
        <v>12.9</v>
      </c>
      <c r="P2154">
        <v>85.902000000000001</v>
      </c>
      <c r="Q2154">
        <v>0</v>
      </c>
      <c r="R2154">
        <v>4.53</v>
      </c>
    </row>
    <row r="2155" spans="1:18" x14ac:dyDescent="0.25">
      <c r="A2155" s="1" t="s">
        <v>128</v>
      </c>
      <c r="B2155" s="2" t="s">
        <v>561</v>
      </c>
      <c r="C2155" s="19">
        <v>40</v>
      </c>
      <c r="D2155" s="3" t="s">
        <v>496</v>
      </c>
      <c r="E2155" s="3" t="s">
        <v>56</v>
      </c>
      <c r="F2155" s="23">
        <v>164026</v>
      </c>
      <c r="G2155" s="15">
        <v>2012</v>
      </c>
      <c r="H2155" s="15">
        <f>Table_7[[#This Row],[Listing Price (USD)]]/10000</f>
        <v>16.4026</v>
      </c>
      <c r="I2155" s="28">
        <f>Table_7[[#This Row],[Length 
(ft)]]</f>
        <v>40</v>
      </c>
      <c r="J2155" s="28">
        <f>2020-Table_7[[#This Row],[Year]]</f>
        <v>8</v>
      </c>
      <c r="K2155">
        <v>14933066818.9606</v>
      </c>
      <c r="L2155">
        <v>28977.565567363599</v>
      </c>
      <c r="M2155">
        <v>0.63854495677665302</v>
      </c>
      <c r="N2155">
        <v>-8.3242832319722009</v>
      </c>
      <c r="O2155">
        <v>12.9</v>
      </c>
      <c r="P2155">
        <v>85.902000000000001</v>
      </c>
      <c r="Q2155">
        <v>0</v>
      </c>
      <c r="R2155">
        <v>4.53</v>
      </c>
    </row>
    <row r="2156" spans="1:18" x14ac:dyDescent="0.25">
      <c r="A2156" s="1" t="s">
        <v>185</v>
      </c>
      <c r="B2156" s="2" t="s">
        <v>186</v>
      </c>
      <c r="C2156" s="19">
        <v>42</v>
      </c>
      <c r="D2156" s="3" t="s">
        <v>496</v>
      </c>
      <c r="E2156" s="3" t="s">
        <v>3</v>
      </c>
      <c r="F2156" s="23">
        <v>83270</v>
      </c>
      <c r="G2156" s="15">
        <v>2005</v>
      </c>
      <c r="H2156" s="15">
        <f>Table_7[[#This Row],[Listing Price (USD)]]/10000</f>
        <v>8.327</v>
      </c>
      <c r="I2156" s="28">
        <f>Table_7[[#This Row],[Length 
(ft)]]</f>
        <v>42</v>
      </c>
      <c r="J2156" s="28">
        <f>2020-Table_7[[#This Row],[Year]]</f>
        <v>15</v>
      </c>
      <c r="K2156">
        <v>2639008701648.2598</v>
      </c>
      <c r="L2156">
        <v>39055.282928075401</v>
      </c>
      <c r="M2156">
        <v>0.47649885272508302</v>
      </c>
      <c r="N2156">
        <v>-7.7845864916787102</v>
      </c>
      <c r="O2156">
        <v>32.67</v>
      </c>
      <c r="P2156">
        <v>801.00199999999995</v>
      </c>
      <c r="Q2156">
        <v>0</v>
      </c>
      <c r="R2156">
        <v>12.67</v>
      </c>
    </row>
    <row r="2157" spans="1:18" x14ac:dyDescent="0.25">
      <c r="A2157" s="1" t="s">
        <v>239</v>
      </c>
      <c r="B2157" s="2" t="s">
        <v>242</v>
      </c>
      <c r="C2157" s="19">
        <v>44</v>
      </c>
      <c r="D2157" s="3" t="s">
        <v>496</v>
      </c>
      <c r="E2157" s="3" t="s">
        <v>516</v>
      </c>
      <c r="F2157" s="23">
        <v>351047</v>
      </c>
      <c r="G2157" s="15">
        <v>2005</v>
      </c>
      <c r="H2157" s="15">
        <f>Table_7[[#This Row],[Listing Price (USD)]]/10000</f>
        <v>35.104700000000001</v>
      </c>
      <c r="I2157" s="28">
        <f>Table_7[[#This Row],[Length 
(ft)]]</f>
        <v>44</v>
      </c>
      <c r="J2157" s="28">
        <f>2020-Table_7[[#This Row],[Year]]</f>
        <v>15</v>
      </c>
      <c r="K2157">
        <v>909793466661.48096</v>
      </c>
      <c r="L2157">
        <v>52162.570115040602</v>
      </c>
      <c r="M2157">
        <v>1.2724603778917001</v>
      </c>
      <c r="N2157">
        <v>-3.88608391819609</v>
      </c>
      <c r="O2157">
        <v>42.08</v>
      </c>
      <c r="P2157">
        <v>990.00199999999995</v>
      </c>
      <c r="Q2157">
        <v>0</v>
      </c>
      <c r="R2157">
        <v>14.08</v>
      </c>
    </row>
    <row r="2158" spans="1:18" x14ac:dyDescent="0.25">
      <c r="A2158" s="1" t="s">
        <v>143</v>
      </c>
      <c r="B2158" s="2" t="s">
        <v>156</v>
      </c>
      <c r="C2158" s="19">
        <v>44</v>
      </c>
      <c r="D2158" s="3" t="s">
        <v>496</v>
      </c>
      <c r="E2158" s="3" t="s">
        <v>31</v>
      </c>
      <c r="F2158" s="23">
        <v>145764</v>
      </c>
      <c r="G2158" s="15">
        <v>2015</v>
      </c>
      <c r="H2158" s="15">
        <f>Table_7[[#This Row],[Listing Price (USD)]]/10000</f>
        <v>14.5764</v>
      </c>
      <c r="I2158" s="28">
        <f>Table_7[[#This Row],[Length 
(ft)]]</f>
        <v>44</v>
      </c>
      <c r="J2158" s="28">
        <f>2020-Table_7[[#This Row],[Year]]</f>
        <v>5</v>
      </c>
      <c r="K2158">
        <v>57472012426.685303</v>
      </c>
      <c r="L2158">
        <v>14198.753959474399</v>
      </c>
      <c r="M2158">
        <v>0.15481137456202801</v>
      </c>
      <c r="N2158">
        <v>-8.5803430210621805</v>
      </c>
      <c r="O2158">
        <v>37.53</v>
      </c>
      <c r="P2158">
        <v>1068.432</v>
      </c>
      <c r="Q2158">
        <v>0</v>
      </c>
      <c r="R2158">
        <v>13.71</v>
      </c>
    </row>
    <row r="2159" spans="1:18" x14ac:dyDescent="0.25">
      <c r="A2159" s="1" t="s">
        <v>143</v>
      </c>
      <c r="B2159" s="2" t="s">
        <v>156</v>
      </c>
      <c r="C2159" s="19">
        <v>44</v>
      </c>
      <c r="D2159" s="3" t="s">
        <v>496</v>
      </c>
      <c r="E2159" s="3" t="s">
        <v>31</v>
      </c>
      <c r="F2159" s="23">
        <v>151837</v>
      </c>
      <c r="G2159" s="15">
        <v>2015</v>
      </c>
      <c r="H2159" s="15">
        <f>Table_7[[#This Row],[Listing Price (USD)]]/10000</f>
        <v>15.1837</v>
      </c>
      <c r="I2159" s="28">
        <f>Table_7[[#This Row],[Length 
(ft)]]</f>
        <v>44</v>
      </c>
      <c r="J2159" s="28">
        <f>2020-Table_7[[#This Row],[Year]]</f>
        <v>5</v>
      </c>
      <c r="K2159">
        <v>57472012426.685303</v>
      </c>
      <c r="L2159">
        <v>14198.753959474399</v>
      </c>
      <c r="M2159">
        <v>0.15481137456202801</v>
      </c>
      <c r="N2159">
        <v>-8.5803430210621805</v>
      </c>
      <c r="O2159">
        <v>37.53</v>
      </c>
      <c r="P2159">
        <v>1068.432</v>
      </c>
      <c r="Q2159">
        <v>0</v>
      </c>
      <c r="R2159">
        <v>13.71</v>
      </c>
    </row>
    <row r="2160" spans="1:18" x14ac:dyDescent="0.25">
      <c r="A2160" s="1" t="s">
        <v>143</v>
      </c>
      <c r="B2160" s="2" t="s">
        <v>156</v>
      </c>
      <c r="C2160" s="19">
        <v>44</v>
      </c>
      <c r="D2160" s="3" t="s">
        <v>496</v>
      </c>
      <c r="E2160" s="3" t="s">
        <v>31</v>
      </c>
      <c r="F2160" s="23">
        <v>154266</v>
      </c>
      <c r="G2160" s="15">
        <v>2016</v>
      </c>
      <c r="H2160" s="15">
        <f>Table_7[[#This Row],[Listing Price (USD)]]/10000</f>
        <v>15.426600000000001</v>
      </c>
      <c r="I2160" s="28">
        <f>Table_7[[#This Row],[Length 
(ft)]]</f>
        <v>44</v>
      </c>
      <c r="J2160" s="28">
        <f>2020-Table_7[[#This Row],[Year]]</f>
        <v>4</v>
      </c>
      <c r="K2160">
        <v>57472012426.685303</v>
      </c>
      <c r="L2160">
        <v>14198.753959474399</v>
      </c>
      <c r="M2160">
        <v>0.15481137456202801</v>
      </c>
      <c r="N2160">
        <v>-8.5803430210621805</v>
      </c>
      <c r="O2160">
        <v>37.53</v>
      </c>
      <c r="P2160">
        <v>1068.432</v>
      </c>
      <c r="Q2160">
        <v>0</v>
      </c>
      <c r="R2160">
        <v>13.71</v>
      </c>
    </row>
    <row r="2161" spans="1:18" x14ac:dyDescent="0.25">
      <c r="A2161" s="1" t="s">
        <v>143</v>
      </c>
      <c r="B2161" s="2" t="s">
        <v>156</v>
      </c>
      <c r="C2161" s="19">
        <v>44</v>
      </c>
      <c r="D2161" s="3" t="s">
        <v>496</v>
      </c>
      <c r="E2161" s="3" t="s">
        <v>31</v>
      </c>
      <c r="F2161" s="23">
        <v>157911</v>
      </c>
      <c r="G2161" s="15">
        <v>2015</v>
      </c>
      <c r="H2161" s="15">
        <f>Table_7[[#This Row],[Listing Price (USD)]]/10000</f>
        <v>15.7911</v>
      </c>
      <c r="I2161" s="28">
        <f>Table_7[[#This Row],[Length 
(ft)]]</f>
        <v>44</v>
      </c>
      <c r="J2161" s="28">
        <f>2020-Table_7[[#This Row],[Year]]</f>
        <v>5</v>
      </c>
      <c r="K2161">
        <v>57472012426.685303</v>
      </c>
      <c r="L2161">
        <v>14198.753959474399</v>
      </c>
      <c r="M2161">
        <v>0.15481137456202801</v>
      </c>
      <c r="N2161">
        <v>-8.5803430210621805</v>
      </c>
      <c r="O2161">
        <v>37.53</v>
      </c>
      <c r="P2161">
        <v>1068.432</v>
      </c>
      <c r="Q2161">
        <v>0</v>
      </c>
      <c r="R2161">
        <v>13.71</v>
      </c>
    </row>
    <row r="2162" spans="1:18" x14ac:dyDescent="0.25">
      <c r="A2162" s="1" t="s">
        <v>143</v>
      </c>
      <c r="B2162" s="2" t="s">
        <v>156</v>
      </c>
      <c r="C2162" s="19">
        <v>44</v>
      </c>
      <c r="D2162" s="3" t="s">
        <v>496</v>
      </c>
      <c r="E2162" s="3" t="s">
        <v>31</v>
      </c>
      <c r="F2162" s="23">
        <v>163984</v>
      </c>
      <c r="G2162" s="15">
        <v>2016</v>
      </c>
      <c r="H2162" s="15">
        <f>Table_7[[#This Row],[Listing Price (USD)]]/10000</f>
        <v>16.398399999999999</v>
      </c>
      <c r="I2162" s="28">
        <f>Table_7[[#This Row],[Length 
(ft)]]</f>
        <v>44</v>
      </c>
      <c r="J2162" s="28">
        <f>2020-Table_7[[#This Row],[Year]]</f>
        <v>4</v>
      </c>
      <c r="K2162">
        <v>57472012426.685303</v>
      </c>
      <c r="L2162">
        <v>14198.753959474399</v>
      </c>
      <c r="M2162">
        <v>0.15481137456202801</v>
      </c>
      <c r="N2162">
        <v>-8.5803430210621805</v>
      </c>
      <c r="O2162">
        <v>37.53</v>
      </c>
      <c r="P2162">
        <v>1068.432</v>
      </c>
      <c r="Q2162">
        <v>0</v>
      </c>
      <c r="R2162">
        <v>13.71</v>
      </c>
    </row>
    <row r="2163" spans="1:18" x14ac:dyDescent="0.25">
      <c r="A2163" s="1" t="s">
        <v>143</v>
      </c>
      <c r="B2163" s="2" t="s">
        <v>156</v>
      </c>
      <c r="C2163" s="19">
        <v>44</v>
      </c>
      <c r="D2163" s="3" t="s">
        <v>496</v>
      </c>
      <c r="E2163" s="3" t="s">
        <v>31</v>
      </c>
      <c r="F2163" s="23">
        <v>169865</v>
      </c>
      <c r="G2163" s="15">
        <v>2015</v>
      </c>
      <c r="H2163" s="15">
        <f>Table_7[[#This Row],[Listing Price (USD)]]/10000</f>
        <v>16.986499999999999</v>
      </c>
      <c r="I2163" s="28">
        <f>Table_7[[#This Row],[Length 
(ft)]]</f>
        <v>44</v>
      </c>
      <c r="J2163" s="28">
        <f>2020-Table_7[[#This Row],[Year]]</f>
        <v>5</v>
      </c>
      <c r="K2163">
        <v>57472012426.685303</v>
      </c>
      <c r="L2163">
        <v>14198.753959474399</v>
      </c>
      <c r="M2163">
        <v>0.15481137456202801</v>
      </c>
      <c r="N2163">
        <v>-8.5803430210621805</v>
      </c>
      <c r="O2163">
        <v>37.53</v>
      </c>
      <c r="P2163">
        <v>1068.432</v>
      </c>
      <c r="Q2163">
        <v>0</v>
      </c>
      <c r="R2163">
        <v>13.71</v>
      </c>
    </row>
    <row r="2164" spans="1:18" x14ac:dyDescent="0.25">
      <c r="A2164" s="1" t="s">
        <v>143</v>
      </c>
      <c r="B2164" s="2" t="s">
        <v>156</v>
      </c>
      <c r="C2164" s="19">
        <v>44</v>
      </c>
      <c r="D2164" s="3" t="s">
        <v>496</v>
      </c>
      <c r="E2164" s="3" t="s">
        <v>18</v>
      </c>
      <c r="F2164" s="23">
        <v>170057</v>
      </c>
      <c r="G2164" s="15">
        <v>2015</v>
      </c>
      <c r="H2164" s="15">
        <f>Table_7[[#This Row],[Listing Price (USD)]]/10000</f>
        <v>17.005700000000001</v>
      </c>
      <c r="I2164" s="28">
        <f>Table_7[[#This Row],[Length 
(ft)]]</f>
        <v>44</v>
      </c>
      <c r="J2164" s="28">
        <f>2020-Table_7[[#This Row],[Year]]</f>
        <v>5</v>
      </c>
      <c r="K2164">
        <v>188925995936.80701</v>
      </c>
      <c r="L2164">
        <v>17658.947301119199</v>
      </c>
      <c r="M2164">
        <v>-1.2479835558140799</v>
      </c>
      <c r="N2164">
        <v>-9.0040436420214593</v>
      </c>
      <c r="O2164">
        <v>37.53</v>
      </c>
      <c r="P2164">
        <v>1068.432</v>
      </c>
      <c r="Q2164">
        <v>0</v>
      </c>
      <c r="R2164">
        <v>13.71</v>
      </c>
    </row>
    <row r="2165" spans="1:18" x14ac:dyDescent="0.25">
      <c r="A2165" s="1" t="s">
        <v>143</v>
      </c>
      <c r="B2165" s="2" t="s">
        <v>156</v>
      </c>
      <c r="C2165" s="19">
        <v>44</v>
      </c>
      <c r="D2165" s="3" t="s">
        <v>496</v>
      </c>
      <c r="E2165" s="3" t="s">
        <v>31</v>
      </c>
      <c r="F2165" s="23">
        <v>194108</v>
      </c>
      <c r="G2165" s="15">
        <v>2017</v>
      </c>
      <c r="H2165" s="15">
        <f>Table_7[[#This Row],[Listing Price (USD)]]/10000</f>
        <v>19.410799999999998</v>
      </c>
      <c r="I2165" s="28">
        <f>Table_7[[#This Row],[Length 
(ft)]]</f>
        <v>44</v>
      </c>
      <c r="J2165" s="28">
        <f>2020-Table_7[[#This Row],[Year]]</f>
        <v>3</v>
      </c>
      <c r="K2165">
        <v>57472012426.685303</v>
      </c>
      <c r="L2165">
        <v>14198.753959474399</v>
      </c>
      <c r="M2165">
        <v>0.15481137456202801</v>
      </c>
      <c r="N2165">
        <v>-8.5803430210621805</v>
      </c>
      <c r="O2165">
        <v>37.53</v>
      </c>
      <c r="P2165">
        <v>1068.432</v>
      </c>
      <c r="Q2165">
        <v>0</v>
      </c>
      <c r="R2165">
        <v>13.71</v>
      </c>
    </row>
    <row r="2166" spans="1:18" x14ac:dyDescent="0.25">
      <c r="A2166" s="1" t="s">
        <v>143</v>
      </c>
      <c r="B2166" s="2" t="s">
        <v>157</v>
      </c>
      <c r="C2166" s="19">
        <v>44</v>
      </c>
      <c r="D2166" s="3" t="s">
        <v>496</v>
      </c>
      <c r="E2166" s="3" t="s">
        <v>31</v>
      </c>
      <c r="F2166" s="23">
        <v>169865</v>
      </c>
      <c r="G2166" s="15">
        <v>2017</v>
      </c>
      <c r="H2166" s="15">
        <f>Table_7[[#This Row],[Listing Price (USD)]]/10000</f>
        <v>16.986499999999999</v>
      </c>
      <c r="I2166" s="28">
        <f>Table_7[[#This Row],[Length 
(ft)]]</f>
        <v>44</v>
      </c>
      <c r="J2166" s="28">
        <f>2020-Table_7[[#This Row],[Year]]</f>
        <v>3</v>
      </c>
      <c r="K2166">
        <v>57472012426.685303</v>
      </c>
      <c r="L2166">
        <v>14198.753959474399</v>
      </c>
      <c r="M2166">
        <v>0.15481137456202801</v>
      </c>
      <c r="N2166">
        <v>-8.5803430210621805</v>
      </c>
      <c r="O2166">
        <v>37.53</v>
      </c>
      <c r="P2166">
        <v>1068.432</v>
      </c>
      <c r="Q2166">
        <v>0</v>
      </c>
      <c r="R2166">
        <v>13.71</v>
      </c>
    </row>
    <row r="2167" spans="1:18" x14ac:dyDescent="0.25">
      <c r="A2167" s="1" t="s">
        <v>128</v>
      </c>
      <c r="B2167" s="2" t="s">
        <v>135</v>
      </c>
      <c r="C2167" s="19">
        <v>45</v>
      </c>
      <c r="D2167" s="3" t="s">
        <v>496</v>
      </c>
      <c r="E2167" s="3" t="s">
        <v>3</v>
      </c>
      <c r="F2167" s="23">
        <v>182204</v>
      </c>
      <c r="G2167" s="15">
        <v>2011</v>
      </c>
      <c r="H2167" s="15">
        <f>Table_7[[#This Row],[Listing Price (USD)]]/10000</f>
        <v>18.220400000000001</v>
      </c>
      <c r="I2167" s="28">
        <f>Table_7[[#This Row],[Length 
(ft)]]</f>
        <v>45</v>
      </c>
      <c r="J2167" s="28">
        <f>2020-Table_7[[#This Row],[Year]]</f>
        <v>9</v>
      </c>
      <c r="K2167">
        <v>2639008701648.2598</v>
      </c>
      <c r="L2167">
        <v>39055.282928075401</v>
      </c>
      <c r="M2167">
        <v>0.47649885272508302</v>
      </c>
      <c r="N2167">
        <v>-7.7845864916787102</v>
      </c>
      <c r="O2167">
        <v>37.53</v>
      </c>
      <c r="P2167">
        <v>1068.432</v>
      </c>
      <c r="Q2167">
        <v>0</v>
      </c>
      <c r="R2167">
        <v>13.71</v>
      </c>
    </row>
    <row r="2168" spans="1:18" x14ac:dyDescent="0.25">
      <c r="A2168" s="1" t="s">
        <v>128</v>
      </c>
      <c r="B2168" s="2" t="s">
        <v>565</v>
      </c>
      <c r="C2168" s="19">
        <v>44</v>
      </c>
      <c r="D2168" s="3" t="s">
        <v>496</v>
      </c>
      <c r="E2168" s="3" t="s">
        <v>3</v>
      </c>
      <c r="F2168" s="23">
        <v>168843</v>
      </c>
      <c r="G2168" s="15">
        <v>2015</v>
      </c>
      <c r="H2168" s="15">
        <f>Table_7[[#This Row],[Listing Price (USD)]]/10000</f>
        <v>16.8843</v>
      </c>
      <c r="I2168" s="28">
        <f>Table_7[[#This Row],[Length 
(ft)]]</f>
        <v>44</v>
      </c>
      <c r="J2168" s="28">
        <f>2020-Table_7[[#This Row],[Year]]</f>
        <v>5</v>
      </c>
      <c r="K2168">
        <v>2639008701648.2598</v>
      </c>
      <c r="L2168">
        <v>39055.282928075401</v>
      </c>
      <c r="M2168">
        <v>0.47649885272508302</v>
      </c>
      <c r="N2168">
        <v>-7.7845864916787102</v>
      </c>
      <c r="O2168">
        <v>14</v>
      </c>
      <c r="P2168">
        <v>0</v>
      </c>
      <c r="Q2168">
        <v>0</v>
      </c>
      <c r="R2168">
        <v>6.56</v>
      </c>
    </row>
    <row r="2169" spans="1:18" x14ac:dyDescent="0.25">
      <c r="A2169" s="1" t="s">
        <v>128</v>
      </c>
      <c r="B2169" s="2" t="s">
        <v>565</v>
      </c>
      <c r="C2169" s="19">
        <v>44</v>
      </c>
      <c r="D2169" s="3" t="s">
        <v>496</v>
      </c>
      <c r="E2169" s="3" t="s">
        <v>63</v>
      </c>
      <c r="F2169" s="23">
        <v>180990</v>
      </c>
      <c r="G2169" s="15">
        <v>2013</v>
      </c>
      <c r="H2169" s="15">
        <f>Table_7[[#This Row],[Listing Price (USD)]]/10000</f>
        <v>18.099</v>
      </c>
      <c r="I2169" s="28">
        <f>Table_7[[#This Row],[Length 
(ft)]]</f>
        <v>44</v>
      </c>
      <c r="J2169" s="28">
        <f>2020-Table_7[[#This Row],[Year]]</f>
        <v>7</v>
      </c>
      <c r="K2169">
        <v>720290000000</v>
      </c>
      <c r="L2169">
        <v>13341.6</v>
      </c>
      <c r="M2169">
        <v>13</v>
      </c>
      <c r="N2169">
        <v>-3</v>
      </c>
      <c r="O2169">
        <v>14</v>
      </c>
      <c r="P2169">
        <v>0</v>
      </c>
      <c r="Q2169">
        <v>0</v>
      </c>
      <c r="R2169">
        <v>6.56</v>
      </c>
    </row>
    <row r="2170" spans="1:18" x14ac:dyDescent="0.25">
      <c r="A2170" s="1" t="s">
        <v>128</v>
      </c>
      <c r="B2170" s="2" t="s">
        <v>565</v>
      </c>
      <c r="C2170" s="19">
        <v>44</v>
      </c>
      <c r="D2170" s="3" t="s">
        <v>496</v>
      </c>
      <c r="E2170" s="3" t="s">
        <v>31</v>
      </c>
      <c r="F2170" s="23">
        <v>182204</v>
      </c>
      <c r="G2170" s="15">
        <v>2014</v>
      </c>
      <c r="H2170" s="15">
        <f>Table_7[[#This Row],[Listing Price (USD)]]/10000</f>
        <v>18.220400000000001</v>
      </c>
      <c r="I2170" s="28">
        <f>Table_7[[#This Row],[Length 
(ft)]]</f>
        <v>44</v>
      </c>
      <c r="J2170" s="28">
        <f>2020-Table_7[[#This Row],[Year]]</f>
        <v>6</v>
      </c>
      <c r="K2170">
        <v>57472012426.685303</v>
      </c>
      <c r="L2170">
        <v>14198.753959474399</v>
      </c>
      <c r="M2170">
        <v>0.15481137456202801</v>
      </c>
      <c r="N2170">
        <v>-8.5803430210621805</v>
      </c>
      <c r="O2170">
        <v>14</v>
      </c>
      <c r="P2170">
        <v>0</v>
      </c>
      <c r="Q2170">
        <v>0</v>
      </c>
      <c r="R2170">
        <v>6.56</v>
      </c>
    </row>
    <row r="2171" spans="1:18" x14ac:dyDescent="0.25">
      <c r="A2171" s="1" t="s">
        <v>128</v>
      </c>
      <c r="B2171" s="2" t="s">
        <v>565</v>
      </c>
      <c r="C2171" s="19">
        <v>44</v>
      </c>
      <c r="D2171" s="3" t="s">
        <v>496</v>
      </c>
      <c r="E2171" s="3" t="s">
        <v>63</v>
      </c>
      <c r="F2171" s="23">
        <v>193137</v>
      </c>
      <c r="G2171" s="15">
        <v>2015</v>
      </c>
      <c r="H2171" s="15">
        <f>Table_7[[#This Row],[Listing Price (USD)]]/10000</f>
        <v>19.313700000000001</v>
      </c>
      <c r="I2171" s="28">
        <f>Table_7[[#This Row],[Length 
(ft)]]</f>
        <v>44</v>
      </c>
      <c r="J2171" s="28">
        <f>2020-Table_7[[#This Row],[Year]]</f>
        <v>5</v>
      </c>
      <c r="K2171">
        <v>720290000018</v>
      </c>
      <c r="L2171">
        <v>13341.6</v>
      </c>
      <c r="M2171">
        <v>13</v>
      </c>
      <c r="N2171">
        <v>-3</v>
      </c>
      <c r="O2171">
        <v>14</v>
      </c>
      <c r="P2171">
        <v>0</v>
      </c>
      <c r="Q2171">
        <v>0</v>
      </c>
      <c r="R2171">
        <v>6.56</v>
      </c>
    </row>
    <row r="2172" spans="1:18" x14ac:dyDescent="0.25">
      <c r="A2172" s="1" t="s">
        <v>128</v>
      </c>
      <c r="B2172" s="3" t="s">
        <v>383</v>
      </c>
      <c r="C2172" s="19">
        <v>45</v>
      </c>
      <c r="D2172" s="3" t="s">
        <v>497</v>
      </c>
      <c r="E2172" s="3" t="s">
        <v>370</v>
      </c>
      <c r="F2172" s="23">
        <v>199000</v>
      </c>
      <c r="G2172" s="15">
        <v>2014</v>
      </c>
      <c r="H2172" s="15">
        <f>Table_7[[#This Row],[Listing Price (USD)]]/10000</f>
        <v>19.899999999999999</v>
      </c>
      <c r="I2172" s="28">
        <f>Table_7[[#This Row],[Length 
(ft)]]</f>
        <v>45</v>
      </c>
      <c r="J2172" s="28">
        <f>2020-Table_7[[#This Row],[Year]]</f>
        <v>6</v>
      </c>
      <c r="K2172">
        <v>500000000</v>
      </c>
      <c r="L2172">
        <v>34200</v>
      </c>
      <c r="M2172">
        <v>1.1000000000000001</v>
      </c>
      <c r="N2172">
        <v>2</v>
      </c>
      <c r="O2172">
        <v>14</v>
      </c>
      <c r="P2172">
        <v>0</v>
      </c>
      <c r="Q2172">
        <v>0</v>
      </c>
      <c r="R2172">
        <v>6.56</v>
      </c>
    </row>
    <row r="2173" spans="1:18" x14ac:dyDescent="0.25">
      <c r="A2173" s="1" t="s">
        <v>357</v>
      </c>
      <c r="B2173" s="3" t="s">
        <v>358</v>
      </c>
      <c r="C2173" s="19">
        <v>47</v>
      </c>
      <c r="D2173" s="3" t="s">
        <v>495</v>
      </c>
      <c r="E2173" s="3" t="s">
        <v>515</v>
      </c>
      <c r="F2173" s="23">
        <v>495000</v>
      </c>
      <c r="G2173" s="15">
        <v>2009</v>
      </c>
      <c r="H2173" s="15">
        <f>Table_7[[#This Row],[Listing Price (USD)]]/10000</f>
        <v>49.5</v>
      </c>
      <c r="I2173" s="28">
        <f>Table_7[[#This Row],[Length 
(ft)]]</f>
        <v>47</v>
      </c>
      <c r="J2173" s="28">
        <f>2020-Table_7[[#This Row],[Year]]</f>
        <v>11</v>
      </c>
      <c r="K2173">
        <v>410675000000</v>
      </c>
      <c r="L2173">
        <v>66531.03</v>
      </c>
      <c r="M2173">
        <v>1.23</v>
      </c>
      <c r="N2173">
        <v>1.8</v>
      </c>
      <c r="O2173">
        <v>14.58</v>
      </c>
      <c r="P2173">
        <v>137.00200000000001</v>
      </c>
      <c r="Q2173">
        <v>0</v>
      </c>
      <c r="R2173">
        <v>5.5</v>
      </c>
    </row>
    <row r="2174" spans="1:18" x14ac:dyDescent="0.25">
      <c r="A2174" s="1" t="s">
        <v>357</v>
      </c>
      <c r="B2174" s="3" t="s">
        <v>358</v>
      </c>
      <c r="C2174" s="19">
        <v>47</v>
      </c>
      <c r="D2174" s="3" t="s">
        <v>495</v>
      </c>
      <c r="E2174" s="3" t="s">
        <v>545</v>
      </c>
      <c r="F2174" s="23">
        <v>524500</v>
      </c>
      <c r="G2174" s="15">
        <v>2008</v>
      </c>
      <c r="H2174" s="15">
        <f>Table_7[[#This Row],[Listing Price (USD)]]/10000</f>
        <v>52.45</v>
      </c>
      <c r="I2174" s="28">
        <f>Table_7[[#This Row],[Length 
(ft)]]</f>
        <v>47</v>
      </c>
      <c r="J2174" s="28">
        <f>2020-Table_7[[#This Row],[Year]]</f>
        <v>12</v>
      </c>
      <c r="K2174">
        <v>515120000000</v>
      </c>
      <c r="L2174">
        <v>51165.75</v>
      </c>
      <c r="M2174">
        <v>1.23</v>
      </c>
      <c r="N2174">
        <v>2.6</v>
      </c>
      <c r="O2174">
        <v>14.58</v>
      </c>
      <c r="P2174">
        <v>137.00200000000001</v>
      </c>
      <c r="Q2174">
        <v>0</v>
      </c>
      <c r="R2174">
        <v>5.5</v>
      </c>
    </row>
    <row r="2175" spans="1:18" x14ac:dyDescent="0.25">
      <c r="A2175" s="1" t="s">
        <v>177</v>
      </c>
      <c r="B2175" s="2" t="s">
        <v>182</v>
      </c>
      <c r="C2175" s="19">
        <v>47</v>
      </c>
      <c r="D2175" s="3" t="s">
        <v>496</v>
      </c>
      <c r="E2175" s="3" t="s">
        <v>3</v>
      </c>
      <c r="F2175" s="23">
        <v>180990</v>
      </c>
      <c r="G2175" s="15">
        <v>2007</v>
      </c>
      <c r="H2175" s="15">
        <f>Table_7[[#This Row],[Listing Price (USD)]]/10000</f>
        <v>18.099</v>
      </c>
      <c r="I2175" s="28">
        <f>Table_7[[#This Row],[Length 
(ft)]]</f>
        <v>47</v>
      </c>
      <c r="J2175" s="28">
        <f>2020-Table_7[[#This Row],[Year]]</f>
        <v>13</v>
      </c>
      <c r="K2175">
        <v>2639008701648.2598</v>
      </c>
      <c r="L2175">
        <v>39055.282928075401</v>
      </c>
      <c r="M2175">
        <v>0.47649885272508302</v>
      </c>
      <c r="N2175">
        <v>-7.7845864916787102</v>
      </c>
      <c r="O2175">
        <v>14.58</v>
      </c>
      <c r="P2175">
        <v>137.00200000000001</v>
      </c>
      <c r="Q2175">
        <v>0</v>
      </c>
      <c r="R2175">
        <v>5.5</v>
      </c>
    </row>
    <row r="2176" spans="1:18" x14ac:dyDescent="0.25">
      <c r="A2176" s="1" t="s">
        <v>177</v>
      </c>
      <c r="B2176" s="2" t="s">
        <v>182</v>
      </c>
      <c r="C2176" s="19">
        <v>47</v>
      </c>
      <c r="D2176" s="3" t="s">
        <v>496</v>
      </c>
      <c r="E2176" s="3" t="s">
        <v>3</v>
      </c>
      <c r="F2176" s="23">
        <v>181036</v>
      </c>
      <c r="G2176" s="15">
        <v>2007</v>
      </c>
      <c r="H2176" s="15">
        <f>Table_7[[#This Row],[Listing Price (USD)]]/10000</f>
        <v>18.1036</v>
      </c>
      <c r="I2176" s="28">
        <f>Table_7[[#This Row],[Length 
(ft)]]</f>
        <v>47</v>
      </c>
      <c r="J2176" s="28">
        <f>2020-Table_7[[#This Row],[Year]]</f>
        <v>13</v>
      </c>
      <c r="K2176">
        <v>2639008701648.2598</v>
      </c>
      <c r="L2176">
        <v>39055.282928075401</v>
      </c>
      <c r="M2176">
        <v>0.47649885272508302</v>
      </c>
      <c r="N2176">
        <v>-7.7845864916787102</v>
      </c>
      <c r="O2176">
        <v>14.58</v>
      </c>
      <c r="P2176">
        <v>137.00200000000001</v>
      </c>
      <c r="Q2176">
        <v>0</v>
      </c>
      <c r="R2176">
        <v>5.5</v>
      </c>
    </row>
    <row r="2177" spans="1:18" x14ac:dyDescent="0.25">
      <c r="A2177" s="1" t="s">
        <v>177</v>
      </c>
      <c r="B2177" s="2" t="s">
        <v>182</v>
      </c>
      <c r="C2177" s="19">
        <v>47</v>
      </c>
      <c r="D2177" s="3" t="s">
        <v>496</v>
      </c>
      <c r="E2177" s="3" t="s">
        <v>516</v>
      </c>
      <c r="F2177" s="23">
        <v>181597</v>
      </c>
      <c r="G2177" s="15">
        <v>2007</v>
      </c>
      <c r="H2177" s="15">
        <f>Table_7[[#This Row],[Listing Price (USD)]]/10000</f>
        <v>18.159700000000001</v>
      </c>
      <c r="I2177" s="28">
        <f>Table_7[[#This Row],[Length 
(ft)]]</f>
        <v>47</v>
      </c>
      <c r="J2177" s="28">
        <f>2020-Table_7[[#This Row],[Year]]</f>
        <v>13</v>
      </c>
      <c r="K2177">
        <v>909793466661.48096</v>
      </c>
      <c r="L2177">
        <v>52162.570115040602</v>
      </c>
      <c r="M2177">
        <v>1.2724603778917001</v>
      </c>
      <c r="N2177">
        <v>-3.88608391819609</v>
      </c>
      <c r="O2177">
        <v>14.58</v>
      </c>
      <c r="P2177">
        <v>137.00200000000001</v>
      </c>
      <c r="Q2177">
        <v>0</v>
      </c>
      <c r="R2177">
        <v>5.5</v>
      </c>
    </row>
    <row r="2178" spans="1:18" x14ac:dyDescent="0.25">
      <c r="A2178" s="1" t="s">
        <v>177</v>
      </c>
      <c r="B2178" s="2" t="s">
        <v>182</v>
      </c>
      <c r="C2178" s="19">
        <v>47</v>
      </c>
      <c r="D2178" s="3" t="s">
        <v>496</v>
      </c>
      <c r="E2178" s="3" t="s">
        <v>3</v>
      </c>
      <c r="F2178" s="23">
        <v>188326</v>
      </c>
      <c r="G2178" s="15">
        <v>2008</v>
      </c>
      <c r="H2178" s="15">
        <f>Table_7[[#This Row],[Listing Price (USD)]]/10000</f>
        <v>18.832599999999999</v>
      </c>
      <c r="I2178" s="28">
        <f>Table_7[[#This Row],[Length 
(ft)]]</f>
        <v>47</v>
      </c>
      <c r="J2178" s="28">
        <f>2020-Table_7[[#This Row],[Year]]</f>
        <v>12</v>
      </c>
      <c r="K2178">
        <v>2639008701648.2598</v>
      </c>
      <c r="L2178">
        <v>39055.282928075401</v>
      </c>
      <c r="M2178">
        <v>0.47649885272508302</v>
      </c>
      <c r="N2178">
        <v>-7.7845864916787102</v>
      </c>
      <c r="O2178">
        <v>14.58</v>
      </c>
      <c r="P2178">
        <v>137.00200000000001</v>
      </c>
      <c r="Q2178">
        <v>0</v>
      </c>
      <c r="R2178">
        <v>5.5</v>
      </c>
    </row>
    <row r="2179" spans="1:18" x14ac:dyDescent="0.25">
      <c r="A2179" s="1" t="s">
        <v>177</v>
      </c>
      <c r="B2179" s="2" t="s">
        <v>182</v>
      </c>
      <c r="C2179" s="19">
        <v>47</v>
      </c>
      <c r="D2179" s="3" t="s">
        <v>496</v>
      </c>
      <c r="E2179" s="3" t="s">
        <v>31</v>
      </c>
      <c r="F2179" s="23">
        <v>193137</v>
      </c>
      <c r="G2179" s="15">
        <v>2010</v>
      </c>
      <c r="H2179" s="15">
        <f>Table_7[[#This Row],[Listing Price (USD)]]/10000</f>
        <v>19.313700000000001</v>
      </c>
      <c r="I2179" s="28">
        <f>Table_7[[#This Row],[Length 
(ft)]]</f>
        <v>47</v>
      </c>
      <c r="J2179" s="28">
        <f>2020-Table_7[[#This Row],[Year]]</f>
        <v>10</v>
      </c>
      <c r="K2179">
        <v>57472012426.685303</v>
      </c>
      <c r="L2179">
        <v>14198.753959474399</v>
      </c>
      <c r="M2179">
        <v>0.15481137456202801</v>
      </c>
      <c r="N2179">
        <v>-8.5803430210621805</v>
      </c>
      <c r="O2179">
        <v>14.58</v>
      </c>
      <c r="P2179">
        <v>137.00200000000001</v>
      </c>
      <c r="Q2179">
        <v>0</v>
      </c>
      <c r="R2179">
        <v>5.5</v>
      </c>
    </row>
    <row r="2180" spans="1:18" x14ac:dyDescent="0.25">
      <c r="A2180" s="1" t="s">
        <v>177</v>
      </c>
      <c r="B2180" s="2" t="s">
        <v>182</v>
      </c>
      <c r="C2180" s="19">
        <v>47</v>
      </c>
      <c r="D2180" s="3" t="s">
        <v>496</v>
      </c>
      <c r="E2180" s="3" t="s">
        <v>536</v>
      </c>
      <c r="F2180" s="23">
        <v>199990</v>
      </c>
      <c r="G2180" s="15">
        <v>2006</v>
      </c>
      <c r="H2180" s="15">
        <f>Table_7[[#This Row],[Listing Price (USD)]]/10000</f>
        <v>19.998999999999999</v>
      </c>
      <c r="I2180" s="28">
        <f>Table_7[[#This Row],[Length 
(ft)]]</f>
        <v>47</v>
      </c>
      <c r="J2180" s="28">
        <f>2020-Table_7[[#This Row],[Year]]</f>
        <v>14</v>
      </c>
      <c r="K2180">
        <v>355222449505.211</v>
      </c>
      <c r="L2180">
        <v>60915.424399546202</v>
      </c>
      <c r="M2180">
        <v>0.42071197411002598</v>
      </c>
      <c r="N2180">
        <v>-1.99460756850381</v>
      </c>
      <c r="O2180">
        <v>14.58</v>
      </c>
      <c r="P2180">
        <v>137.00200000000001</v>
      </c>
      <c r="Q2180">
        <v>0</v>
      </c>
      <c r="R2180">
        <v>5.5</v>
      </c>
    </row>
    <row r="2181" spans="1:18" x14ac:dyDescent="0.25">
      <c r="A2181" s="1" t="s">
        <v>177</v>
      </c>
      <c r="B2181" s="2" t="s">
        <v>182</v>
      </c>
      <c r="C2181" s="19">
        <v>47</v>
      </c>
      <c r="D2181" s="3" t="s">
        <v>496</v>
      </c>
      <c r="E2181" s="3" t="s">
        <v>3</v>
      </c>
      <c r="F2181" s="23">
        <v>224719</v>
      </c>
      <c r="G2181" s="15">
        <v>2008</v>
      </c>
      <c r="H2181" s="15">
        <f>Table_7[[#This Row],[Listing Price (USD)]]/10000</f>
        <v>22.471900000000002</v>
      </c>
      <c r="I2181" s="28">
        <f>Table_7[[#This Row],[Length 
(ft)]]</f>
        <v>47</v>
      </c>
      <c r="J2181" s="28">
        <f>2020-Table_7[[#This Row],[Year]]</f>
        <v>12</v>
      </c>
      <c r="K2181">
        <v>2639008701648.2598</v>
      </c>
      <c r="L2181">
        <v>39055.282928075401</v>
      </c>
      <c r="M2181">
        <v>0.47649885272508302</v>
      </c>
      <c r="N2181">
        <v>-7.7845864916787102</v>
      </c>
      <c r="O2181">
        <v>14.58</v>
      </c>
      <c r="P2181">
        <v>137.00200000000001</v>
      </c>
      <c r="Q2181">
        <v>0</v>
      </c>
      <c r="R2181">
        <v>5.5</v>
      </c>
    </row>
    <row r="2182" spans="1:18" x14ac:dyDescent="0.25">
      <c r="A2182" s="1" t="s">
        <v>177</v>
      </c>
      <c r="B2182" s="2" t="s">
        <v>182</v>
      </c>
      <c r="C2182" s="19">
        <v>47</v>
      </c>
      <c r="D2182" s="3" t="s">
        <v>496</v>
      </c>
      <c r="E2182" s="3" t="s">
        <v>22</v>
      </c>
      <c r="F2182" s="23">
        <v>236866</v>
      </c>
      <c r="G2182" s="15">
        <v>2007</v>
      </c>
      <c r="H2182" s="15">
        <f>Table_7[[#This Row],[Listing Price (USD)]]/10000</f>
        <v>23.686599999999999</v>
      </c>
      <c r="I2182" s="28">
        <f>Table_7[[#This Row],[Length 
(ft)]]</f>
        <v>47</v>
      </c>
      <c r="J2182" s="28">
        <f>2020-Table_7[[#This Row],[Year]]</f>
        <v>13</v>
      </c>
      <c r="K2182">
        <v>3889668895299.6201</v>
      </c>
      <c r="L2182">
        <v>46772.825350754501</v>
      </c>
      <c r="M2182">
        <v>0.50668988995327402</v>
      </c>
      <c r="N2182">
        <v>-3.6967887053804298</v>
      </c>
      <c r="O2182">
        <v>14.58</v>
      </c>
      <c r="P2182">
        <v>137.00200000000001</v>
      </c>
      <c r="Q2182">
        <v>0</v>
      </c>
      <c r="R2182">
        <v>5.5</v>
      </c>
    </row>
    <row r="2183" spans="1:18" x14ac:dyDescent="0.25">
      <c r="A2183" s="1" t="s">
        <v>177</v>
      </c>
      <c r="B2183" s="3" t="s">
        <v>182</v>
      </c>
      <c r="C2183" s="19">
        <v>47</v>
      </c>
      <c r="D2183" s="3" t="s">
        <v>495</v>
      </c>
      <c r="E2183" s="3" t="s">
        <v>499</v>
      </c>
      <c r="F2183" s="23">
        <v>249000</v>
      </c>
      <c r="G2183" s="15">
        <v>2008</v>
      </c>
      <c r="H2183" s="15">
        <f>Table_7[[#This Row],[Listing Price (USD)]]/10000</f>
        <v>24.9</v>
      </c>
      <c r="I2183" s="28">
        <f>Table_7[[#This Row],[Length 
(ft)]]</f>
        <v>47</v>
      </c>
      <c r="J2183" s="28">
        <f>2020-Table_7[[#This Row],[Year]]</f>
        <v>12</v>
      </c>
      <c r="K2183">
        <v>212540000000</v>
      </c>
      <c r="L2183">
        <v>76778.559999999998</v>
      </c>
      <c r="M2183">
        <v>1.23</v>
      </c>
      <c r="N2183">
        <v>2.2000000000000002</v>
      </c>
      <c r="O2183">
        <v>14.58</v>
      </c>
      <c r="P2183">
        <v>137.00200000000001</v>
      </c>
      <c r="Q2183">
        <v>0</v>
      </c>
      <c r="R2183">
        <v>5.5</v>
      </c>
    </row>
    <row r="2184" spans="1:18" x14ac:dyDescent="0.25">
      <c r="A2184" s="1" t="s">
        <v>164</v>
      </c>
      <c r="B2184" s="2" t="s">
        <v>173</v>
      </c>
      <c r="C2184" s="19">
        <v>49</v>
      </c>
      <c r="D2184" s="3" t="s">
        <v>496</v>
      </c>
      <c r="E2184" s="3" t="s">
        <v>24</v>
      </c>
      <c r="F2184" s="23">
        <v>182204</v>
      </c>
      <c r="G2184" s="15">
        <v>2009</v>
      </c>
      <c r="H2184" s="15">
        <f>Table_7[[#This Row],[Listing Price (USD)]]/10000</f>
        <v>18.220400000000001</v>
      </c>
      <c r="I2184" s="28">
        <f>Table_7[[#This Row],[Length 
(ft)]]</f>
        <v>49</v>
      </c>
      <c r="J2184" s="28">
        <f>2020-Table_7[[#This Row],[Year]]</f>
        <v>11</v>
      </c>
      <c r="K2184">
        <v>1896755301518.1399</v>
      </c>
      <c r="L2184">
        <v>31911.0357890017</v>
      </c>
      <c r="M2184">
        <v>-0.13770757391656999</v>
      </c>
      <c r="N2184">
        <v>-9.0399534112288507</v>
      </c>
      <c r="O2184">
        <v>36</v>
      </c>
      <c r="P2184">
        <v>1011.002</v>
      </c>
      <c r="Q2184">
        <v>0</v>
      </c>
      <c r="R2184">
        <v>13.75</v>
      </c>
    </row>
    <row r="2185" spans="1:18" x14ac:dyDescent="0.25">
      <c r="A2185" s="1" t="s">
        <v>320</v>
      </c>
      <c r="B2185" s="2" t="s">
        <v>321</v>
      </c>
      <c r="C2185" s="19">
        <v>52</v>
      </c>
      <c r="D2185" s="3" t="s">
        <v>496</v>
      </c>
      <c r="E2185" s="3" t="s">
        <v>24</v>
      </c>
      <c r="F2185" s="23">
        <v>346188</v>
      </c>
      <c r="G2185" s="15">
        <v>2006</v>
      </c>
      <c r="H2185" s="15">
        <f>Table_7[[#This Row],[Listing Price (USD)]]/10000</f>
        <v>34.6188</v>
      </c>
      <c r="I2185" s="28">
        <f>Table_7[[#This Row],[Length 
(ft)]]</f>
        <v>52</v>
      </c>
      <c r="J2185" s="28">
        <f>2020-Table_7[[#This Row],[Year]]</f>
        <v>14</v>
      </c>
      <c r="K2185">
        <v>930371009830.08838</v>
      </c>
      <c r="L2185">
        <v>32045.28833705237</v>
      </c>
      <c r="M2185">
        <v>0.810222564232847</v>
      </c>
      <c r="N2185">
        <v>-6.18704127562025</v>
      </c>
      <c r="O2185">
        <v>40</v>
      </c>
      <c r="P2185">
        <v>1307.002</v>
      </c>
      <c r="Q2185">
        <v>0</v>
      </c>
      <c r="R2185">
        <v>14.33</v>
      </c>
    </row>
    <row r="2186" spans="1:18" x14ac:dyDescent="0.25">
      <c r="A2186" s="1" t="s">
        <v>128</v>
      </c>
      <c r="B2186" s="2" t="s">
        <v>140</v>
      </c>
      <c r="C2186" s="19">
        <v>50</v>
      </c>
      <c r="D2186" s="3" t="s">
        <v>496</v>
      </c>
      <c r="E2186" s="3" t="s">
        <v>56</v>
      </c>
      <c r="F2186" s="23">
        <v>425144</v>
      </c>
      <c r="G2186" s="15">
        <v>2018</v>
      </c>
      <c r="H2186" s="15">
        <f>Table_7[[#This Row],[Listing Price (USD)]]/10000</f>
        <v>42.514400000000002</v>
      </c>
      <c r="I2186" s="28">
        <f>Table_7[[#This Row],[Length 
(ft)]]</f>
        <v>50</v>
      </c>
      <c r="J2186" s="28">
        <f>2020-Table_7[[#This Row],[Year]]</f>
        <v>2</v>
      </c>
      <c r="K2186">
        <v>14933066818.9606</v>
      </c>
      <c r="L2186">
        <v>28977.565567363599</v>
      </c>
      <c r="M2186">
        <v>0.63854495677665302</v>
      </c>
      <c r="N2186">
        <v>-8.3242832319722009</v>
      </c>
      <c r="O2186">
        <v>15.09</v>
      </c>
      <c r="P2186">
        <v>150.00200000000001</v>
      </c>
      <c r="Q2186">
        <v>0</v>
      </c>
      <c r="R2186">
        <v>7.28</v>
      </c>
    </row>
    <row r="2187" spans="1:18" x14ac:dyDescent="0.25">
      <c r="A2187" s="1" t="s">
        <v>128</v>
      </c>
      <c r="B2187" s="2" t="s">
        <v>140</v>
      </c>
      <c r="C2187" s="19">
        <v>50</v>
      </c>
      <c r="D2187" s="3" t="s">
        <v>496</v>
      </c>
      <c r="E2187" s="3" t="s">
        <v>24</v>
      </c>
      <c r="F2187" s="23">
        <v>451806</v>
      </c>
      <c r="G2187" s="15">
        <v>2019</v>
      </c>
      <c r="H2187" s="15">
        <f>Table_7[[#This Row],[Listing Price (USD)]]/10000</f>
        <v>45.180599999999998</v>
      </c>
      <c r="I2187" s="28">
        <f>Table_7[[#This Row],[Length 
(ft)]]</f>
        <v>50</v>
      </c>
      <c r="J2187" s="28">
        <f>2020-Table_7[[#This Row],[Year]]</f>
        <v>1</v>
      </c>
      <c r="K2187">
        <v>1896755301518.1399</v>
      </c>
      <c r="L2187">
        <v>31911.0357890017</v>
      </c>
      <c r="M2187">
        <v>-0.13770757391656999</v>
      </c>
      <c r="N2187">
        <v>-9.0399534112288507</v>
      </c>
      <c r="O2187">
        <v>15.09</v>
      </c>
      <c r="P2187">
        <v>150.00200000000001</v>
      </c>
      <c r="Q2187">
        <v>0</v>
      </c>
      <c r="R2187">
        <v>7.28</v>
      </c>
    </row>
    <row r="2188" spans="1:18" x14ac:dyDescent="0.25">
      <c r="A2188" s="1" t="s">
        <v>128</v>
      </c>
      <c r="B2188" s="2" t="s">
        <v>140</v>
      </c>
      <c r="C2188" s="19">
        <v>50</v>
      </c>
      <c r="D2188" s="3" t="s">
        <v>496</v>
      </c>
      <c r="E2188" s="3" t="s">
        <v>3</v>
      </c>
      <c r="F2188" s="23">
        <v>483449</v>
      </c>
      <c r="G2188" s="15">
        <v>2018</v>
      </c>
      <c r="H2188" s="15">
        <f>Table_7[[#This Row],[Listing Price (USD)]]/10000</f>
        <v>48.344900000000003</v>
      </c>
      <c r="I2188" s="28">
        <f>Table_7[[#This Row],[Length 
(ft)]]</f>
        <v>50</v>
      </c>
      <c r="J2188" s="28">
        <f>2020-Table_7[[#This Row],[Year]]</f>
        <v>2</v>
      </c>
      <c r="K2188">
        <v>2639008701648.2598</v>
      </c>
      <c r="L2188">
        <v>39055.282928075401</v>
      </c>
      <c r="M2188">
        <v>0.47649885272508302</v>
      </c>
      <c r="N2188">
        <v>-7.7845864916787102</v>
      </c>
      <c r="O2188">
        <v>15.09</v>
      </c>
      <c r="P2188">
        <v>150.00200000000001</v>
      </c>
      <c r="Q2188">
        <v>0</v>
      </c>
      <c r="R2188">
        <v>7.28</v>
      </c>
    </row>
    <row r="2189" spans="1:18" x14ac:dyDescent="0.25">
      <c r="A2189" s="1" t="s">
        <v>177</v>
      </c>
      <c r="B2189" s="2" t="s">
        <v>183</v>
      </c>
      <c r="C2189" s="19">
        <v>52</v>
      </c>
      <c r="D2189" s="3" t="s">
        <v>496</v>
      </c>
      <c r="E2189" s="3" t="s">
        <v>19</v>
      </c>
      <c r="F2189" s="23">
        <v>239750</v>
      </c>
      <c r="G2189" s="15">
        <v>2007</v>
      </c>
      <c r="H2189" s="15">
        <f>Table_7[[#This Row],[Listing Price (USD)]]/10000</f>
        <v>23.975000000000001</v>
      </c>
      <c r="I2189" s="28">
        <f>Table_7[[#This Row],[Length 
(ft)]]</f>
        <v>52</v>
      </c>
      <c r="J2189" s="28">
        <f>2020-Table_7[[#This Row],[Year]]</f>
        <v>13</v>
      </c>
      <c r="K2189">
        <v>4200000000</v>
      </c>
      <c r="L2189">
        <v>39553.199999999997</v>
      </c>
      <c r="M2189">
        <v>4.0999999999999996</v>
      </c>
      <c r="N2189">
        <v>-2.1</v>
      </c>
      <c r="O2189">
        <v>0</v>
      </c>
      <c r="P2189">
        <v>193.00200000000001</v>
      </c>
      <c r="Q2189">
        <v>0</v>
      </c>
      <c r="R2189">
        <v>6.79</v>
      </c>
    </row>
    <row r="2190" spans="1:18" x14ac:dyDescent="0.25">
      <c r="A2190" s="1" t="s">
        <v>177</v>
      </c>
      <c r="B2190" s="2" t="s">
        <v>183</v>
      </c>
      <c r="C2190" s="19">
        <v>52</v>
      </c>
      <c r="D2190" s="3" t="s">
        <v>496</v>
      </c>
      <c r="E2190" s="3" t="s">
        <v>22</v>
      </c>
      <c r="F2190" s="23">
        <v>241603</v>
      </c>
      <c r="G2190" s="15">
        <v>2008</v>
      </c>
      <c r="H2190" s="15">
        <f>Table_7[[#This Row],[Listing Price (USD)]]/10000</f>
        <v>24.160299999999999</v>
      </c>
      <c r="I2190" s="28">
        <f>Table_7[[#This Row],[Length 
(ft)]]</f>
        <v>52</v>
      </c>
      <c r="J2190" s="28">
        <f>2020-Table_7[[#This Row],[Year]]</f>
        <v>12</v>
      </c>
      <c r="K2190">
        <v>3889668895299.6201</v>
      </c>
      <c r="L2190">
        <v>46772.825350754501</v>
      </c>
      <c r="M2190">
        <v>0.50668988995327402</v>
      </c>
      <c r="N2190">
        <v>-3.6967887053804298</v>
      </c>
      <c r="O2190">
        <v>0</v>
      </c>
      <c r="P2190">
        <v>193.00200000000001</v>
      </c>
      <c r="Q2190">
        <v>0</v>
      </c>
      <c r="R2190">
        <v>6.79</v>
      </c>
    </row>
    <row r="2191" spans="1:18" x14ac:dyDescent="0.25">
      <c r="A2191" s="1" t="s">
        <v>177</v>
      </c>
      <c r="B2191" s="2" t="s">
        <v>183</v>
      </c>
      <c r="C2191" s="19">
        <v>52</v>
      </c>
      <c r="D2191" s="3" t="s">
        <v>496</v>
      </c>
      <c r="E2191" s="3" t="s">
        <v>18</v>
      </c>
      <c r="F2191" s="23">
        <v>249023</v>
      </c>
      <c r="G2191" s="15">
        <v>2008</v>
      </c>
      <c r="H2191" s="15">
        <f>Table_7[[#This Row],[Listing Price (USD)]]/10000</f>
        <v>24.9023</v>
      </c>
      <c r="I2191" s="28">
        <f>Table_7[[#This Row],[Length 
(ft)]]</f>
        <v>52</v>
      </c>
      <c r="J2191" s="28">
        <f>2020-Table_7[[#This Row],[Year]]</f>
        <v>12</v>
      </c>
      <c r="K2191">
        <v>188925995936.80701</v>
      </c>
      <c r="L2191">
        <v>17658.947301119199</v>
      </c>
      <c r="M2191">
        <v>-1.2479835558140799</v>
      </c>
      <c r="N2191">
        <v>-9.0040436420214593</v>
      </c>
      <c r="O2191">
        <v>0</v>
      </c>
      <c r="P2191">
        <v>193.00200000000001</v>
      </c>
      <c r="Q2191">
        <v>0</v>
      </c>
      <c r="R2191">
        <v>6.79</v>
      </c>
    </row>
    <row r="2192" spans="1:18" x14ac:dyDescent="0.25">
      <c r="A2192" s="1" t="s">
        <v>177</v>
      </c>
      <c r="B2192" s="2" t="s">
        <v>183</v>
      </c>
      <c r="C2192" s="19">
        <v>52</v>
      </c>
      <c r="D2192" s="3" t="s">
        <v>496</v>
      </c>
      <c r="E2192" s="3" t="s">
        <v>18</v>
      </c>
      <c r="F2192" s="23">
        <v>254479</v>
      </c>
      <c r="G2192" s="15">
        <v>2008</v>
      </c>
      <c r="H2192" s="15">
        <f>Table_7[[#This Row],[Listing Price (USD)]]/10000</f>
        <v>25.447900000000001</v>
      </c>
      <c r="I2192" s="28">
        <f>Table_7[[#This Row],[Length 
(ft)]]</f>
        <v>52</v>
      </c>
      <c r="J2192" s="28">
        <f>2020-Table_7[[#This Row],[Year]]</f>
        <v>12</v>
      </c>
      <c r="K2192">
        <v>188925995936.80701</v>
      </c>
      <c r="L2192">
        <v>17658.947301119199</v>
      </c>
      <c r="M2192">
        <v>-1.2479835558140799</v>
      </c>
      <c r="N2192">
        <v>-9.0040436420214593</v>
      </c>
      <c r="O2192">
        <v>0</v>
      </c>
      <c r="P2192">
        <v>193.00200000000001</v>
      </c>
      <c r="Q2192">
        <v>0</v>
      </c>
      <c r="R2192">
        <v>6.79</v>
      </c>
    </row>
    <row r="2193" spans="1:18" x14ac:dyDescent="0.25">
      <c r="A2193" s="1" t="s">
        <v>177</v>
      </c>
      <c r="B2193" s="2" t="s">
        <v>183</v>
      </c>
      <c r="C2193" s="19">
        <v>52</v>
      </c>
      <c r="D2193" s="3" t="s">
        <v>496</v>
      </c>
      <c r="E2193" s="3" t="s">
        <v>9</v>
      </c>
      <c r="F2193" s="23">
        <v>267233</v>
      </c>
      <c r="G2193" s="15">
        <v>2006</v>
      </c>
      <c r="H2193" s="15">
        <f>Table_7[[#This Row],[Listing Price (USD)]]/10000</f>
        <v>26.723299999999998</v>
      </c>
      <c r="I2193" s="28">
        <f>Table_7[[#This Row],[Length 
(ft)]]</f>
        <v>52</v>
      </c>
      <c r="J2193" s="28">
        <f>2020-Table_7[[#This Row],[Year]]</f>
        <v>14</v>
      </c>
      <c r="K2193">
        <v>1276962685648.25</v>
      </c>
      <c r="L2193">
        <v>26959.675436732599</v>
      </c>
      <c r="M2193">
        <v>-0.32275301729970501</v>
      </c>
      <c r="N2193">
        <v>-11.3254383222864</v>
      </c>
      <c r="O2193">
        <v>0</v>
      </c>
      <c r="P2193">
        <v>193.00200000000001</v>
      </c>
      <c r="Q2193">
        <v>0</v>
      </c>
      <c r="R2193">
        <v>6.79</v>
      </c>
    </row>
    <row r="2194" spans="1:18" x14ac:dyDescent="0.25">
      <c r="A2194" s="1" t="s">
        <v>177</v>
      </c>
      <c r="B2194" s="2" t="s">
        <v>183</v>
      </c>
      <c r="C2194" s="19">
        <v>52</v>
      </c>
      <c r="D2194" s="3" t="s">
        <v>496</v>
      </c>
      <c r="E2194" s="3" t="s">
        <v>31</v>
      </c>
      <c r="F2194" s="23">
        <v>267244</v>
      </c>
      <c r="G2194" s="15">
        <v>2008</v>
      </c>
      <c r="H2194" s="15">
        <f>Table_7[[#This Row],[Listing Price (USD)]]/10000</f>
        <v>26.724399999999999</v>
      </c>
      <c r="I2194" s="28">
        <f>Table_7[[#This Row],[Length 
(ft)]]</f>
        <v>52</v>
      </c>
      <c r="J2194" s="28">
        <f>2020-Table_7[[#This Row],[Year]]</f>
        <v>12</v>
      </c>
      <c r="K2194">
        <v>57472012426.685303</v>
      </c>
      <c r="L2194">
        <v>14198.753959474399</v>
      </c>
      <c r="M2194">
        <v>0.15481137456202801</v>
      </c>
      <c r="N2194">
        <v>-8.5803430210621805</v>
      </c>
      <c r="O2194">
        <v>0</v>
      </c>
      <c r="P2194">
        <v>193.00200000000001</v>
      </c>
      <c r="Q2194">
        <v>0</v>
      </c>
      <c r="R2194">
        <v>6.79</v>
      </c>
    </row>
    <row r="2195" spans="1:18" x14ac:dyDescent="0.25">
      <c r="A2195" s="1" t="s">
        <v>177</v>
      </c>
      <c r="B2195" s="2" t="s">
        <v>183</v>
      </c>
      <c r="C2195" s="19">
        <v>52</v>
      </c>
      <c r="D2195" s="3" t="s">
        <v>496</v>
      </c>
      <c r="E2195" s="3" t="s">
        <v>24</v>
      </c>
      <c r="F2195" s="23">
        <v>267244</v>
      </c>
      <c r="G2195" s="15">
        <v>2008</v>
      </c>
      <c r="H2195" s="15">
        <f>Table_7[[#This Row],[Listing Price (USD)]]/10000</f>
        <v>26.724399999999999</v>
      </c>
      <c r="I2195" s="28">
        <f>Table_7[[#This Row],[Length 
(ft)]]</f>
        <v>52</v>
      </c>
      <c r="J2195" s="28">
        <f>2020-Table_7[[#This Row],[Year]]</f>
        <v>12</v>
      </c>
      <c r="K2195">
        <v>1896755301518.1399</v>
      </c>
      <c r="L2195">
        <v>31911.0357890017</v>
      </c>
      <c r="M2195">
        <v>-0.13770757391656999</v>
      </c>
      <c r="N2195">
        <v>-9.0399534112288507</v>
      </c>
      <c r="O2195">
        <v>0</v>
      </c>
      <c r="P2195">
        <v>193.00200000000001</v>
      </c>
      <c r="Q2195">
        <v>0</v>
      </c>
      <c r="R2195">
        <v>6.79</v>
      </c>
    </row>
    <row r="2196" spans="1:18" x14ac:dyDescent="0.25">
      <c r="A2196" s="1" t="s">
        <v>177</v>
      </c>
      <c r="B2196" s="2" t="s">
        <v>183</v>
      </c>
      <c r="C2196" s="19">
        <v>52</v>
      </c>
      <c r="D2196" s="3" t="s">
        <v>496</v>
      </c>
      <c r="E2196" s="3" t="s">
        <v>24</v>
      </c>
      <c r="F2196" s="23">
        <v>290312</v>
      </c>
      <c r="G2196" s="15">
        <v>2009</v>
      </c>
      <c r="H2196" s="15">
        <f>Table_7[[#This Row],[Listing Price (USD)]]/10000</f>
        <v>29.031199999999998</v>
      </c>
      <c r="I2196" s="28">
        <f>Table_7[[#This Row],[Length 
(ft)]]</f>
        <v>52</v>
      </c>
      <c r="J2196" s="28">
        <f>2020-Table_7[[#This Row],[Year]]</f>
        <v>11</v>
      </c>
      <c r="K2196">
        <v>1896755301518.1399</v>
      </c>
      <c r="L2196">
        <v>31911.0357890017</v>
      </c>
      <c r="M2196">
        <v>-0.13770757391656999</v>
      </c>
      <c r="N2196">
        <v>-9.0399534112288507</v>
      </c>
      <c r="O2196">
        <v>0</v>
      </c>
      <c r="P2196">
        <v>193.00200000000001</v>
      </c>
      <c r="Q2196">
        <v>0</v>
      </c>
      <c r="R2196">
        <v>6.79</v>
      </c>
    </row>
    <row r="2197" spans="1:18" x14ac:dyDescent="0.25">
      <c r="A2197" s="1" t="s">
        <v>177</v>
      </c>
      <c r="B2197" s="2" t="s">
        <v>183</v>
      </c>
      <c r="C2197" s="19">
        <v>52</v>
      </c>
      <c r="D2197" s="3" t="s">
        <v>496</v>
      </c>
      <c r="E2197" s="3" t="s">
        <v>24</v>
      </c>
      <c r="F2197" s="23">
        <v>303674</v>
      </c>
      <c r="G2197" s="15">
        <v>2008</v>
      </c>
      <c r="H2197" s="15">
        <f>Table_7[[#This Row],[Listing Price (USD)]]/10000</f>
        <v>30.3674</v>
      </c>
      <c r="I2197" s="28">
        <f>Table_7[[#This Row],[Length 
(ft)]]</f>
        <v>52</v>
      </c>
      <c r="J2197" s="28">
        <f>2020-Table_7[[#This Row],[Year]]</f>
        <v>12</v>
      </c>
      <c r="K2197">
        <v>1896755301518.1399</v>
      </c>
      <c r="L2197">
        <v>31911.0357890017</v>
      </c>
      <c r="M2197">
        <v>-0.13770757391656999</v>
      </c>
      <c r="N2197">
        <v>-9.0399534112288507</v>
      </c>
      <c r="O2197">
        <v>0</v>
      </c>
      <c r="P2197">
        <v>193.00200000000001</v>
      </c>
      <c r="Q2197">
        <v>0</v>
      </c>
      <c r="R2197">
        <v>6.79</v>
      </c>
    </row>
    <row r="2198" spans="1:18" x14ac:dyDescent="0.25">
      <c r="A2198" s="1" t="s">
        <v>177</v>
      </c>
      <c r="B2198" s="3" t="s">
        <v>183</v>
      </c>
      <c r="C2198" s="19">
        <v>52</v>
      </c>
      <c r="D2198" s="3" t="s">
        <v>495</v>
      </c>
      <c r="E2198" s="3" t="s">
        <v>500</v>
      </c>
      <c r="F2198" s="23">
        <v>397000</v>
      </c>
      <c r="G2198" s="15">
        <v>2008</v>
      </c>
      <c r="H2198" s="15">
        <f>Table_7[[#This Row],[Listing Price (USD)]]/10000</f>
        <v>39.700000000000003</v>
      </c>
      <c r="I2198" s="28">
        <f>Table_7[[#This Row],[Length 
(ft)]]</f>
        <v>52</v>
      </c>
      <c r="J2198" s="28">
        <f>2020-Table_7[[#This Row],[Year]]</f>
        <v>12</v>
      </c>
      <c r="K2198">
        <v>3007188000000</v>
      </c>
      <c r="L2198">
        <v>76131.839999999997</v>
      </c>
      <c r="M2198">
        <v>1.23</v>
      </c>
      <c r="N2198">
        <v>2.7</v>
      </c>
      <c r="O2198">
        <v>0</v>
      </c>
      <c r="P2198">
        <v>193.00200000000001</v>
      </c>
      <c r="Q2198">
        <v>0</v>
      </c>
      <c r="R2198">
        <v>6.79</v>
      </c>
    </row>
    <row r="2199" spans="1:18" x14ac:dyDescent="0.25">
      <c r="A2199" s="1" t="s">
        <v>45</v>
      </c>
      <c r="B2199" s="3" t="s">
        <v>375</v>
      </c>
      <c r="C2199" s="19">
        <v>50</v>
      </c>
      <c r="D2199" s="3" t="s">
        <v>497</v>
      </c>
      <c r="E2199" s="3" t="s">
        <v>377</v>
      </c>
      <c r="F2199" s="23">
        <v>54681</v>
      </c>
      <c r="G2199" s="15">
        <v>2010</v>
      </c>
      <c r="H2199" s="15">
        <f>Table_7[[#This Row],[Listing Price (USD)]]/10000</f>
        <v>5.4680999999999997</v>
      </c>
      <c r="I2199" s="28">
        <f>Table_7[[#This Row],[Length 
(ft)]]</f>
        <v>50</v>
      </c>
      <c r="J2199" s="28">
        <f>2020-Table_7[[#This Row],[Year]]</f>
        <v>10</v>
      </c>
      <c r="K2199">
        <v>930371009830.08838</v>
      </c>
      <c r="L2199">
        <v>32045.28833705237</v>
      </c>
      <c r="M2199">
        <v>0.810222564232847</v>
      </c>
      <c r="N2199">
        <v>-6.18704127562025</v>
      </c>
      <c r="O2199">
        <v>13</v>
      </c>
      <c r="P2199">
        <v>139.00200000000001</v>
      </c>
      <c r="Q2199">
        <v>0</v>
      </c>
      <c r="R2199">
        <v>4.58</v>
      </c>
    </row>
    <row r="2200" spans="1:18" x14ac:dyDescent="0.25">
      <c r="A2200" s="1" t="s">
        <v>378</v>
      </c>
      <c r="B2200" s="3" t="s">
        <v>375</v>
      </c>
      <c r="C2200" s="19">
        <v>49</v>
      </c>
      <c r="D2200" s="3" t="s">
        <v>497</v>
      </c>
      <c r="E2200" s="3" t="s">
        <v>498</v>
      </c>
      <c r="F2200" s="23">
        <v>249000</v>
      </c>
      <c r="G2200" s="15">
        <v>2009</v>
      </c>
      <c r="H2200" s="15">
        <f>Table_7[[#This Row],[Listing Price (USD)]]/10000</f>
        <v>24.9</v>
      </c>
      <c r="I2200" s="28">
        <f>Table_7[[#This Row],[Length 
(ft)]]</f>
        <v>49</v>
      </c>
      <c r="J2200" s="28">
        <f>2020-Table_7[[#This Row],[Year]]</f>
        <v>11</v>
      </c>
      <c r="K2200">
        <v>1090515389749.41</v>
      </c>
      <c r="L2200">
        <v>8655.0006820680301</v>
      </c>
      <c r="M2200">
        <v>3.3968341556999899</v>
      </c>
      <c r="N2200">
        <v>-7.9879123401474903</v>
      </c>
      <c r="O2200">
        <v>13</v>
      </c>
      <c r="P2200">
        <v>139.00200000000001</v>
      </c>
      <c r="Q2200">
        <v>0</v>
      </c>
      <c r="R2200">
        <v>4.58</v>
      </c>
    </row>
    <row r="2201" spans="1:18" x14ac:dyDescent="0.25">
      <c r="A2201" s="1" t="s">
        <v>2</v>
      </c>
      <c r="B2201" s="2" t="s">
        <v>4</v>
      </c>
      <c r="C2201" s="19">
        <v>55</v>
      </c>
      <c r="D2201" s="3" t="s">
        <v>496</v>
      </c>
      <c r="E2201" s="3" t="s">
        <v>3</v>
      </c>
      <c r="F2201" s="23">
        <v>601299</v>
      </c>
      <c r="G2201" s="15">
        <v>2009</v>
      </c>
      <c r="H2201" s="15">
        <f>Table_7[[#This Row],[Listing Price (USD)]]/10000</f>
        <v>60.129899999999999</v>
      </c>
      <c r="I2201" s="28">
        <f>Table_7[[#This Row],[Length 
(ft)]]</f>
        <v>55</v>
      </c>
      <c r="J2201" s="28">
        <f>2020-Table_7[[#This Row],[Year]]</f>
        <v>11</v>
      </c>
      <c r="K2201">
        <v>2639008701648.2598</v>
      </c>
      <c r="L2201">
        <v>39055.282928075401</v>
      </c>
      <c r="M2201">
        <v>0.47649885272508302</v>
      </c>
      <c r="N2201">
        <v>-7.7845864916787102</v>
      </c>
      <c r="O2201">
        <v>25.58</v>
      </c>
      <c r="P2201">
        <v>571.00199999999995</v>
      </c>
      <c r="Q2201">
        <v>0</v>
      </c>
      <c r="R2201">
        <v>10</v>
      </c>
    </row>
    <row r="2202" spans="1:18" x14ac:dyDescent="0.25">
      <c r="A2202" s="1" t="s">
        <v>286</v>
      </c>
      <c r="B2202" s="2" t="s">
        <v>288</v>
      </c>
      <c r="C2202" s="19">
        <v>46</v>
      </c>
      <c r="D2202" s="3" t="s">
        <v>496</v>
      </c>
      <c r="E2202" s="3" t="s">
        <v>516</v>
      </c>
      <c r="F2202" s="23">
        <v>297560</v>
      </c>
      <c r="G2202" s="15">
        <v>2005</v>
      </c>
      <c r="H2202" s="15">
        <f>Table_7[[#This Row],[Listing Price (USD)]]/10000</f>
        <v>29.756</v>
      </c>
      <c r="I2202" s="28">
        <f>Table_7[[#This Row],[Length 
(ft)]]</f>
        <v>46</v>
      </c>
      <c r="J2202" s="28">
        <f>2020-Table_7[[#This Row],[Year]]</f>
        <v>15</v>
      </c>
      <c r="K2202">
        <v>909793466661.48096</v>
      </c>
      <c r="L2202">
        <v>52162.570115040602</v>
      </c>
      <c r="M2202">
        <v>1.2724603778917001</v>
      </c>
      <c r="N2202">
        <v>-3.88608391819609</v>
      </c>
      <c r="O2202">
        <v>19.190000000000001</v>
      </c>
      <c r="P2202">
        <v>213.00200000000001</v>
      </c>
      <c r="Q2202">
        <v>0</v>
      </c>
      <c r="R2202">
        <v>7.55</v>
      </c>
    </row>
    <row r="2203" spans="1:18" x14ac:dyDescent="0.25">
      <c r="A2203" s="1" t="s">
        <v>105</v>
      </c>
      <c r="B2203" s="2" t="s">
        <v>106</v>
      </c>
      <c r="C2203" s="19">
        <v>41</v>
      </c>
      <c r="D2203" s="3" t="s">
        <v>496</v>
      </c>
      <c r="E2203" s="3" t="s">
        <v>24</v>
      </c>
      <c r="F2203" s="23">
        <v>97176</v>
      </c>
      <c r="G2203" s="15">
        <v>2007</v>
      </c>
      <c r="H2203" s="15">
        <f>Table_7[[#This Row],[Listing Price (USD)]]/10000</f>
        <v>9.7175999999999991</v>
      </c>
      <c r="I2203" s="28">
        <f>Table_7[[#This Row],[Length 
(ft)]]</f>
        <v>41</v>
      </c>
      <c r="J2203" s="28">
        <f>2020-Table_7[[#This Row],[Year]]</f>
        <v>13</v>
      </c>
      <c r="K2203">
        <v>1896755301518.1399</v>
      </c>
      <c r="L2203">
        <v>31911.0357890017</v>
      </c>
      <c r="M2203">
        <v>-0.13770757391656999</v>
      </c>
      <c r="N2203">
        <v>-9.0399534112288507</v>
      </c>
      <c r="O2203">
        <v>26.16</v>
      </c>
      <c r="P2203">
        <v>569.00199999999995</v>
      </c>
      <c r="Q2203">
        <v>0</v>
      </c>
      <c r="R2203">
        <v>10</v>
      </c>
    </row>
    <row r="2204" spans="1:18" x14ac:dyDescent="0.25">
      <c r="A2204" s="1" t="s">
        <v>105</v>
      </c>
      <c r="B2204" s="2" t="s">
        <v>106</v>
      </c>
      <c r="C2204" s="19">
        <v>41</v>
      </c>
      <c r="D2204" s="3" t="s">
        <v>496</v>
      </c>
      <c r="E2204" s="3" t="s">
        <v>24</v>
      </c>
      <c r="F2204" s="23">
        <v>120255</v>
      </c>
      <c r="G2204" s="15">
        <v>2006</v>
      </c>
      <c r="H2204" s="15">
        <f>Table_7[[#This Row],[Listing Price (USD)]]/10000</f>
        <v>12.025499999999999</v>
      </c>
      <c r="I2204" s="28">
        <f>Table_7[[#This Row],[Length 
(ft)]]</f>
        <v>41</v>
      </c>
      <c r="J2204" s="28">
        <f>2020-Table_7[[#This Row],[Year]]</f>
        <v>14</v>
      </c>
      <c r="K2204">
        <v>1896755301518.1399</v>
      </c>
      <c r="L2204">
        <v>31911.0357890017</v>
      </c>
      <c r="M2204">
        <v>-0.13770757391656999</v>
      </c>
      <c r="N2204">
        <v>-9.0399534112288507</v>
      </c>
      <c r="O2204">
        <v>26.16</v>
      </c>
      <c r="P2204">
        <v>569.00199999999995</v>
      </c>
      <c r="Q2204">
        <v>0</v>
      </c>
      <c r="R2204">
        <v>10</v>
      </c>
    </row>
    <row r="2205" spans="1:18" x14ac:dyDescent="0.25">
      <c r="A2205" s="1" t="s">
        <v>105</v>
      </c>
      <c r="B2205" s="2" t="s">
        <v>106</v>
      </c>
      <c r="C2205" s="19">
        <v>41</v>
      </c>
      <c r="D2205" s="3" t="s">
        <v>496</v>
      </c>
      <c r="E2205" s="3" t="s">
        <v>24</v>
      </c>
      <c r="F2205" s="23">
        <v>133617</v>
      </c>
      <c r="G2205" s="15">
        <v>2007</v>
      </c>
      <c r="H2205" s="15">
        <f>Table_7[[#This Row],[Listing Price (USD)]]/10000</f>
        <v>13.361700000000001</v>
      </c>
      <c r="I2205" s="28">
        <f>Table_7[[#This Row],[Length 
(ft)]]</f>
        <v>41</v>
      </c>
      <c r="J2205" s="28">
        <f>2020-Table_7[[#This Row],[Year]]</f>
        <v>13</v>
      </c>
      <c r="K2205">
        <v>1896755301518.1399</v>
      </c>
      <c r="L2205">
        <v>31911.0357890017</v>
      </c>
      <c r="M2205">
        <v>-0.13770757391656999</v>
      </c>
      <c r="N2205">
        <v>-9.0399534112288507</v>
      </c>
      <c r="O2205">
        <v>26.16</v>
      </c>
      <c r="P2205">
        <v>569.00199999999995</v>
      </c>
      <c r="Q2205">
        <v>0</v>
      </c>
      <c r="R2205">
        <v>10</v>
      </c>
    </row>
    <row r="2206" spans="1:18" x14ac:dyDescent="0.25">
      <c r="A2206" s="1" t="s">
        <v>105</v>
      </c>
      <c r="B2206" s="2" t="s">
        <v>106</v>
      </c>
      <c r="C2206" s="19">
        <v>41</v>
      </c>
      <c r="D2206" s="3" t="s">
        <v>496</v>
      </c>
      <c r="E2206" s="3" t="s">
        <v>24</v>
      </c>
      <c r="F2206" s="23">
        <v>139671</v>
      </c>
      <c r="G2206" s="15">
        <v>2007</v>
      </c>
      <c r="H2206" s="15">
        <f>Table_7[[#This Row],[Listing Price (USD)]]/10000</f>
        <v>13.9671</v>
      </c>
      <c r="I2206" s="28">
        <f>Table_7[[#This Row],[Length 
(ft)]]</f>
        <v>41</v>
      </c>
      <c r="J2206" s="28">
        <f>2020-Table_7[[#This Row],[Year]]</f>
        <v>13</v>
      </c>
      <c r="K2206">
        <v>1896755301518.1399</v>
      </c>
      <c r="L2206">
        <v>31911.0357890017</v>
      </c>
      <c r="M2206">
        <v>-0.13770757391656999</v>
      </c>
      <c r="N2206">
        <v>-9.0399534112288507</v>
      </c>
      <c r="O2206">
        <v>26.16</v>
      </c>
      <c r="P2206">
        <v>569.00199999999995</v>
      </c>
      <c r="Q2206">
        <v>0</v>
      </c>
      <c r="R2206">
        <v>10</v>
      </c>
    </row>
    <row r="2207" spans="1:18" x14ac:dyDescent="0.25">
      <c r="A2207" s="1" t="s">
        <v>105</v>
      </c>
      <c r="B2207" s="2" t="s">
        <v>106</v>
      </c>
      <c r="C2207" s="19">
        <v>41</v>
      </c>
      <c r="D2207" s="3" t="s">
        <v>496</v>
      </c>
      <c r="E2207" s="3" t="s">
        <v>24</v>
      </c>
      <c r="F2207" s="23">
        <v>139690</v>
      </c>
      <c r="G2207" s="15">
        <v>2006</v>
      </c>
      <c r="H2207" s="15">
        <f>Table_7[[#This Row],[Listing Price (USD)]]/10000</f>
        <v>13.968999999999999</v>
      </c>
      <c r="I2207" s="28">
        <f>Table_7[[#This Row],[Length 
(ft)]]</f>
        <v>41</v>
      </c>
      <c r="J2207" s="28">
        <f>2020-Table_7[[#This Row],[Year]]</f>
        <v>14</v>
      </c>
      <c r="K2207">
        <v>1896755301518.1399</v>
      </c>
      <c r="L2207">
        <v>31911.0357890017</v>
      </c>
      <c r="M2207">
        <v>-0.13770757391656999</v>
      </c>
      <c r="N2207">
        <v>-9.0399534112288507</v>
      </c>
      <c r="O2207">
        <v>26.16</v>
      </c>
      <c r="P2207">
        <v>569.00199999999995</v>
      </c>
      <c r="Q2207">
        <v>0</v>
      </c>
      <c r="R2207">
        <v>10</v>
      </c>
    </row>
    <row r="2208" spans="1:18" x14ac:dyDescent="0.25">
      <c r="A2208" s="1" t="s">
        <v>105</v>
      </c>
      <c r="B2208" s="2" t="s">
        <v>106</v>
      </c>
      <c r="C2208" s="19">
        <v>41</v>
      </c>
      <c r="D2208" s="3" t="s">
        <v>496</v>
      </c>
      <c r="E2208" s="3" t="s">
        <v>237</v>
      </c>
      <c r="F2208" s="23">
        <v>148173</v>
      </c>
      <c r="G2208" s="15">
        <v>2007</v>
      </c>
      <c r="H2208" s="15">
        <f>Table_7[[#This Row],[Listing Price (USD)]]/10000</f>
        <v>14.817299999999999</v>
      </c>
      <c r="I2208" s="28">
        <f>Table_7[[#This Row],[Length 
(ft)]]</f>
        <v>41</v>
      </c>
      <c r="J2208" s="28">
        <f>2020-Table_7[[#This Row],[Year]]</f>
        <v>13</v>
      </c>
      <c r="K2208">
        <v>229031860520.77701</v>
      </c>
      <c r="L2208">
        <v>22242.406417972001</v>
      </c>
      <c r="M2208">
        <v>-1.2438329957616699E-2</v>
      </c>
      <c r="N2208">
        <v>-8.3005160422115107</v>
      </c>
      <c r="O2208">
        <v>26.16</v>
      </c>
      <c r="P2208">
        <v>569.00199999999995</v>
      </c>
      <c r="Q2208">
        <v>0</v>
      </c>
      <c r="R2208">
        <v>10</v>
      </c>
    </row>
    <row r="2209" spans="1:18" x14ac:dyDescent="0.25">
      <c r="A2209" s="1" t="s">
        <v>105</v>
      </c>
      <c r="B2209" s="2" t="s">
        <v>106</v>
      </c>
      <c r="C2209" s="19">
        <v>41</v>
      </c>
      <c r="D2209" s="3" t="s">
        <v>496</v>
      </c>
      <c r="E2209" s="3" t="s">
        <v>24</v>
      </c>
      <c r="F2209" s="23">
        <v>150622</v>
      </c>
      <c r="G2209" s="15">
        <v>2005</v>
      </c>
      <c r="H2209" s="15">
        <f>Table_7[[#This Row],[Listing Price (USD)]]/10000</f>
        <v>15.062200000000001</v>
      </c>
      <c r="I2209" s="28">
        <f>Table_7[[#This Row],[Length 
(ft)]]</f>
        <v>41</v>
      </c>
      <c r="J2209" s="28">
        <f>2020-Table_7[[#This Row],[Year]]</f>
        <v>15</v>
      </c>
      <c r="K2209">
        <v>1896755301518.1399</v>
      </c>
      <c r="L2209">
        <v>31911.0357890017</v>
      </c>
      <c r="M2209">
        <v>-0.13770757391656999</v>
      </c>
      <c r="N2209">
        <v>-9.0399534112288507</v>
      </c>
      <c r="O2209">
        <v>26.16</v>
      </c>
      <c r="P2209">
        <v>569.00199999999995</v>
      </c>
      <c r="Q2209">
        <v>0</v>
      </c>
      <c r="R2209">
        <v>10</v>
      </c>
    </row>
    <row r="2210" spans="1:18" x14ac:dyDescent="0.25">
      <c r="A2210" s="1" t="s">
        <v>105</v>
      </c>
      <c r="B2210" s="2" t="s">
        <v>106</v>
      </c>
      <c r="C2210" s="19">
        <v>41</v>
      </c>
      <c r="D2210" s="3" t="s">
        <v>496</v>
      </c>
      <c r="E2210" s="3" t="s">
        <v>24</v>
      </c>
      <c r="F2210" s="23">
        <v>155481</v>
      </c>
      <c r="G2210" s="15">
        <v>2009</v>
      </c>
      <c r="H2210" s="15">
        <f>Table_7[[#This Row],[Listing Price (USD)]]/10000</f>
        <v>15.5481</v>
      </c>
      <c r="I2210" s="28">
        <f>Table_7[[#This Row],[Length 
(ft)]]</f>
        <v>41</v>
      </c>
      <c r="J2210" s="28">
        <f>2020-Table_7[[#This Row],[Year]]</f>
        <v>11</v>
      </c>
      <c r="K2210">
        <v>1896755301518.1399</v>
      </c>
      <c r="L2210">
        <v>31911.0357890017</v>
      </c>
      <c r="M2210">
        <v>-0.13770757391656999</v>
      </c>
      <c r="N2210">
        <v>-9.0399534112288507</v>
      </c>
      <c r="O2210">
        <v>26.16</v>
      </c>
      <c r="P2210">
        <v>569.00199999999995</v>
      </c>
      <c r="Q2210">
        <v>0</v>
      </c>
      <c r="R2210">
        <v>10</v>
      </c>
    </row>
    <row r="2211" spans="1:18" x14ac:dyDescent="0.25">
      <c r="A2211" s="1" t="s">
        <v>105</v>
      </c>
      <c r="B2211" s="2" t="s">
        <v>108</v>
      </c>
      <c r="C2211" s="19">
        <v>45</v>
      </c>
      <c r="D2211" s="3" t="s">
        <v>496</v>
      </c>
      <c r="E2211" s="3" t="s">
        <v>31</v>
      </c>
      <c r="F2211" s="23">
        <v>120255</v>
      </c>
      <c r="G2211" s="15">
        <v>2008</v>
      </c>
      <c r="H2211" s="15">
        <f>Table_7[[#This Row],[Listing Price (USD)]]/10000</f>
        <v>12.025499999999999</v>
      </c>
      <c r="I2211" s="28">
        <f>Table_7[[#This Row],[Length 
(ft)]]</f>
        <v>45</v>
      </c>
      <c r="J2211" s="28">
        <f>2020-Table_7[[#This Row],[Year]]</f>
        <v>12</v>
      </c>
      <c r="K2211">
        <v>57472012426.685303</v>
      </c>
      <c r="L2211">
        <v>14198.753959474399</v>
      </c>
      <c r="M2211">
        <v>0.15481137456202801</v>
      </c>
      <c r="N2211">
        <v>-8.5803430210621805</v>
      </c>
      <c r="O2211">
        <v>26.16</v>
      </c>
      <c r="P2211">
        <v>569.00199999999995</v>
      </c>
      <c r="Q2211">
        <v>0</v>
      </c>
      <c r="R2211">
        <v>10</v>
      </c>
    </row>
    <row r="2212" spans="1:18" x14ac:dyDescent="0.25">
      <c r="A2212" s="1" t="s">
        <v>105</v>
      </c>
      <c r="B2212" s="2" t="s">
        <v>107</v>
      </c>
      <c r="C2212" s="19">
        <v>46</v>
      </c>
      <c r="D2212" s="3" t="s">
        <v>496</v>
      </c>
      <c r="E2212" s="3" t="s">
        <v>31</v>
      </c>
      <c r="F2212" s="23">
        <v>120012</v>
      </c>
      <c r="G2212" s="15">
        <v>2008</v>
      </c>
      <c r="H2212" s="15">
        <f>Table_7[[#This Row],[Listing Price (USD)]]/10000</f>
        <v>12.001200000000001</v>
      </c>
      <c r="I2212" s="28">
        <f>Table_7[[#This Row],[Length 
(ft)]]</f>
        <v>46</v>
      </c>
      <c r="J2212" s="28">
        <f>2020-Table_7[[#This Row],[Year]]</f>
        <v>12</v>
      </c>
      <c r="K2212">
        <v>57472012426.685303</v>
      </c>
      <c r="L2212">
        <v>14198.753959474399</v>
      </c>
      <c r="M2212">
        <v>0.15481137456202801</v>
      </c>
      <c r="N2212">
        <v>-8.5803430210621805</v>
      </c>
      <c r="O2212">
        <v>26.16</v>
      </c>
      <c r="P2212">
        <v>569.00199999999995</v>
      </c>
      <c r="Q2212">
        <v>0</v>
      </c>
      <c r="R2212">
        <v>10</v>
      </c>
    </row>
    <row r="2213" spans="1:18" x14ac:dyDescent="0.25">
      <c r="A2213" s="1" t="s">
        <v>105</v>
      </c>
      <c r="B2213" s="2" t="s">
        <v>109</v>
      </c>
      <c r="C2213" s="19">
        <v>46</v>
      </c>
      <c r="D2213" s="3" t="s">
        <v>496</v>
      </c>
      <c r="E2213" s="3" t="s">
        <v>24</v>
      </c>
      <c r="F2213" s="23">
        <v>163984</v>
      </c>
      <c r="G2213" s="15">
        <v>2007</v>
      </c>
      <c r="H2213" s="15">
        <f>Table_7[[#This Row],[Listing Price (USD)]]/10000</f>
        <v>16.398399999999999</v>
      </c>
      <c r="I2213" s="28">
        <f>Table_7[[#This Row],[Length 
(ft)]]</f>
        <v>46</v>
      </c>
      <c r="J2213" s="28">
        <f>2020-Table_7[[#This Row],[Year]]</f>
        <v>13</v>
      </c>
      <c r="K2213">
        <v>1896755301518.1399</v>
      </c>
      <c r="L2213">
        <v>31911.0357890017</v>
      </c>
      <c r="M2213">
        <v>-0.13770757391656999</v>
      </c>
      <c r="N2213">
        <v>-9.0399534112288507</v>
      </c>
      <c r="O2213">
        <v>26.16</v>
      </c>
      <c r="P2213">
        <v>569.00199999999995</v>
      </c>
      <c r="Q2213">
        <v>0</v>
      </c>
      <c r="R2213">
        <v>10</v>
      </c>
    </row>
    <row r="2214" spans="1:18" x14ac:dyDescent="0.25">
      <c r="A2214" s="1" t="s">
        <v>105</v>
      </c>
      <c r="B2214" s="2" t="s">
        <v>107</v>
      </c>
      <c r="C2214" s="19">
        <v>46</v>
      </c>
      <c r="D2214" s="3" t="s">
        <v>496</v>
      </c>
      <c r="E2214" s="3" t="s">
        <v>24</v>
      </c>
      <c r="F2214" s="23">
        <v>163984</v>
      </c>
      <c r="G2214" s="15">
        <v>2005</v>
      </c>
      <c r="H2214" s="15">
        <f>Table_7[[#This Row],[Listing Price (USD)]]/10000</f>
        <v>16.398399999999999</v>
      </c>
      <c r="I2214" s="28">
        <f>Table_7[[#This Row],[Length 
(ft)]]</f>
        <v>46</v>
      </c>
      <c r="J2214" s="28">
        <f>2020-Table_7[[#This Row],[Year]]</f>
        <v>15</v>
      </c>
      <c r="K2214">
        <v>1896755301518.1399</v>
      </c>
      <c r="L2214">
        <v>31911.0357890017</v>
      </c>
      <c r="M2214">
        <v>-0.13770757391656999</v>
      </c>
      <c r="N2214">
        <v>-9.0399534112288507</v>
      </c>
      <c r="O2214">
        <v>26.16</v>
      </c>
      <c r="P2214">
        <v>569.00199999999995</v>
      </c>
      <c r="Q2214">
        <v>0</v>
      </c>
      <c r="R2214">
        <v>10</v>
      </c>
    </row>
    <row r="2215" spans="1:18" x14ac:dyDescent="0.25">
      <c r="A2215" s="1" t="s">
        <v>105</v>
      </c>
      <c r="B2215" s="2" t="s">
        <v>107</v>
      </c>
      <c r="C2215" s="19">
        <v>46</v>
      </c>
      <c r="D2215" s="3" t="s">
        <v>496</v>
      </c>
      <c r="E2215" s="3" t="s">
        <v>24</v>
      </c>
      <c r="F2215" s="23">
        <v>180990</v>
      </c>
      <c r="G2215" s="15">
        <v>2009</v>
      </c>
      <c r="H2215" s="15">
        <f>Table_7[[#This Row],[Listing Price (USD)]]/10000</f>
        <v>18.099</v>
      </c>
      <c r="I2215" s="28">
        <f>Table_7[[#This Row],[Length 
(ft)]]</f>
        <v>46</v>
      </c>
      <c r="J2215" s="28">
        <f>2020-Table_7[[#This Row],[Year]]</f>
        <v>11</v>
      </c>
      <c r="K2215">
        <v>1896755301518.1399</v>
      </c>
      <c r="L2215">
        <v>31911.0357890017</v>
      </c>
      <c r="M2215">
        <v>-0.13770757391656999</v>
      </c>
      <c r="N2215">
        <v>-9.0399534112288507</v>
      </c>
      <c r="O2215">
        <v>26.16</v>
      </c>
      <c r="P2215">
        <v>569.00199999999995</v>
      </c>
      <c r="Q2215">
        <v>0</v>
      </c>
      <c r="R2215">
        <v>10</v>
      </c>
    </row>
    <row r="2216" spans="1:18" x14ac:dyDescent="0.25">
      <c r="A2216" s="1" t="s">
        <v>105</v>
      </c>
      <c r="B2216" s="2" t="s">
        <v>107</v>
      </c>
      <c r="C2216" s="19">
        <v>46</v>
      </c>
      <c r="D2216" s="3" t="s">
        <v>496</v>
      </c>
      <c r="E2216" s="3" t="s">
        <v>24</v>
      </c>
      <c r="F2216" s="23">
        <v>188278</v>
      </c>
      <c r="G2216" s="15">
        <v>2010</v>
      </c>
      <c r="H2216" s="15">
        <f>Table_7[[#This Row],[Listing Price (USD)]]/10000</f>
        <v>18.8278</v>
      </c>
      <c r="I2216" s="28">
        <f>Table_7[[#This Row],[Length 
(ft)]]</f>
        <v>46</v>
      </c>
      <c r="J2216" s="28">
        <f>2020-Table_7[[#This Row],[Year]]</f>
        <v>10</v>
      </c>
      <c r="K2216">
        <v>1896755301518.1399</v>
      </c>
      <c r="L2216">
        <v>31911.0357890017</v>
      </c>
      <c r="M2216">
        <v>-0.13770757391656999</v>
      </c>
      <c r="N2216">
        <v>-9.0399534112288507</v>
      </c>
      <c r="O2216">
        <v>26.16</v>
      </c>
      <c r="P2216">
        <v>569.00199999999995</v>
      </c>
      <c r="Q2216">
        <v>0</v>
      </c>
      <c r="R2216">
        <v>10</v>
      </c>
    </row>
    <row r="2217" spans="1:18" x14ac:dyDescent="0.25">
      <c r="A2217" s="1" t="s">
        <v>105</v>
      </c>
      <c r="B2217" s="2" t="s">
        <v>109</v>
      </c>
      <c r="C2217" s="19">
        <v>46</v>
      </c>
      <c r="D2217" s="3" t="s">
        <v>496</v>
      </c>
      <c r="E2217" s="3" t="s">
        <v>9</v>
      </c>
      <c r="F2217" s="23">
        <v>241725</v>
      </c>
      <c r="G2217" s="15">
        <v>2008</v>
      </c>
      <c r="H2217" s="15">
        <f>Table_7[[#This Row],[Listing Price (USD)]]/10000</f>
        <v>24.172499999999999</v>
      </c>
      <c r="I2217" s="28">
        <f>Table_7[[#This Row],[Length 
(ft)]]</f>
        <v>46</v>
      </c>
      <c r="J2217" s="28">
        <f>2020-Table_7[[#This Row],[Year]]</f>
        <v>12</v>
      </c>
      <c r="K2217">
        <v>1276962685648.25</v>
      </c>
      <c r="L2217">
        <v>26959.675436732599</v>
      </c>
      <c r="M2217">
        <v>-0.32275301729970501</v>
      </c>
      <c r="N2217">
        <v>-11.3254383222864</v>
      </c>
      <c r="O2217">
        <v>26.16</v>
      </c>
      <c r="P2217">
        <v>569.00199999999995</v>
      </c>
      <c r="Q2217">
        <v>0</v>
      </c>
      <c r="R2217">
        <v>10</v>
      </c>
    </row>
    <row r="2218" spans="1:18" x14ac:dyDescent="0.25">
      <c r="A2218" s="1" t="s">
        <v>105</v>
      </c>
      <c r="B2218" s="2" t="s">
        <v>111</v>
      </c>
      <c r="C2218" s="19">
        <v>52</v>
      </c>
      <c r="D2218" s="3" t="s">
        <v>496</v>
      </c>
      <c r="E2218" s="3" t="s">
        <v>24</v>
      </c>
      <c r="F2218" s="23">
        <v>255086</v>
      </c>
      <c r="G2218" s="15">
        <v>2005</v>
      </c>
      <c r="H2218" s="15">
        <f>Table_7[[#This Row],[Listing Price (USD)]]/10000</f>
        <v>25.508600000000001</v>
      </c>
      <c r="I2218" s="28">
        <f>Table_7[[#This Row],[Length 
(ft)]]</f>
        <v>52</v>
      </c>
      <c r="J2218" s="28">
        <f>2020-Table_7[[#This Row],[Year]]</f>
        <v>15</v>
      </c>
      <c r="K2218">
        <v>1896755301518.1399</v>
      </c>
      <c r="L2218">
        <v>31911.0357890017</v>
      </c>
      <c r="M2218">
        <v>-0.13770757391656999</v>
      </c>
      <c r="N2218">
        <v>-9.0399534112288507</v>
      </c>
      <c r="O2218">
        <v>35</v>
      </c>
      <c r="P2218">
        <v>1088.002</v>
      </c>
      <c r="Q2218">
        <v>0</v>
      </c>
      <c r="R2218">
        <v>13.5</v>
      </c>
    </row>
    <row r="2219" spans="1:18" x14ac:dyDescent="0.25">
      <c r="A2219" s="1" t="s">
        <v>105</v>
      </c>
      <c r="B2219" s="2" t="s">
        <v>111</v>
      </c>
      <c r="C2219" s="19">
        <v>52</v>
      </c>
      <c r="D2219" s="3" t="s">
        <v>496</v>
      </c>
      <c r="E2219" s="3" t="s">
        <v>24</v>
      </c>
      <c r="F2219" s="23">
        <v>267244</v>
      </c>
      <c r="G2219" s="15">
        <v>2008</v>
      </c>
      <c r="H2219" s="15">
        <f>Table_7[[#This Row],[Listing Price (USD)]]/10000</f>
        <v>26.724399999999999</v>
      </c>
      <c r="I2219" s="28">
        <f>Table_7[[#This Row],[Length 
(ft)]]</f>
        <v>52</v>
      </c>
      <c r="J2219" s="28">
        <f>2020-Table_7[[#This Row],[Year]]</f>
        <v>12</v>
      </c>
      <c r="K2219">
        <v>1896755301518.1399</v>
      </c>
      <c r="L2219">
        <v>31911.0357890017</v>
      </c>
      <c r="M2219">
        <v>-0.13770757391656999</v>
      </c>
      <c r="N2219">
        <v>-9.0399534112288507</v>
      </c>
      <c r="O2219">
        <v>35</v>
      </c>
      <c r="P2219">
        <v>1088.002</v>
      </c>
      <c r="Q2219">
        <v>0</v>
      </c>
      <c r="R2219">
        <v>13.5</v>
      </c>
    </row>
    <row r="2220" spans="1:18" x14ac:dyDescent="0.25">
      <c r="A2220" s="1" t="s">
        <v>105</v>
      </c>
      <c r="B2220" s="2" t="s">
        <v>111</v>
      </c>
      <c r="C2220" s="19">
        <v>52</v>
      </c>
      <c r="D2220" s="3" t="s">
        <v>496</v>
      </c>
      <c r="E2220" s="3" t="s">
        <v>9</v>
      </c>
      <c r="F2220" s="23">
        <v>267244</v>
      </c>
      <c r="G2220" s="15">
        <v>2007</v>
      </c>
      <c r="H2220" s="15">
        <f>Table_7[[#This Row],[Listing Price (USD)]]/10000</f>
        <v>26.724399999999999</v>
      </c>
      <c r="I2220" s="28">
        <f>Table_7[[#This Row],[Length 
(ft)]]</f>
        <v>52</v>
      </c>
      <c r="J2220" s="28">
        <f>2020-Table_7[[#This Row],[Year]]</f>
        <v>13</v>
      </c>
      <c r="K2220">
        <v>1276962685648.25</v>
      </c>
      <c r="L2220">
        <v>26959.675436732599</v>
      </c>
      <c r="M2220">
        <v>-0.32275301729970501</v>
      </c>
      <c r="N2220">
        <v>-11.3254383222864</v>
      </c>
      <c r="O2220">
        <v>35</v>
      </c>
      <c r="P2220">
        <v>1088.002</v>
      </c>
      <c r="Q2220">
        <v>0</v>
      </c>
      <c r="R2220">
        <v>13.5</v>
      </c>
    </row>
    <row r="2221" spans="1:18" x14ac:dyDescent="0.25">
      <c r="A2221" s="1" t="s">
        <v>105</v>
      </c>
      <c r="B2221" s="2" t="s">
        <v>111</v>
      </c>
      <c r="C2221" s="19">
        <v>52</v>
      </c>
      <c r="D2221" s="3" t="s">
        <v>496</v>
      </c>
      <c r="E2221" s="3" t="s">
        <v>9</v>
      </c>
      <c r="F2221" s="23">
        <v>273318</v>
      </c>
      <c r="G2221" s="15">
        <v>2007</v>
      </c>
      <c r="H2221" s="15">
        <f>Table_7[[#This Row],[Listing Price (USD)]]/10000</f>
        <v>27.331800000000001</v>
      </c>
      <c r="I2221" s="28">
        <f>Table_7[[#This Row],[Length 
(ft)]]</f>
        <v>52</v>
      </c>
      <c r="J2221" s="28">
        <f>2020-Table_7[[#This Row],[Year]]</f>
        <v>13</v>
      </c>
      <c r="K2221">
        <v>1276962685648.25</v>
      </c>
      <c r="L2221">
        <v>26959.675436732599</v>
      </c>
      <c r="M2221">
        <v>-0.32275301729970501</v>
      </c>
      <c r="N2221">
        <v>-11.3254383222864</v>
      </c>
      <c r="O2221">
        <v>35</v>
      </c>
      <c r="P2221">
        <v>1088.002</v>
      </c>
      <c r="Q2221">
        <v>0</v>
      </c>
      <c r="R2221">
        <v>13.5</v>
      </c>
    </row>
    <row r="2222" spans="1:18" x14ac:dyDescent="0.25">
      <c r="A2222" s="1" t="s">
        <v>143</v>
      </c>
      <c r="B2222" s="2" t="s">
        <v>158</v>
      </c>
      <c r="C2222" s="19">
        <v>44</v>
      </c>
      <c r="D2222" s="3" t="s">
        <v>496</v>
      </c>
      <c r="E2222" s="3" t="s">
        <v>31</v>
      </c>
      <c r="F2222" s="23">
        <v>176131</v>
      </c>
      <c r="G2222" s="15">
        <v>2017</v>
      </c>
      <c r="H2222" s="15">
        <f>Table_7[[#This Row],[Listing Price (USD)]]/10000</f>
        <v>17.613099999999999</v>
      </c>
      <c r="I2222" s="28">
        <f>Table_7[[#This Row],[Length 
(ft)]]</f>
        <v>44</v>
      </c>
      <c r="J2222" s="28">
        <f>2020-Table_7[[#This Row],[Year]]</f>
        <v>3</v>
      </c>
      <c r="K2222">
        <v>57472012426.685303</v>
      </c>
      <c r="L2222">
        <v>14198.753959474399</v>
      </c>
      <c r="M2222">
        <v>0.15481137456202801</v>
      </c>
      <c r="N2222">
        <v>-8.5803430210621805</v>
      </c>
      <c r="O2222">
        <v>37.53</v>
      </c>
      <c r="P2222">
        <v>1068.432</v>
      </c>
      <c r="Q2222">
        <v>0</v>
      </c>
      <c r="R2222">
        <v>13.71</v>
      </c>
    </row>
    <row r="2223" spans="1:18" x14ac:dyDescent="0.25">
      <c r="A2223" s="1" t="s">
        <v>143</v>
      </c>
      <c r="B2223" s="2" t="s">
        <v>158</v>
      </c>
      <c r="C2223" s="19">
        <v>44</v>
      </c>
      <c r="D2223" s="3" t="s">
        <v>496</v>
      </c>
      <c r="E2223" s="3" t="s">
        <v>31</v>
      </c>
      <c r="F2223" s="23">
        <v>176131</v>
      </c>
      <c r="G2223" s="15">
        <v>2015</v>
      </c>
      <c r="H2223" s="15">
        <f>Table_7[[#This Row],[Listing Price (USD)]]/10000</f>
        <v>17.613099999999999</v>
      </c>
      <c r="I2223" s="28">
        <f>Table_7[[#This Row],[Length 
(ft)]]</f>
        <v>44</v>
      </c>
      <c r="J2223" s="28">
        <f>2020-Table_7[[#This Row],[Year]]</f>
        <v>5</v>
      </c>
      <c r="K2223">
        <v>57472012426.685303</v>
      </c>
      <c r="L2223">
        <v>14198.753959474399</v>
      </c>
      <c r="M2223">
        <v>0.15481137456202801</v>
      </c>
      <c r="N2223">
        <v>-8.5803430210621805</v>
      </c>
      <c r="O2223">
        <v>37.53</v>
      </c>
      <c r="P2223">
        <v>1068.432</v>
      </c>
      <c r="Q2223">
        <v>0</v>
      </c>
      <c r="R2223">
        <v>13.71</v>
      </c>
    </row>
    <row r="2224" spans="1:18" x14ac:dyDescent="0.25">
      <c r="A2224" s="1" t="s">
        <v>143</v>
      </c>
      <c r="B2224" s="2" t="s">
        <v>158</v>
      </c>
      <c r="C2224" s="19">
        <v>44</v>
      </c>
      <c r="D2224" s="3" t="s">
        <v>496</v>
      </c>
      <c r="E2224" s="3" t="s">
        <v>31</v>
      </c>
      <c r="F2224" s="23">
        <v>182204</v>
      </c>
      <c r="G2224" s="15">
        <v>2016</v>
      </c>
      <c r="H2224" s="15">
        <f>Table_7[[#This Row],[Listing Price (USD)]]/10000</f>
        <v>18.220400000000001</v>
      </c>
      <c r="I2224" s="28">
        <f>Table_7[[#This Row],[Length 
(ft)]]</f>
        <v>44</v>
      </c>
      <c r="J2224" s="28">
        <f>2020-Table_7[[#This Row],[Year]]</f>
        <v>4</v>
      </c>
      <c r="K2224">
        <v>57472012426.685303</v>
      </c>
      <c r="L2224">
        <v>14198.753959474399</v>
      </c>
      <c r="M2224">
        <v>0.15481137456202801</v>
      </c>
      <c r="N2224">
        <v>-8.5803430210621805</v>
      </c>
      <c r="O2224">
        <v>37.53</v>
      </c>
      <c r="P2224">
        <v>1068.432</v>
      </c>
      <c r="Q2224">
        <v>0</v>
      </c>
      <c r="R2224">
        <v>13.71</v>
      </c>
    </row>
    <row r="2225" spans="1:18" x14ac:dyDescent="0.25">
      <c r="A2225" s="1" t="s">
        <v>143</v>
      </c>
      <c r="B2225" s="2" t="s">
        <v>158</v>
      </c>
      <c r="C2225" s="19">
        <v>44</v>
      </c>
      <c r="D2225" s="3" t="s">
        <v>496</v>
      </c>
      <c r="E2225" s="3" t="s">
        <v>198</v>
      </c>
      <c r="F2225" s="23">
        <v>216216</v>
      </c>
      <c r="G2225" s="15">
        <v>2017</v>
      </c>
      <c r="H2225" s="15">
        <f>Table_7[[#This Row],[Listing Price (USD)]]/10000</f>
        <v>21.621600000000001</v>
      </c>
      <c r="I2225" s="28">
        <f>Table_7[[#This Row],[Length 
(ft)]]</f>
        <v>44</v>
      </c>
      <c r="J2225" s="28">
        <f>2020-Table_7[[#This Row],[Year]]</f>
        <v>3</v>
      </c>
      <c r="K2225">
        <v>53706800043.684196</v>
      </c>
      <c r="L2225">
        <v>25545.241002713599</v>
      </c>
      <c r="M2225">
        <v>-5.4856815760606699E-2</v>
      </c>
      <c r="N2225">
        <v>-4.3213699045106999</v>
      </c>
      <c r="O2225">
        <v>37.53</v>
      </c>
      <c r="P2225">
        <v>1068.432</v>
      </c>
      <c r="Q2225">
        <v>0</v>
      </c>
      <c r="R2225">
        <v>13.71</v>
      </c>
    </row>
    <row r="2226" spans="1:18" x14ac:dyDescent="0.25">
      <c r="A2226" s="1" t="s">
        <v>143</v>
      </c>
      <c r="B2226" s="2" t="s">
        <v>158</v>
      </c>
      <c r="C2226" s="19">
        <v>44</v>
      </c>
      <c r="D2226" s="3" t="s">
        <v>496</v>
      </c>
      <c r="E2226" s="3" t="s">
        <v>63</v>
      </c>
      <c r="F2226" s="23">
        <v>217431</v>
      </c>
      <c r="G2226" s="15">
        <v>2016</v>
      </c>
      <c r="H2226" s="15">
        <f>Table_7[[#This Row],[Listing Price (USD)]]/10000</f>
        <v>21.743099999999998</v>
      </c>
      <c r="I2226" s="28">
        <f>Table_7[[#This Row],[Length 
(ft)]]</f>
        <v>44</v>
      </c>
      <c r="J2226" s="28">
        <f>2020-Table_7[[#This Row],[Year]]</f>
        <v>4</v>
      </c>
      <c r="K2226">
        <v>720290000000</v>
      </c>
      <c r="L2226">
        <v>13341.6</v>
      </c>
      <c r="M2226">
        <v>13</v>
      </c>
      <c r="N2226">
        <v>-3</v>
      </c>
      <c r="O2226">
        <v>37.53</v>
      </c>
      <c r="P2226">
        <v>1068.432</v>
      </c>
      <c r="Q2226">
        <v>0</v>
      </c>
      <c r="R2226">
        <v>13.71</v>
      </c>
    </row>
    <row r="2227" spans="1:18" x14ac:dyDescent="0.25">
      <c r="A2227" s="1" t="s">
        <v>143</v>
      </c>
      <c r="B2227" s="2" t="s">
        <v>158</v>
      </c>
      <c r="C2227" s="19">
        <v>44</v>
      </c>
      <c r="D2227" s="3" t="s">
        <v>496</v>
      </c>
      <c r="E2227" s="3" t="s">
        <v>18</v>
      </c>
      <c r="F2227" s="23">
        <v>255086</v>
      </c>
      <c r="G2227" s="15">
        <v>2018</v>
      </c>
      <c r="H2227" s="15">
        <f>Table_7[[#This Row],[Listing Price (USD)]]/10000</f>
        <v>25.508600000000001</v>
      </c>
      <c r="I2227" s="28">
        <f>Table_7[[#This Row],[Length 
(ft)]]</f>
        <v>44</v>
      </c>
      <c r="J2227" s="28">
        <f>2020-Table_7[[#This Row],[Year]]</f>
        <v>2</v>
      </c>
      <c r="K2227">
        <v>188925995936.80701</v>
      </c>
      <c r="L2227">
        <v>17658.947301119199</v>
      </c>
      <c r="M2227">
        <v>-1.2479835558140799</v>
      </c>
      <c r="N2227">
        <v>-9.0040436420214593</v>
      </c>
      <c r="O2227">
        <v>37.53</v>
      </c>
      <c r="P2227">
        <v>1068.432</v>
      </c>
      <c r="Q2227">
        <v>0</v>
      </c>
      <c r="R2227">
        <v>13.71</v>
      </c>
    </row>
    <row r="2228" spans="1:18" x14ac:dyDescent="0.25">
      <c r="A2228" s="1" t="s">
        <v>143</v>
      </c>
      <c r="B2228" s="3" t="s">
        <v>158</v>
      </c>
      <c r="C2228" s="19">
        <v>44</v>
      </c>
      <c r="D2228" s="3" t="s">
        <v>495</v>
      </c>
      <c r="E2228" s="3" t="s">
        <v>333</v>
      </c>
      <c r="F2228" s="23">
        <v>375000</v>
      </c>
      <c r="G2228" s="15">
        <v>2018</v>
      </c>
      <c r="H2228" s="15">
        <f>Table_7[[#This Row],[Listing Price (USD)]]/10000</f>
        <v>37.5</v>
      </c>
      <c r="I2228" s="28">
        <f>Table_7[[#This Row],[Length 
(ft)]]</f>
        <v>44</v>
      </c>
      <c r="J2228" s="28">
        <f>2020-Table_7[[#This Row],[Year]]</f>
        <v>2</v>
      </c>
      <c r="K2228">
        <v>1106036000000</v>
      </c>
      <c r="L2228">
        <v>51276.72</v>
      </c>
      <c r="M2228">
        <v>1.23</v>
      </c>
      <c r="N2228">
        <v>2.9</v>
      </c>
      <c r="O2228">
        <v>37.53</v>
      </c>
      <c r="P2228">
        <v>1068.432</v>
      </c>
      <c r="Q2228">
        <v>0</v>
      </c>
      <c r="R2228">
        <v>13.71</v>
      </c>
    </row>
    <row r="2229" spans="1:18" x14ac:dyDescent="0.25">
      <c r="A2229" s="1" t="s">
        <v>187</v>
      </c>
      <c r="B2229" s="3" t="s">
        <v>340</v>
      </c>
      <c r="C2229" s="19">
        <v>40</v>
      </c>
      <c r="D2229" s="3" t="s">
        <v>495</v>
      </c>
      <c r="E2229" s="3" t="s">
        <v>554</v>
      </c>
      <c r="F2229" s="23">
        <v>172000</v>
      </c>
      <c r="G2229" s="15">
        <v>2013</v>
      </c>
      <c r="H2229" s="15">
        <f>Table_7[[#This Row],[Listing Price (USD)]]/10000</f>
        <v>17.2</v>
      </c>
      <c r="I2229" s="28">
        <f>Table_7[[#This Row],[Length 
(ft)]]</f>
        <v>40</v>
      </c>
      <c r="J2229" s="28">
        <f>2020-Table_7[[#This Row],[Year]]</f>
        <v>7</v>
      </c>
      <c r="K2229">
        <v>4200000000</v>
      </c>
      <c r="L2229">
        <v>39553.199999999997</v>
      </c>
      <c r="M2229">
        <v>4.0999999999999996</v>
      </c>
      <c r="N2229">
        <v>-2.1</v>
      </c>
      <c r="O2229">
        <v>31.25</v>
      </c>
      <c r="P2229">
        <v>747.00199999999995</v>
      </c>
      <c r="Q2229">
        <v>0</v>
      </c>
      <c r="R2229">
        <v>13.25</v>
      </c>
    </row>
    <row r="2230" spans="1:18" x14ac:dyDescent="0.25">
      <c r="A2230" s="1" t="s">
        <v>45</v>
      </c>
      <c r="B2230" s="3" t="s">
        <v>373</v>
      </c>
      <c r="C2230" s="19">
        <v>42</v>
      </c>
      <c r="D2230" s="3" t="s">
        <v>497</v>
      </c>
      <c r="E2230" s="3" t="s">
        <v>370</v>
      </c>
      <c r="F2230" s="23">
        <v>70000</v>
      </c>
      <c r="G2230" s="15">
        <v>2016</v>
      </c>
      <c r="H2230" s="15">
        <f>Table_7[[#This Row],[Listing Price (USD)]]/10000</f>
        <v>7</v>
      </c>
      <c r="I2230" s="28">
        <f>Table_7[[#This Row],[Length 
(ft)]]</f>
        <v>42</v>
      </c>
      <c r="J2230" s="28">
        <f>2020-Table_7[[#This Row],[Year]]</f>
        <v>4</v>
      </c>
      <c r="K2230">
        <v>500000000</v>
      </c>
      <c r="L2230">
        <v>34200</v>
      </c>
      <c r="M2230">
        <v>1.1000000000000001</v>
      </c>
      <c r="N2230">
        <v>2</v>
      </c>
      <c r="O2230">
        <v>31.33</v>
      </c>
      <c r="P2230">
        <v>0</v>
      </c>
      <c r="Q2230">
        <v>0</v>
      </c>
      <c r="R2230">
        <v>12.33</v>
      </c>
    </row>
    <row r="2231" spans="1:18" x14ac:dyDescent="0.25">
      <c r="A2231" s="1" t="s">
        <v>378</v>
      </c>
      <c r="B2231" s="3" t="s">
        <v>379</v>
      </c>
      <c r="C2231" s="19">
        <v>44</v>
      </c>
      <c r="D2231" s="3" t="s">
        <v>497</v>
      </c>
      <c r="E2231" s="3" t="s">
        <v>370</v>
      </c>
      <c r="F2231" s="23">
        <v>79000</v>
      </c>
      <c r="G2231" s="15">
        <v>2016</v>
      </c>
      <c r="H2231" s="15">
        <f>Table_7[[#This Row],[Listing Price (USD)]]/10000</f>
        <v>7.9</v>
      </c>
      <c r="I2231" s="28">
        <f>Table_7[[#This Row],[Length 
(ft)]]</f>
        <v>44</v>
      </c>
      <c r="J2231" s="28">
        <f>2020-Table_7[[#This Row],[Year]]</f>
        <v>4</v>
      </c>
      <c r="K2231">
        <v>500000000</v>
      </c>
      <c r="L2231">
        <v>34200</v>
      </c>
      <c r="M2231">
        <v>1.1000000000000001</v>
      </c>
      <c r="N2231">
        <v>2</v>
      </c>
      <c r="O2231">
        <v>31.33</v>
      </c>
      <c r="P2231">
        <v>0</v>
      </c>
      <c r="Q2231">
        <v>0</v>
      </c>
      <c r="R2231">
        <v>12.33</v>
      </c>
    </row>
    <row r="2232" spans="1:18" x14ac:dyDescent="0.25">
      <c r="A2232" s="1" t="s">
        <v>286</v>
      </c>
      <c r="B2232" s="2" t="s">
        <v>287</v>
      </c>
      <c r="C2232" s="19">
        <v>41</v>
      </c>
      <c r="D2232" s="3" t="s">
        <v>496</v>
      </c>
      <c r="E2232" s="3" t="s">
        <v>176</v>
      </c>
      <c r="F2232" s="23">
        <v>115380</v>
      </c>
      <c r="G2232" s="15">
        <v>2013</v>
      </c>
      <c r="H2232" s="15">
        <f>Table_7[[#This Row],[Listing Price (USD)]]/10000</f>
        <v>11.538</v>
      </c>
      <c r="I2232" s="28">
        <f>Table_7[[#This Row],[Length 
(ft)]]</f>
        <v>41</v>
      </c>
      <c r="J2232" s="28">
        <f>2020-Table_7[[#This Row],[Year]]</f>
        <v>7</v>
      </c>
      <c r="K2232">
        <v>355222449505.211</v>
      </c>
      <c r="L2232">
        <v>60915.424399546202</v>
      </c>
      <c r="M2232">
        <v>0.42071197411002598</v>
      </c>
      <c r="N2232">
        <v>-1.99460756850381</v>
      </c>
      <c r="O2232">
        <v>0</v>
      </c>
      <c r="P2232">
        <v>180.00200000000001</v>
      </c>
      <c r="Q2232">
        <v>0</v>
      </c>
      <c r="R2232">
        <v>6.37</v>
      </c>
    </row>
    <row r="2233" spans="1:18" x14ac:dyDescent="0.25">
      <c r="A2233" s="1" t="s">
        <v>45</v>
      </c>
      <c r="B2233" s="3" t="s">
        <v>325</v>
      </c>
      <c r="C2233" s="19">
        <v>43</v>
      </c>
      <c r="D2233" s="3" t="s">
        <v>495</v>
      </c>
      <c r="E2233" s="3" t="s">
        <v>333</v>
      </c>
      <c r="F2233" s="23">
        <v>138900</v>
      </c>
      <c r="G2233" s="15">
        <v>2007</v>
      </c>
      <c r="H2233" s="15">
        <f>Table_7[[#This Row],[Listing Price (USD)]]/10000</f>
        <v>13.89</v>
      </c>
      <c r="I2233" s="28">
        <f>Table_7[[#This Row],[Length 
(ft)]]</f>
        <v>43</v>
      </c>
      <c r="J2233" s="28">
        <f>2020-Table_7[[#This Row],[Year]]</f>
        <v>13</v>
      </c>
      <c r="K2233">
        <v>1106036000000</v>
      </c>
      <c r="L2233">
        <v>51276.72</v>
      </c>
      <c r="M2233">
        <v>1.23</v>
      </c>
      <c r="N2233">
        <v>2.9</v>
      </c>
      <c r="O2233">
        <v>38.549999999999997</v>
      </c>
      <c r="P2233">
        <v>860.00199999999995</v>
      </c>
      <c r="Q2233">
        <v>0</v>
      </c>
      <c r="R2233">
        <v>12.93</v>
      </c>
    </row>
    <row r="2234" spans="1:18" x14ac:dyDescent="0.25">
      <c r="A2234" s="1" t="s">
        <v>45</v>
      </c>
      <c r="B2234" s="3" t="s">
        <v>325</v>
      </c>
      <c r="C2234" s="19">
        <v>43</v>
      </c>
      <c r="D2234" s="3" t="s">
        <v>495</v>
      </c>
      <c r="E2234" s="3" t="s">
        <v>518</v>
      </c>
      <c r="F2234" s="23">
        <v>139900</v>
      </c>
      <c r="G2234" s="15">
        <v>2006</v>
      </c>
      <c r="H2234" s="15">
        <f>Table_7[[#This Row],[Listing Price (USD)]]/10000</f>
        <v>13.99</v>
      </c>
      <c r="I2234" s="28">
        <f>Table_7[[#This Row],[Length 
(ft)]]</f>
        <v>43</v>
      </c>
      <c r="J2234" s="28">
        <f>2020-Table_7[[#This Row],[Year]]</f>
        <v>14</v>
      </c>
      <c r="K2234">
        <v>1724759000000</v>
      </c>
      <c r="L2234">
        <v>85575.039999999994</v>
      </c>
      <c r="M2234">
        <v>1.23</v>
      </c>
      <c r="N2234">
        <v>3.8</v>
      </c>
      <c r="O2234">
        <v>38.549999999999997</v>
      </c>
      <c r="P2234">
        <v>860.00199999999995</v>
      </c>
      <c r="Q2234">
        <v>0</v>
      </c>
      <c r="R2234">
        <v>12.93</v>
      </c>
    </row>
    <row r="2235" spans="1:18" x14ac:dyDescent="0.25">
      <c r="A2235" s="1" t="s">
        <v>45</v>
      </c>
      <c r="B2235" s="3" t="s">
        <v>325</v>
      </c>
      <c r="C2235" s="19">
        <v>43</v>
      </c>
      <c r="D2235" s="3" t="s">
        <v>495</v>
      </c>
      <c r="E2235" s="3" t="s">
        <v>499</v>
      </c>
      <c r="F2235" s="23">
        <v>139995</v>
      </c>
      <c r="G2235" s="15">
        <v>2005</v>
      </c>
      <c r="H2235" s="15">
        <f>Table_7[[#This Row],[Listing Price (USD)]]/10000</f>
        <v>13.999499999999999</v>
      </c>
      <c r="I2235" s="28">
        <f>Table_7[[#This Row],[Length 
(ft)]]</f>
        <v>43</v>
      </c>
      <c r="J2235" s="28">
        <f>2020-Table_7[[#This Row],[Year]]</f>
        <v>15</v>
      </c>
      <c r="K2235">
        <v>212540000000</v>
      </c>
      <c r="L2235">
        <v>76778.559999999998</v>
      </c>
      <c r="M2235">
        <v>1.23</v>
      </c>
      <c r="N2235">
        <v>2.2000000000000002</v>
      </c>
      <c r="O2235">
        <v>38.549999999999997</v>
      </c>
      <c r="P2235">
        <v>860.00199999999995</v>
      </c>
      <c r="Q2235">
        <v>0</v>
      </c>
      <c r="R2235">
        <v>12.93</v>
      </c>
    </row>
    <row r="2236" spans="1:18" x14ac:dyDescent="0.25">
      <c r="A2236" s="1" t="s">
        <v>45</v>
      </c>
      <c r="B2236" s="3" t="s">
        <v>325</v>
      </c>
      <c r="C2236" s="19">
        <v>43</v>
      </c>
      <c r="D2236" s="3" t="s">
        <v>495</v>
      </c>
      <c r="E2236" s="3" t="s">
        <v>521</v>
      </c>
      <c r="F2236" s="23">
        <v>142000</v>
      </c>
      <c r="G2236" s="15">
        <v>2006</v>
      </c>
      <c r="H2236" s="15">
        <f>Table_7[[#This Row],[Listing Price (USD)]]/10000</f>
        <v>14.2</v>
      </c>
      <c r="I2236" s="28">
        <f>Table_7[[#This Row],[Length 
(ft)]]</f>
        <v>43</v>
      </c>
      <c r="J2236" s="28">
        <f>2020-Table_7[[#This Row],[Year]]</f>
        <v>14</v>
      </c>
      <c r="K2236">
        <v>60556000000</v>
      </c>
      <c r="L2236">
        <v>55240.56</v>
      </c>
      <c r="M2236">
        <v>3</v>
      </c>
      <c r="N2236">
        <v>2.2000000000000002</v>
      </c>
      <c r="O2236">
        <v>38.549999999999997</v>
      </c>
      <c r="P2236">
        <v>860.00199999999995</v>
      </c>
      <c r="Q2236">
        <v>0</v>
      </c>
      <c r="R2236">
        <v>12.93</v>
      </c>
    </row>
    <row r="2237" spans="1:18" x14ac:dyDescent="0.25">
      <c r="A2237" s="1" t="s">
        <v>45</v>
      </c>
      <c r="B2237" s="3" t="s">
        <v>325</v>
      </c>
      <c r="C2237" s="19">
        <v>43</v>
      </c>
      <c r="D2237" s="3" t="s">
        <v>495</v>
      </c>
      <c r="E2237" s="3" t="s">
        <v>518</v>
      </c>
      <c r="F2237" s="23">
        <v>144900</v>
      </c>
      <c r="G2237" s="15">
        <v>2006</v>
      </c>
      <c r="H2237" s="15">
        <f>Table_7[[#This Row],[Listing Price (USD)]]/10000</f>
        <v>14.49</v>
      </c>
      <c r="I2237" s="28">
        <f>Table_7[[#This Row],[Length 
(ft)]]</f>
        <v>43</v>
      </c>
      <c r="J2237" s="28">
        <f>2020-Table_7[[#This Row],[Year]]</f>
        <v>14</v>
      </c>
      <c r="K2237">
        <v>1724759000000</v>
      </c>
      <c r="L2237">
        <v>85575.039999999994</v>
      </c>
      <c r="M2237">
        <v>1.23</v>
      </c>
      <c r="N2237">
        <v>3.8</v>
      </c>
      <c r="O2237">
        <v>38.549999999999997</v>
      </c>
      <c r="P2237">
        <v>860.00199999999995</v>
      </c>
      <c r="Q2237">
        <v>0</v>
      </c>
      <c r="R2237">
        <v>12.93</v>
      </c>
    </row>
    <row r="2238" spans="1:18" x14ac:dyDescent="0.25">
      <c r="A2238" s="1" t="s">
        <v>45</v>
      </c>
      <c r="B2238" s="3" t="s">
        <v>325</v>
      </c>
      <c r="C2238" s="19">
        <v>43</v>
      </c>
      <c r="D2238" s="3" t="s">
        <v>495</v>
      </c>
      <c r="E2238" s="3" t="s">
        <v>512</v>
      </c>
      <c r="F2238" s="23">
        <v>145900</v>
      </c>
      <c r="G2238" s="15">
        <v>2006</v>
      </c>
      <c r="H2238" s="15">
        <f>Table_7[[#This Row],[Listing Price (USD)]]/10000</f>
        <v>14.59</v>
      </c>
      <c r="I2238" s="28">
        <f>Table_7[[#This Row],[Length 
(ft)]]</f>
        <v>43</v>
      </c>
      <c r="J2238" s="28">
        <f>2020-Table_7[[#This Row],[Year]]</f>
        <v>14</v>
      </c>
      <c r="K2238">
        <v>15842922532.7202</v>
      </c>
      <c r="L2238">
        <v>4255.7429932125397</v>
      </c>
      <c r="M2238">
        <v>5.2024648897533003</v>
      </c>
      <c r="N2238">
        <v>-6.7604398170551896</v>
      </c>
      <c r="O2238">
        <v>38.549999999999997</v>
      </c>
      <c r="P2238">
        <v>860.00199999999995</v>
      </c>
      <c r="Q2238">
        <v>0</v>
      </c>
      <c r="R2238">
        <v>12.93</v>
      </c>
    </row>
    <row r="2239" spans="1:18" x14ac:dyDescent="0.25">
      <c r="A2239" s="1" t="s">
        <v>45</v>
      </c>
      <c r="B2239" s="3" t="s">
        <v>325</v>
      </c>
      <c r="C2239" s="19">
        <v>43</v>
      </c>
      <c r="D2239" s="3" t="s">
        <v>495</v>
      </c>
      <c r="E2239" s="3" t="s">
        <v>515</v>
      </c>
      <c r="F2239" s="23">
        <v>147900</v>
      </c>
      <c r="G2239" s="15">
        <v>2005</v>
      </c>
      <c r="H2239" s="15">
        <f>Table_7[[#This Row],[Listing Price (USD)]]/10000</f>
        <v>14.79</v>
      </c>
      <c r="I2239" s="28">
        <f>Table_7[[#This Row],[Length 
(ft)]]</f>
        <v>43</v>
      </c>
      <c r="J2239" s="28">
        <f>2020-Table_7[[#This Row],[Year]]</f>
        <v>15</v>
      </c>
      <c r="K2239">
        <v>410675000000</v>
      </c>
      <c r="L2239">
        <v>66531.03</v>
      </c>
      <c r="M2239">
        <v>1.23</v>
      </c>
      <c r="N2239">
        <v>1.8</v>
      </c>
      <c r="O2239">
        <v>38.549999999999997</v>
      </c>
      <c r="P2239">
        <v>860.00199999999995</v>
      </c>
      <c r="Q2239">
        <v>0</v>
      </c>
      <c r="R2239">
        <v>12.93</v>
      </c>
    </row>
    <row r="2240" spans="1:18" x14ac:dyDescent="0.25">
      <c r="A2240" s="1" t="s">
        <v>45</v>
      </c>
      <c r="B2240" s="3" t="s">
        <v>325</v>
      </c>
      <c r="C2240" s="19">
        <v>43</v>
      </c>
      <c r="D2240" s="3" t="s">
        <v>495</v>
      </c>
      <c r="E2240" s="3" t="s">
        <v>523</v>
      </c>
      <c r="F2240" s="23">
        <v>154900</v>
      </c>
      <c r="G2240" s="15">
        <v>2007</v>
      </c>
      <c r="H2240" s="15">
        <f>Table_7[[#This Row],[Listing Price (USD)]]/10000</f>
        <v>15.49</v>
      </c>
      <c r="I2240" s="28">
        <f>Table_7[[#This Row],[Length 
(ft)]]</f>
        <v>43</v>
      </c>
      <c r="J2240" s="28">
        <f>2020-Table_7[[#This Row],[Year]]</f>
        <v>13</v>
      </c>
      <c r="K2240">
        <v>1775588000000</v>
      </c>
      <c r="L2240">
        <v>60771.06</v>
      </c>
      <c r="M2240">
        <v>1.23</v>
      </c>
      <c r="N2240">
        <v>5.0999999999999996</v>
      </c>
      <c r="O2240">
        <v>38.549999999999997</v>
      </c>
      <c r="P2240">
        <v>860.00199999999995</v>
      </c>
      <c r="Q2240">
        <v>0</v>
      </c>
      <c r="R2240">
        <v>12.93</v>
      </c>
    </row>
    <row r="2241" spans="1:18" x14ac:dyDescent="0.25">
      <c r="A2241" s="1" t="s">
        <v>45</v>
      </c>
      <c r="B2241" s="3" t="s">
        <v>325</v>
      </c>
      <c r="C2241" s="19">
        <v>43</v>
      </c>
      <c r="D2241" s="3" t="s">
        <v>495</v>
      </c>
      <c r="E2241" s="3" t="s">
        <v>552</v>
      </c>
      <c r="F2241" s="23">
        <v>155000</v>
      </c>
      <c r="G2241" s="15">
        <v>2006</v>
      </c>
      <c r="H2241" s="15">
        <f>Table_7[[#This Row],[Listing Price (USD)]]/10000</f>
        <v>15.5</v>
      </c>
      <c r="I2241" s="28">
        <f>Table_7[[#This Row],[Length 
(ft)]]</f>
        <v>43</v>
      </c>
      <c r="J2241" s="28">
        <f>2020-Table_7[[#This Row],[Year]]</f>
        <v>14</v>
      </c>
      <c r="K2241">
        <v>244882000000</v>
      </c>
      <c r="L2241">
        <v>47728.44</v>
      </c>
      <c r="M2241">
        <v>1.23</v>
      </c>
      <c r="N2241">
        <v>2.5</v>
      </c>
      <c r="O2241">
        <v>38.549999999999997</v>
      </c>
      <c r="P2241">
        <v>860.00199999999995</v>
      </c>
      <c r="Q2241">
        <v>0</v>
      </c>
      <c r="R2241">
        <v>12.93</v>
      </c>
    </row>
    <row r="2242" spans="1:18" x14ac:dyDescent="0.25">
      <c r="A2242" s="1" t="s">
        <v>45</v>
      </c>
      <c r="B2242" s="3" t="s">
        <v>325</v>
      </c>
      <c r="C2242" s="19">
        <v>43</v>
      </c>
      <c r="D2242" s="3" t="s">
        <v>495</v>
      </c>
      <c r="E2242" s="3" t="s">
        <v>518</v>
      </c>
      <c r="F2242" s="23">
        <v>155969</v>
      </c>
      <c r="G2242" s="15">
        <v>2006</v>
      </c>
      <c r="H2242" s="15">
        <f>Table_7[[#This Row],[Listing Price (USD)]]/10000</f>
        <v>15.5969</v>
      </c>
      <c r="I2242" s="28">
        <f>Table_7[[#This Row],[Length 
(ft)]]</f>
        <v>43</v>
      </c>
      <c r="J2242" s="28">
        <f>2020-Table_7[[#This Row],[Year]]</f>
        <v>14</v>
      </c>
      <c r="K2242">
        <v>1724759000000</v>
      </c>
      <c r="L2242">
        <v>85575.039999999994</v>
      </c>
      <c r="M2242">
        <v>1.23</v>
      </c>
      <c r="N2242">
        <v>3.8</v>
      </c>
      <c r="O2242">
        <v>38.549999999999997</v>
      </c>
      <c r="P2242">
        <v>860.00199999999995</v>
      </c>
      <c r="Q2242">
        <v>0</v>
      </c>
      <c r="R2242">
        <v>12.93</v>
      </c>
    </row>
    <row r="2243" spans="1:18" x14ac:dyDescent="0.25">
      <c r="A2243" s="1" t="s">
        <v>45</v>
      </c>
      <c r="B2243" s="3" t="s">
        <v>325</v>
      </c>
      <c r="C2243" s="19">
        <v>43</v>
      </c>
      <c r="D2243" s="3" t="s">
        <v>495</v>
      </c>
      <c r="E2243" s="3" t="s">
        <v>554</v>
      </c>
      <c r="F2243" s="23">
        <v>159900</v>
      </c>
      <c r="G2243" s="15">
        <v>2006</v>
      </c>
      <c r="H2243" s="15">
        <f>Table_7[[#This Row],[Listing Price (USD)]]/10000</f>
        <v>15.99</v>
      </c>
      <c r="I2243" s="28">
        <f>Table_7[[#This Row],[Length 
(ft)]]</f>
        <v>43</v>
      </c>
      <c r="J2243" s="28">
        <f>2020-Table_7[[#This Row],[Year]]</f>
        <v>14</v>
      </c>
      <c r="K2243">
        <v>4200000000</v>
      </c>
      <c r="L2243">
        <v>39553.199999999997</v>
      </c>
      <c r="M2243">
        <v>4.0999999999999996</v>
      </c>
      <c r="N2243">
        <v>-2.1</v>
      </c>
      <c r="O2243">
        <v>38.549999999999997</v>
      </c>
      <c r="P2243">
        <v>860.00199999999995</v>
      </c>
      <c r="Q2243">
        <v>0</v>
      </c>
      <c r="R2243">
        <v>12.93</v>
      </c>
    </row>
    <row r="2244" spans="1:18" x14ac:dyDescent="0.25">
      <c r="A2244" s="1" t="s">
        <v>45</v>
      </c>
      <c r="B2244" s="3" t="s">
        <v>325</v>
      </c>
      <c r="C2244" s="19">
        <v>43</v>
      </c>
      <c r="D2244" s="3" t="s">
        <v>495</v>
      </c>
      <c r="E2244" s="3" t="s">
        <v>526</v>
      </c>
      <c r="F2244" s="23">
        <v>174000</v>
      </c>
      <c r="G2244" s="15">
        <v>2008</v>
      </c>
      <c r="H2244" s="15">
        <f>Table_7[[#This Row],[Listing Price (USD)]]/10000</f>
        <v>17.399999999999999</v>
      </c>
      <c r="I2244" s="28">
        <f>Table_7[[#This Row],[Length 
(ft)]]</f>
        <v>43</v>
      </c>
      <c r="J2244" s="28">
        <f>2020-Table_7[[#This Row],[Year]]</f>
        <v>12</v>
      </c>
      <c r="K2244">
        <v>4200000000</v>
      </c>
      <c r="L2244">
        <v>39553.199999999997</v>
      </c>
      <c r="M2244">
        <v>4.0999999999999996</v>
      </c>
      <c r="N2244">
        <v>-2.1</v>
      </c>
      <c r="O2244">
        <v>38.549999999999997</v>
      </c>
      <c r="P2244">
        <v>860.00199999999995</v>
      </c>
      <c r="Q2244">
        <v>0</v>
      </c>
      <c r="R2244">
        <v>12.93</v>
      </c>
    </row>
    <row r="2245" spans="1:18" x14ac:dyDescent="0.25">
      <c r="A2245" s="1" t="s">
        <v>45</v>
      </c>
      <c r="B2245" s="2" t="s">
        <v>62</v>
      </c>
      <c r="C2245" s="19">
        <v>43</v>
      </c>
      <c r="D2245" s="3" t="s">
        <v>496</v>
      </c>
      <c r="E2245" s="3" t="s">
        <v>63</v>
      </c>
      <c r="F2245" s="23">
        <v>131187</v>
      </c>
      <c r="G2245" s="15">
        <v>2008</v>
      </c>
      <c r="H2245" s="15">
        <f>Table_7[[#This Row],[Listing Price (USD)]]/10000</f>
        <v>13.1187</v>
      </c>
      <c r="I2245" s="28">
        <f>Table_7[[#This Row],[Length 
(ft)]]</f>
        <v>43</v>
      </c>
      <c r="J2245" s="28">
        <f>2020-Table_7[[#This Row],[Year]]</f>
        <v>12</v>
      </c>
      <c r="K2245">
        <v>720290000012</v>
      </c>
      <c r="L2245">
        <v>13341.6</v>
      </c>
      <c r="M2245">
        <v>13</v>
      </c>
      <c r="N2245">
        <v>-3</v>
      </c>
      <c r="O2245">
        <v>29</v>
      </c>
      <c r="P2245">
        <v>486.00200000000001</v>
      </c>
      <c r="Q2245">
        <v>0</v>
      </c>
      <c r="R2245">
        <v>15.33</v>
      </c>
    </row>
    <row r="2246" spans="1:18" x14ac:dyDescent="0.25">
      <c r="A2246" s="1" t="s">
        <v>45</v>
      </c>
      <c r="B2246" s="2" t="s">
        <v>68</v>
      </c>
      <c r="C2246" s="19">
        <v>47</v>
      </c>
      <c r="D2246" s="3" t="s">
        <v>496</v>
      </c>
      <c r="E2246" s="3" t="s">
        <v>24</v>
      </c>
      <c r="F2246" s="23">
        <v>103249</v>
      </c>
      <c r="G2246" s="15">
        <v>2009</v>
      </c>
      <c r="H2246" s="15">
        <f>Table_7[[#This Row],[Listing Price (USD)]]/10000</f>
        <v>10.3249</v>
      </c>
      <c r="I2246" s="28">
        <f>Table_7[[#This Row],[Length 
(ft)]]</f>
        <v>47</v>
      </c>
      <c r="J2246" s="28">
        <f>2020-Table_7[[#This Row],[Year]]</f>
        <v>11</v>
      </c>
      <c r="K2246">
        <v>1896755301518.1399</v>
      </c>
      <c r="L2246">
        <v>31911.0357890017</v>
      </c>
      <c r="M2246">
        <v>-0.13770757391656999</v>
      </c>
      <c r="N2246">
        <v>-9.0399534112288507</v>
      </c>
      <c r="O2246">
        <v>36.5</v>
      </c>
      <c r="P2246">
        <v>1094.002</v>
      </c>
      <c r="Q2246">
        <v>0</v>
      </c>
      <c r="R2246">
        <v>12.83</v>
      </c>
    </row>
    <row r="2247" spans="1:18" x14ac:dyDescent="0.25">
      <c r="A2247" s="1" t="s">
        <v>45</v>
      </c>
      <c r="B2247" s="3" t="s">
        <v>68</v>
      </c>
      <c r="C2247" s="19">
        <v>47</v>
      </c>
      <c r="D2247" s="3" t="s">
        <v>497</v>
      </c>
      <c r="E2247" s="3" t="s">
        <v>498</v>
      </c>
      <c r="F2247" s="23">
        <v>130000</v>
      </c>
      <c r="G2247" s="15">
        <v>2007</v>
      </c>
      <c r="H2247" s="15">
        <f>Table_7[[#This Row],[Listing Price (USD)]]/10000</f>
        <v>13</v>
      </c>
      <c r="I2247" s="28">
        <f>Table_7[[#This Row],[Length 
(ft)]]</f>
        <v>47</v>
      </c>
      <c r="J2247" s="28">
        <f>2020-Table_7[[#This Row],[Year]]</f>
        <v>13</v>
      </c>
      <c r="K2247">
        <v>1090515389749.41</v>
      </c>
      <c r="L2247">
        <v>8655.0006820680301</v>
      </c>
      <c r="M2247">
        <v>3.3968341556999899</v>
      </c>
      <c r="N2247">
        <v>-7.9879123401474903</v>
      </c>
      <c r="O2247">
        <v>36.5</v>
      </c>
      <c r="P2247">
        <v>1094.002</v>
      </c>
      <c r="Q2247">
        <v>0</v>
      </c>
      <c r="R2247">
        <v>12.83</v>
      </c>
    </row>
    <row r="2248" spans="1:18" x14ac:dyDescent="0.25">
      <c r="A2248" s="1" t="s">
        <v>45</v>
      </c>
      <c r="B2248" s="2" t="s">
        <v>68</v>
      </c>
      <c r="C2248" s="19">
        <v>47</v>
      </c>
      <c r="D2248" s="3" t="s">
        <v>496</v>
      </c>
      <c r="E2248" s="3" t="s">
        <v>9</v>
      </c>
      <c r="F2248" s="23">
        <v>132402</v>
      </c>
      <c r="G2248" s="15">
        <v>2009</v>
      </c>
      <c r="H2248" s="15">
        <f>Table_7[[#This Row],[Listing Price (USD)]]/10000</f>
        <v>13.2402</v>
      </c>
      <c r="I2248" s="28">
        <f>Table_7[[#This Row],[Length 
(ft)]]</f>
        <v>47</v>
      </c>
      <c r="J2248" s="28">
        <f>2020-Table_7[[#This Row],[Year]]</f>
        <v>11</v>
      </c>
      <c r="K2248">
        <v>1276962685648.25</v>
      </c>
      <c r="L2248">
        <v>26959.675436732599</v>
      </c>
      <c r="M2248">
        <v>-0.32275301729970501</v>
      </c>
      <c r="N2248">
        <v>-11.3254383222864</v>
      </c>
      <c r="O2248">
        <v>36.5</v>
      </c>
      <c r="P2248">
        <v>1094.002</v>
      </c>
      <c r="Q2248">
        <v>0</v>
      </c>
      <c r="R2248">
        <v>12.83</v>
      </c>
    </row>
    <row r="2249" spans="1:18" x14ac:dyDescent="0.25">
      <c r="A2249" s="1" t="s">
        <v>45</v>
      </c>
      <c r="B2249" s="2" t="s">
        <v>68</v>
      </c>
      <c r="C2249" s="19">
        <v>47</v>
      </c>
      <c r="D2249" s="3" t="s">
        <v>496</v>
      </c>
      <c r="E2249" s="3" t="s">
        <v>18</v>
      </c>
      <c r="F2249" s="23">
        <v>136046</v>
      </c>
      <c r="G2249" s="15">
        <v>2010</v>
      </c>
      <c r="H2249" s="15">
        <f>Table_7[[#This Row],[Listing Price (USD)]]/10000</f>
        <v>13.6046</v>
      </c>
      <c r="I2249" s="28">
        <f>Table_7[[#This Row],[Length 
(ft)]]</f>
        <v>47</v>
      </c>
      <c r="J2249" s="28">
        <f>2020-Table_7[[#This Row],[Year]]</f>
        <v>10</v>
      </c>
      <c r="K2249">
        <v>188925995936.80701</v>
      </c>
      <c r="L2249">
        <v>17658.947301119199</v>
      </c>
      <c r="M2249">
        <v>-1.2479835558140799</v>
      </c>
      <c r="N2249">
        <v>-9.0040436420214593</v>
      </c>
      <c r="O2249">
        <v>36.5</v>
      </c>
      <c r="P2249">
        <v>1094.002</v>
      </c>
      <c r="Q2249">
        <v>0</v>
      </c>
      <c r="R2249">
        <v>12.83</v>
      </c>
    </row>
    <row r="2250" spans="1:18" x14ac:dyDescent="0.25">
      <c r="A2250" s="1" t="s">
        <v>45</v>
      </c>
      <c r="B2250" s="2" t="s">
        <v>68</v>
      </c>
      <c r="C2250" s="19">
        <v>47</v>
      </c>
      <c r="D2250" s="3" t="s">
        <v>496</v>
      </c>
      <c r="E2250" s="3" t="s">
        <v>18</v>
      </c>
      <c r="F2250" s="23">
        <v>139696</v>
      </c>
      <c r="G2250" s="15">
        <v>2009</v>
      </c>
      <c r="H2250" s="15">
        <f>Table_7[[#This Row],[Listing Price (USD)]]/10000</f>
        <v>13.9696</v>
      </c>
      <c r="I2250" s="28">
        <f>Table_7[[#This Row],[Length 
(ft)]]</f>
        <v>47</v>
      </c>
      <c r="J2250" s="28">
        <f>2020-Table_7[[#This Row],[Year]]</f>
        <v>11</v>
      </c>
      <c r="K2250">
        <v>188925995936.80701</v>
      </c>
      <c r="L2250">
        <v>17658.947301119199</v>
      </c>
      <c r="M2250">
        <v>-1.2479835558140799</v>
      </c>
      <c r="N2250">
        <v>-9.0040436420214593</v>
      </c>
      <c r="O2250">
        <v>36.5</v>
      </c>
      <c r="P2250">
        <v>1094.002</v>
      </c>
      <c r="Q2250">
        <v>0</v>
      </c>
      <c r="R2250">
        <v>12.83</v>
      </c>
    </row>
    <row r="2251" spans="1:18" x14ac:dyDescent="0.25">
      <c r="A2251" s="1" t="s">
        <v>45</v>
      </c>
      <c r="B2251" s="2" t="s">
        <v>68</v>
      </c>
      <c r="C2251" s="19">
        <v>47</v>
      </c>
      <c r="D2251" s="3" t="s">
        <v>496</v>
      </c>
      <c r="E2251" s="3" t="s">
        <v>31</v>
      </c>
      <c r="F2251" s="23">
        <v>156696</v>
      </c>
      <c r="G2251" s="15">
        <v>2011</v>
      </c>
      <c r="H2251" s="15">
        <f>Table_7[[#This Row],[Listing Price (USD)]]/10000</f>
        <v>15.669600000000001</v>
      </c>
      <c r="I2251" s="28">
        <f>Table_7[[#This Row],[Length 
(ft)]]</f>
        <v>47</v>
      </c>
      <c r="J2251" s="28">
        <f>2020-Table_7[[#This Row],[Year]]</f>
        <v>9</v>
      </c>
      <c r="K2251">
        <v>57472012426.685303</v>
      </c>
      <c r="L2251">
        <v>14198.753959474399</v>
      </c>
      <c r="M2251">
        <v>0.15481137456202801</v>
      </c>
      <c r="N2251">
        <v>-8.5803430210621805</v>
      </c>
      <c r="O2251">
        <v>36.5</v>
      </c>
      <c r="P2251">
        <v>1094.002</v>
      </c>
      <c r="Q2251">
        <v>0</v>
      </c>
      <c r="R2251">
        <v>12.83</v>
      </c>
    </row>
    <row r="2252" spans="1:18" x14ac:dyDescent="0.25">
      <c r="A2252" s="1" t="s">
        <v>45</v>
      </c>
      <c r="B2252" s="2" t="s">
        <v>68</v>
      </c>
      <c r="C2252" s="19">
        <v>47</v>
      </c>
      <c r="D2252" s="3" t="s">
        <v>496</v>
      </c>
      <c r="E2252" s="3" t="s">
        <v>9</v>
      </c>
      <c r="F2252" s="23">
        <v>157904</v>
      </c>
      <c r="G2252" s="15">
        <v>2008</v>
      </c>
      <c r="H2252" s="15">
        <f>Table_7[[#This Row],[Listing Price (USD)]]/10000</f>
        <v>15.7904</v>
      </c>
      <c r="I2252" s="28">
        <f>Table_7[[#This Row],[Length 
(ft)]]</f>
        <v>47</v>
      </c>
      <c r="J2252" s="28">
        <f>2020-Table_7[[#This Row],[Year]]</f>
        <v>12</v>
      </c>
      <c r="K2252">
        <v>1276962685648.25</v>
      </c>
      <c r="L2252">
        <v>26959.675436732599</v>
      </c>
      <c r="M2252">
        <v>-0.32275301729970501</v>
      </c>
      <c r="N2252">
        <v>-11.3254383222864</v>
      </c>
      <c r="O2252">
        <v>36.5</v>
      </c>
      <c r="P2252">
        <v>1094.002</v>
      </c>
      <c r="Q2252">
        <v>0</v>
      </c>
      <c r="R2252">
        <v>12.83</v>
      </c>
    </row>
    <row r="2253" spans="1:18" x14ac:dyDescent="0.25">
      <c r="A2253" s="1" t="s">
        <v>45</v>
      </c>
      <c r="B2253" s="2" t="s">
        <v>68</v>
      </c>
      <c r="C2253" s="19">
        <v>47</v>
      </c>
      <c r="D2253" s="3" t="s">
        <v>496</v>
      </c>
      <c r="E2253" s="3" t="s">
        <v>18</v>
      </c>
      <c r="F2253" s="23">
        <v>163991</v>
      </c>
      <c r="G2253" s="15">
        <v>2007</v>
      </c>
      <c r="H2253" s="15">
        <f>Table_7[[#This Row],[Listing Price (USD)]]/10000</f>
        <v>16.399100000000001</v>
      </c>
      <c r="I2253" s="28">
        <f>Table_7[[#This Row],[Length 
(ft)]]</f>
        <v>47</v>
      </c>
      <c r="J2253" s="28">
        <f>2020-Table_7[[#This Row],[Year]]</f>
        <v>13</v>
      </c>
      <c r="K2253">
        <v>188925995936.80701</v>
      </c>
      <c r="L2253">
        <v>17658.947301119199</v>
      </c>
      <c r="M2253">
        <v>-1.2479835558140799</v>
      </c>
      <c r="N2253">
        <v>-9.0040436420214593</v>
      </c>
      <c r="O2253">
        <v>36.5</v>
      </c>
      <c r="P2253">
        <v>1094.002</v>
      </c>
      <c r="Q2253">
        <v>0</v>
      </c>
      <c r="R2253">
        <v>12.83</v>
      </c>
    </row>
    <row r="2254" spans="1:18" x14ac:dyDescent="0.25">
      <c r="A2254" s="1" t="s">
        <v>45</v>
      </c>
      <c r="B2254" s="2" t="s">
        <v>68</v>
      </c>
      <c r="C2254" s="19">
        <v>47</v>
      </c>
      <c r="D2254" s="3" t="s">
        <v>496</v>
      </c>
      <c r="E2254" s="3" t="s">
        <v>63</v>
      </c>
      <c r="F2254" s="23">
        <v>166580</v>
      </c>
      <c r="G2254" s="15">
        <v>2008</v>
      </c>
      <c r="H2254" s="15">
        <f>Table_7[[#This Row],[Listing Price (USD)]]/10000</f>
        <v>16.658000000000001</v>
      </c>
      <c r="I2254" s="28">
        <f>Table_7[[#This Row],[Length 
(ft)]]</f>
        <v>47</v>
      </c>
      <c r="J2254" s="28">
        <f>2020-Table_7[[#This Row],[Year]]</f>
        <v>12</v>
      </c>
      <c r="K2254">
        <v>720290000000</v>
      </c>
      <c r="L2254">
        <v>13341.6</v>
      </c>
      <c r="M2254">
        <v>13</v>
      </c>
      <c r="N2254">
        <v>-3</v>
      </c>
      <c r="O2254">
        <v>36.5</v>
      </c>
      <c r="P2254">
        <v>1094.002</v>
      </c>
      <c r="Q2254">
        <v>0</v>
      </c>
      <c r="R2254">
        <v>12.83</v>
      </c>
    </row>
    <row r="2255" spans="1:18" x14ac:dyDescent="0.25">
      <c r="A2255" s="1" t="s">
        <v>45</v>
      </c>
      <c r="B2255" s="2" t="s">
        <v>68</v>
      </c>
      <c r="C2255" s="19">
        <v>47</v>
      </c>
      <c r="D2255" s="3" t="s">
        <v>496</v>
      </c>
      <c r="E2255" s="3" t="s">
        <v>3</v>
      </c>
      <c r="F2255" s="23">
        <v>167628</v>
      </c>
      <c r="G2255" s="15">
        <v>2009</v>
      </c>
      <c r="H2255" s="15">
        <f>Table_7[[#This Row],[Listing Price (USD)]]/10000</f>
        <v>16.762799999999999</v>
      </c>
      <c r="I2255" s="28">
        <f>Table_7[[#This Row],[Length 
(ft)]]</f>
        <v>47</v>
      </c>
      <c r="J2255" s="28">
        <f>2020-Table_7[[#This Row],[Year]]</f>
        <v>11</v>
      </c>
      <c r="K2255">
        <v>2639008701648.2598</v>
      </c>
      <c r="L2255">
        <v>39055.282928075401</v>
      </c>
      <c r="M2255">
        <v>0.47649885272508302</v>
      </c>
      <c r="N2255">
        <v>-7.7845864916787102</v>
      </c>
      <c r="O2255">
        <v>36.5</v>
      </c>
      <c r="P2255">
        <v>1094.002</v>
      </c>
      <c r="Q2255">
        <v>0</v>
      </c>
      <c r="R2255">
        <v>12.83</v>
      </c>
    </row>
    <row r="2256" spans="1:18" x14ac:dyDescent="0.25">
      <c r="A2256" s="1" t="s">
        <v>45</v>
      </c>
      <c r="B2256" s="2" t="s">
        <v>68</v>
      </c>
      <c r="C2256" s="19">
        <v>47</v>
      </c>
      <c r="D2256" s="3" t="s">
        <v>496</v>
      </c>
      <c r="E2256" s="3" t="s">
        <v>3</v>
      </c>
      <c r="F2256" s="23">
        <v>169493</v>
      </c>
      <c r="G2256" s="15">
        <v>2008</v>
      </c>
      <c r="H2256" s="15">
        <f>Table_7[[#This Row],[Listing Price (USD)]]/10000</f>
        <v>16.949300000000001</v>
      </c>
      <c r="I2256" s="28">
        <f>Table_7[[#This Row],[Length 
(ft)]]</f>
        <v>47</v>
      </c>
      <c r="J2256" s="28">
        <f>2020-Table_7[[#This Row],[Year]]</f>
        <v>12</v>
      </c>
      <c r="K2256">
        <v>2639008701648.2598</v>
      </c>
      <c r="L2256">
        <v>39055.282928075401</v>
      </c>
      <c r="M2256">
        <v>0.47649885272508302</v>
      </c>
      <c r="N2256">
        <v>-7.7845864916787102</v>
      </c>
      <c r="O2256">
        <v>36.5</v>
      </c>
      <c r="P2256">
        <v>1094.002</v>
      </c>
      <c r="Q2256">
        <v>0</v>
      </c>
      <c r="R2256">
        <v>12.83</v>
      </c>
    </row>
    <row r="2257" spans="1:18" x14ac:dyDescent="0.25">
      <c r="A2257" s="1" t="s">
        <v>45</v>
      </c>
      <c r="B2257" s="2" t="s">
        <v>68</v>
      </c>
      <c r="C2257" s="19">
        <v>47</v>
      </c>
      <c r="D2257" s="3" t="s">
        <v>496</v>
      </c>
      <c r="E2257" s="3" t="s">
        <v>24</v>
      </c>
      <c r="F2257" s="23">
        <v>170057</v>
      </c>
      <c r="G2257" s="15">
        <v>2010</v>
      </c>
      <c r="H2257" s="15">
        <f>Table_7[[#This Row],[Listing Price (USD)]]/10000</f>
        <v>17.005700000000001</v>
      </c>
      <c r="I2257" s="28">
        <f>Table_7[[#This Row],[Length 
(ft)]]</f>
        <v>47</v>
      </c>
      <c r="J2257" s="28">
        <f>2020-Table_7[[#This Row],[Year]]</f>
        <v>10</v>
      </c>
      <c r="K2257">
        <v>1896755301518.1399</v>
      </c>
      <c r="L2257">
        <v>31911.0357890017</v>
      </c>
      <c r="M2257">
        <v>-0.13770757391656999</v>
      </c>
      <c r="N2257">
        <v>-9.0399534112288507</v>
      </c>
      <c r="O2257">
        <v>36.5</v>
      </c>
      <c r="P2257">
        <v>1094.002</v>
      </c>
      <c r="Q2257">
        <v>0</v>
      </c>
      <c r="R2257">
        <v>12.83</v>
      </c>
    </row>
    <row r="2258" spans="1:18" x14ac:dyDescent="0.25">
      <c r="A2258" s="1" t="s">
        <v>45</v>
      </c>
      <c r="B2258" s="2" t="s">
        <v>68</v>
      </c>
      <c r="C2258" s="19">
        <v>47</v>
      </c>
      <c r="D2258" s="3" t="s">
        <v>496</v>
      </c>
      <c r="E2258" s="3" t="s">
        <v>18</v>
      </c>
      <c r="F2258" s="23">
        <v>174916</v>
      </c>
      <c r="G2258" s="15">
        <v>2007</v>
      </c>
      <c r="H2258" s="15">
        <f>Table_7[[#This Row],[Listing Price (USD)]]/10000</f>
        <v>17.491599999999998</v>
      </c>
      <c r="I2258" s="28">
        <f>Table_7[[#This Row],[Length 
(ft)]]</f>
        <v>47</v>
      </c>
      <c r="J2258" s="28">
        <f>2020-Table_7[[#This Row],[Year]]</f>
        <v>13</v>
      </c>
      <c r="K2258">
        <v>188925995936.80701</v>
      </c>
      <c r="L2258">
        <v>17658.947301119199</v>
      </c>
      <c r="M2258">
        <v>-1.2479835558140799</v>
      </c>
      <c r="N2258">
        <v>-9.0040436420214593</v>
      </c>
      <c r="O2258">
        <v>36.5</v>
      </c>
      <c r="P2258">
        <v>1094.002</v>
      </c>
      <c r="Q2258">
        <v>0</v>
      </c>
      <c r="R2258">
        <v>12.83</v>
      </c>
    </row>
    <row r="2259" spans="1:18" x14ac:dyDescent="0.25">
      <c r="A2259" s="1" t="s">
        <v>45</v>
      </c>
      <c r="B2259" s="2" t="s">
        <v>68</v>
      </c>
      <c r="C2259" s="19">
        <v>47</v>
      </c>
      <c r="D2259" s="3" t="s">
        <v>496</v>
      </c>
      <c r="E2259" s="3" t="s">
        <v>9</v>
      </c>
      <c r="F2259" s="23">
        <v>177346</v>
      </c>
      <c r="G2259" s="15">
        <v>2008</v>
      </c>
      <c r="H2259" s="15">
        <f>Table_7[[#This Row],[Listing Price (USD)]]/10000</f>
        <v>17.7346</v>
      </c>
      <c r="I2259" s="28">
        <f>Table_7[[#This Row],[Length 
(ft)]]</f>
        <v>47</v>
      </c>
      <c r="J2259" s="28">
        <f>2020-Table_7[[#This Row],[Year]]</f>
        <v>12</v>
      </c>
      <c r="K2259">
        <v>1276962685648.25</v>
      </c>
      <c r="L2259">
        <v>26959.675436732599</v>
      </c>
      <c r="M2259">
        <v>-0.32275301729970501</v>
      </c>
      <c r="N2259">
        <v>-11.3254383222864</v>
      </c>
      <c r="O2259">
        <v>36.5</v>
      </c>
      <c r="P2259">
        <v>1094.002</v>
      </c>
      <c r="Q2259">
        <v>0</v>
      </c>
      <c r="R2259">
        <v>12.83</v>
      </c>
    </row>
    <row r="2260" spans="1:18" x14ac:dyDescent="0.25">
      <c r="A2260" s="1" t="s">
        <v>45</v>
      </c>
      <c r="B2260" s="2" t="s">
        <v>68</v>
      </c>
      <c r="C2260" s="19">
        <v>47</v>
      </c>
      <c r="D2260" s="3" t="s">
        <v>496</v>
      </c>
      <c r="E2260" s="3" t="s">
        <v>547</v>
      </c>
      <c r="F2260" s="23">
        <v>182204</v>
      </c>
      <c r="G2260" s="15">
        <v>2008</v>
      </c>
      <c r="H2260" s="15">
        <f>Table_7[[#This Row],[Listing Price (USD)]]/10000</f>
        <v>18.220400000000001</v>
      </c>
      <c r="I2260" s="28">
        <f>Table_7[[#This Row],[Length 
(ft)]]</f>
        <v>47</v>
      </c>
      <c r="J2260" s="28">
        <f>2020-Table_7[[#This Row],[Year]]</f>
        <v>12</v>
      </c>
      <c r="K2260">
        <v>6739691604.7972603</v>
      </c>
      <c r="L2260">
        <v>182538.63834021101</v>
      </c>
      <c r="M2260">
        <v>3</v>
      </c>
      <c r="N2260">
        <v>-12.965134706814601</v>
      </c>
      <c r="O2260">
        <v>36.5</v>
      </c>
      <c r="P2260">
        <v>1094.002</v>
      </c>
      <c r="Q2260">
        <v>0</v>
      </c>
      <c r="R2260">
        <v>12.83</v>
      </c>
    </row>
    <row r="2261" spans="1:18" x14ac:dyDescent="0.25">
      <c r="A2261" s="1" t="s">
        <v>45</v>
      </c>
      <c r="B2261" s="3" t="s">
        <v>68</v>
      </c>
      <c r="C2261" s="19">
        <v>47</v>
      </c>
      <c r="D2261" s="3" t="s">
        <v>495</v>
      </c>
      <c r="E2261" s="3" t="s">
        <v>543</v>
      </c>
      <c r="F2261" s="23">
        <v>185000</v>
      </c>
      <c r="G2261" s="15">
        <v>2008</v>
      </c>
      <c r="H2261" s="15">
        <f>Table_7[[#This Row],[Listing Price (USD)]]/10000</f>
        <v>18.5</v>
      </c>
      <c r="I2261" s="28">
        <f>Table_7[[#This Row],[Length 
(ft)]]</f>
        <v>47</v>
      </c>
      <c r="J2261" s="28">
        <f>2020-Table_7[[#This Row],[Year]]</f>
        <v>12</v>
      </c>
      <c r="K2261">
        <v>235437000000</v>
      </c>
      <c r="L2261">
        <v>50618.06</v>
      </c>
      <c r="M2261">
        <v>1.23</v>
      </c>
      <c r="N2261">
        <v>3.8</v>
      </c>
      <c r="O2261">
        <v>36.5</v>
      </c>
      <c r="P2261">
        <v>1094.002</v>
      </c>
      <c r="Q2261">
        <v>0</v>
      </c>
      <c r="R2261">
        <v>12.83</v>
      </c>
    </row>
    <row r="2262" spans="1:18" x14ac:dyDescent="0.25">
      <c r="A2262" s="1" t="s">
        <v>45</v>
      </c>
      <c r="B2262" s="2" t="s">
        <v>68</v>
      </c>
      <c r="C2262" s="19">
        <v>47</v>
      </c>
      <c r="D2262" s="3" t="s">
        <v>496</v>
      </c>
      <c r="E2262" s="3" t="s">
        <v>18</v>
      </c>
      <c r="F2262" s="23">
        <v>194351</v>
      </c>
      <c r="G2262" s="15">
        <v>2007</v>
      </c>
      <c r="H2262" s="15">
        <f>Table_7[[#This Row],[Listing Price (USD)]]/10000</f>
        <v>19.435099999999998</v>
      </c>
      <c r="I2262" s="28">
        <f>Table_7[[#This Row],[Length 
(ft)]]</f>
        <v>47</v>
      </c>
      <c r="J2262" s="28">
        <f>2020-Table_7[[#This Row],[Year]]</f>
        <v>13</v>
      </c>
      <c r="K2262">
        <v>188925995936.80701</v>
      </c>
      <c r="L2262">
        <v>17658.947301119199</v>
      </c>
      <c r="M2262">
        <v>-1.2479835558140799</v>
      </c>
      <c r="N2262">
        <v>-9.0040436420214593</v>
      </c>
      <c r="O2262">
        <v>36.5</v>
      </c>
      <c r="P2262">
        <v>1094.002</v>
      </c>
      <c r="Q2262">
        <v>0</v>
      </c>
      <c r="R2262">
        <v>12.83</v>
      </c>
    </row>
    <row r="2263" spans="1:18" x14ac:dyDescent="0.25">
      <c r="A2263" s="1" t="s">
        <v>45</v>
      </c>
      <c r="B2263" s="3" t="s">
        <v>68</v>
      </c>
      <c r="C2263" s="19">
        <v>47</v>
      </c>
      <c r="D2263" s="3" t="s">
        <v>495</v>
      </c>
      <c r="E2263" s="3" t="s">
        <v>548</v>
      </c>
      <c r="F2263" s="23">
        <v>198900</v>
      </c>
      <c r="G2263" s="15">
        <v>2008</v>
      </c>
      <c r="H2263" s="15">
        <f>Table_7[[#This Row],[Listing Price (USD)]]/10000</f>
        <v>19.89</v>
      </c>
      <c r="I2263" s="28">
        <f>Table_7[[#This Row],[Length 
(ft)]]</f>
        <v>47</v>
      </c>
      <c r="J2263" s="28">
        <f>2020-Table_7[[#This Row],[Year]]</f>
        <v>12</v>
      </c>
      <c r="K2263">
        <v>618579000000</v>
      </c>
      <c r="L2263">
        <v>66659.100000000006</v>
      </c>
      <c r="M2263">
        <v>1.23</v>
      </c>
      <c r="N2263">
        <v>1.8</v>
      </c>
      <c r="O2263">
        <v>36.5</v>
      </c>
      <c r="P2263">
        <v>1094.002</v>
      </c>
      <c r="Q2263">
        <v>0</v>
      </c>
      <c r="R2263">
        <v>12.83</v>
      </c>
    </row>
    <row r="2264" spans="1:18" x14ac:dyDescent="0.25">
      <c r="A2264" s="1" t="s">
        <v>45</v>
      </c>
      <c r="B2264" s="3" t="s">
        <v>68</v>
      </c>
      <c r="C2264" s="19">
        <v>47</v>
      </c>
      <c r="D2264" s="3" t="s">
        <v>495</v>
      </c>
      <c r="E2264" s="3" t="s">
        <v>333</v>
      </c>
      <c r="F2264" s="23">
        <v>199000</v>
      </c>
      <c r="G2264" s="15">
        <v>2008</v>
      </c>
      <c r="H2264" s="15">
        <f>Table_7[[#This Row],[Listing Price (USD)]]/10000</f>
        <v>19.899999999999999</v>
      </c>
      <c r="I2264" s="28">
        <f>Table_7[[#This Row],[Length 
(ft)]]</f>
        <v>47</v>
      </c>
      <c r="J2264" s="28">
        <f>2020-Table_7[[#This Row],[Year]]</f>
        <v>12</v>
      </c>
      <c r="K2264">
        <v>1106036000000</v>
      </c>
      <c r="L2264">
        <v>51276.72</v>
      </c>
      <c r="M2264">
        <v>1.23</v>
      </c>
      <c r="N2264">
        <v>2.9</v>
      </c>
      <c r="O2264">
        <v>36.5</v>
      </c>
      <c r="P2264">
        <v>1094.002</v>
      </c>
      <c r="Q2264">
        <v>0</v>
      </c>
      <c r="R2264">
        <v>12.83</v>
      </c>
    </row>
    <row r="2265" spans="1:18" x14ac:dyDescent="0.25">
      <c r="A2265" s="1" t="s">
        <v>45</v>
      </c>
      <c r="B2265" s="2" t="s">
        <v>68</v>
      </c>
      <c r="C2265" s="19">
        <v>47</v>
      </c>
      <c r="D2265" s="3" t="s">
        <v>496</v>
      </c>
      <c r="E2265" s="3" t="s">
        <v>63</v>
      </c>
      <c r="F2265" s="23">
        <v>202854</v>
      </c>
      <c r="G2265" s="15">
        <v>2007</v>
      </c>
      <c r="H2265" s="15">
        <f>Table_7[[#This Row],[Listing Price (USD)]]/10000</f>
        <v>20.285399999999999</v>
      </c>
      <c r="I2265" s="28">
        <f>Table_7[[#This Row],[Length 
(ft)]]</f>
        <v>47</v>
      </c>
      <c r="J2265" s="28">
        <f>2020-Table_7[[#This Row],[Year]]</f>
        <v>13</v>
      </c>
      <c r="K2265">
        <v>720290000014</v>
      </c>
      <c r="L2265">
        <v>13341.6</v>
      </c>
      <c r="M2265">
        <v>13</v>
      </c>
      <c r="N2265">
        <v>-3</v>
      </c>
      <c r="O2265">
        <v>36.5</v>
      </c>
      <c r="P2265">
        <v>1094.002</v>
      </c>
      <c r="Q2265">
        <v>0</v>
      </c>
      <c r="R2265">
        <v>12.83</v>
      </c>
    </row>
    <row r="2266" spans="1:18" x14ac:dyDescent="0.25">
      <c r="A2266" s="1" t="s">
        <v>45</v>
      </c>
      <c r="B2266" s="3" t="s">
        <v>68</v>
      </c>
      <c r="C2266" s="19">
        <v>47</v>
      </c>
      <c r="D2266" s="3" t="s">
        <v>495</v>
      </c>
      <c r="E2266" s="3" t="s">
        <v>499</v>
      </c>
      <c r="F2266" s="23">
        <v>219000</v>
      </c>
      <c r="G2266" s="15">
        <v>2011</v>
      </c>
      <c r="H2266" s="15">
        <f>Table_7[[#This Row],[Listing Price (USD)]]/10000</f>
        <v>21.9</v>
      </c>
      <c r="I2266" s="28">
        <f>Table_7[[#This Row],[Length 
(ft)]]</f>
        <v>47</v>
      </c>
      <c r="J2266" s="28">
        <f>2020-Table_7[[#This Row],[Year]]</f>
        <v>9</v>
      </c>
      <c r="K2266">
        <v>212540000000</v>
      </c>
      <c r="L2266">
        <v>76778.559999999998</v>
      </c>
      <c r="M2266">
        <v>1.23</v>
      </c>
      <c r="N2266">
        <v>2.2000000000000002</v>
      </c>
      <c r="O2266">
        <v>36.5</v>
      </c>
      <c r="P2266">
        <v>1094.002</v>
      </c>
      <c r="Q2266">
        <v>0</v>
      </c>
      <c r="R2266">
        <v>12.83</v>
      </c>
    </row>
    <row r="2267" spans="1:18" x14ac:dyDescent="0.25">
      <c r="A2267" s="1" t="s">
        <v>45</v>
      </c>
      <c r="B2267" s="3" t="s">
        <v>68</v>
      </c>
      <c r="C2267" s="19">
        <v>47</v>
      </c>
      <c r="D2267" s="3" t="s">
        <v>495</v>
      </c>
      <c r="E2267" s="3" t="s">
        <v>500</v>
      </c>
      <c r="F2267" s="23">
        <v>229000</v>
      </c>
      <c r="G2267" s="15">
        <v>2009</v>
      </c>
      <c r="H2267" s="15">
        <f>Table_7[[#This Row],[Listing Price (USD)]]/10000</f>
        <v>22.9</v>
      </c>
      <c r="I2267" s="28">
        <f>Table_7[[#This Row],[Length 
(ft)]]</f>
        <v>47</v>
      </c>
      <c r="J2267" s="28">
        <f>2020-Table_7[[#This Row],[Year]]</f>
        <v>11</v>
      </c>
      <c r="K2267">
        <v>3007188000000</v>
      </c>
      <c r="L2267">
        <v>76131.839999999997</v>
      </c>
      <c r="M2267">
        <v>1.23</v>
      </c>
      <c r="N2267">
        <v>2.7</v>
      </c>
      <c r="O2267">
        <v>36.5</v>
      </c>
      <c r="P2267">
        <v>1094.002</v>
      </c>
      <c r="Q2267">
        <v>0</v>
      </c>
      <c r="R2267">
        <v>12.83</v>
      </c>
    </row>
    <row r="2268" spans="1:18" x14ac:dyDescent="0.25">
      <c r="A2268" s="1" t="s">
        <v>45</v>
      </c>
      <c r="B2268" s="2" t="s">
        <v>68</v>
      </c>
      <c r="C2268" s="19">
        <v>47</v>
      </c>
      <c r="D2268" s="3" t="s">
        <v>496</v>
      </c>
      <c r="E2268" s="3" t="s">
        <v>18</v>
      </c>
      <c r="F2268" s="23">
        <v>285454</v>
      </c>
      <c r="G2268" s="15">
        <v>2019</v>
      </c>
      <c r="H2268" s="15">
        <f>Table_7[[#This Row],[Listing Price (USD)]]/10000</f>
        <v>28.545400000000001</v>
      </c>
      <c r="I2268" s="28">
        <f>Table_7[[#This Row],[Length 
(ft)]]</f>
        <v>47</v>
      </c>
      <c r="J2268" s="28">
        <f>2020-Table_7[[#This Row],[Year]]</f>
        <v>1</v>
      </c>
      <c r="K2268">
        <v>188925995936.80701</v>
      </c>
      <c r="L2268">
        <v>17658.947301119199</v>
      </c>
      <c r="M2268">
        <v>-1.2479835558140799</v>
      </c>
      <c r="N2268">
        <v>-9.0040436420214593</v>
      </c>
      <c r="O2268">
        <v>36.5</v>
      </c>
      <c r="P2268">
        <v>1094.002</v>
      </c>
      <c r="Q2268">
        <v>0</v>
      </c>
      <c r="R2268">
        <v>12.83</v>
      </c>
    </row>
    <row r="2269" spans="1:18" x14ac:dyDescent="0.25">
      <c r="A2269" s="1" t="s">
        <v>45</v>
      </c>
      <c r="B2269" s="2" t="s">
        <v>69</v>
      </c>
      <c r="C2269" s="19">
        <v>47</v>
      </c>
      <c r="D2269" s="3" t="s">
        <v>496</v>
      </c>
      <c r="E2269" s="3" t="s">
        <v>18</v>
      </c>
      <c r="F2269" s="23">
        <v>133622</v>
      </c>
      <c r="G2269" s="15">
        <v>2010</v>
      </c>
      <c r="H2269" s="15">
        <f>Table_7[[#This Row],[Listing Price (USD)]]/10000</f>
        <v>13.3622</v>
      </c>
      <c r="I2269" s="28">
        <f>Table_7[[#This Row],[Length 
(ft)]]</f>
        <v>47</v>
      </c>
      <c r="J2269" s="28">
        <f>2020-Table_7[[#This Row],[Year]]</f>
        <v>10</v>
      </c>
      <c r="K2269">
        <v>188925995936.80701</v>
      </c>
      <c r="L2269">
        <v>17658.947301119199</v>
      </c>
      <c r="M2269">
        <v>-1.2479835558140799</v>
      </c>
      <c r="N2269">
        <v>-9.0040436420214593</v>
      </c>
      <c r="O2269">
        <v>36.5</v>
      </c>
      <c r="P2269">
        <v>1094.002</v>
      </c>
      <c r="Q2269">
        <v>0</v>
      </c>
      <c r="R2269">
        <v>12.83</v>
      </c>
    </row>
    <row r="2270" spans="1:18" x14ac:dyDescent="0.25">
      <c r="A2270" s="1" t="s">
        <v>45</v>
      </c>
      <c r="B2270" s="2" t="s">
        <v>69</v>
      </c>
      <c r="C2270" s="19">
        <v>47</v>
      </c>
      <c r="D2270" s="3" t="s">
        <v>496</v>
      </c>
      <c r="E2270" s="3" t="s">
        <v>18</v>
      </c>
      <c r="F2270" s="23">
        <v>137266</v>
      </c>
      <c r="G2270" s="15">
        <v>2010</v>
      </c>
      <c r="H2270" s="15">
        <f>Table_7[[#This Row],[Listing Price (USD)]]/10000</f>
        <v>13.726599999999999</v>
      </c>
      <c r="I2270" s="28">
        <f>Table_7[[#This Row],[Length 
(ft)]]</f>
        <v>47</v>
      </c>
      <c r="J2270" s="28">
        <f>2020-Table_7[[#This Row],[Year]]</f>
        <v>10</v>
      </c>
      <c r="K2270">
        <v>188925995936.80701</v>
      </c>
      <c r="L2270">
        <v>17658.947301119199</v>
      </c>
      <c r="M2270">
        <v>-1.2479835558140799</v>
      </c>
      <c r="N2270">
        <v>-9.0040436420214593</v>
      </c>
      <c r="O2270">
        <v>36.5</v>
      </c>
      <c r="P2270">
        <v>1094.002</v>
      </c>
      <c r="Q2270">
        <v>0</v>
      </c>
      <c r="R2270">
        <v>12.83</v>
      </c>
    </row>
    <row r="2271" spans="1:18" x14ac:dyDescent="0.25">
      <c r="A2271" s="1" t="s">
        <v>45</v>
      </c>
      <c r="B2271" s="2" t="s">
        <v>70</v>
      </c>
      <c r="C2271" s="19">
        <v>47</v>
      </c>
      <c r="D2271" s="3" t="s">
        <v>496</v>
      </c>
      <c r="E2271" s="3" t="s">
        <v>18</v>
      </c>
      <c r="F2271" s="23">
        <v>160346</v>
      </c>
      <c r="G2271" s="15">
        <v>2007</v>
      </c>
      <c r="H2271" s="15">
        <f>Table_7[[#This Row],[Listing Price (USD)]]/10000</f>
        <v>16.034600000000001</v>
      </c>
      <c r="I2271" s="28">
        <f>Table_7[[#This Row],[Length 
(ft)]]</f>
        <v>47</v>
      </c>
      <c r="J2271" s="28">
        <f>2020-Table_7[[#This Row],[Year]]</f>
        <v>13</v>
      </c>
      <c r="K2271">
        <v>188925995936.80701</v>
      </c>
      <c r="L2271">
        <v>17658.947301119199</v>
      </c>
      <c r="M2271">
        <v>-1.2479835558140799</v>
      </c>
      <c r="N2271">
        <v>-9.0040436420214593</v>
      </c>
      <c r="O2271">
        <v>36.5</v>
      </c>
      <c r="P2271">
        <v>1094.002</v>
      </c>
      <c r="Q2271">
        <v>0</v>
      </c>
      <c r="R2271">
        <v>12.83</v>
      </c>
    </row>
    <row r="2272" spans="1:18" x14ac:dyDescent="0.25">
      <c r="A2272" s="1" t="s">
        <v>45</v>
      </c>
      <c r="B2272" s="2" t="s">
        <v>76</v>
      </c>
      <c r="C2272" s="19">
        <v>48</v>
      </c>
      <c r="D2272" s="3" t="s">
        <v>496</v>
      </c>
      <c r="E2272" s="3" t="s">
        <v>31</v>
      </c>
      <c r="F2272" s="23">
        <v>170064</v>
      </c>
      <c r="G2272" s="15">
        <v>2013</v>
      </c>
      <c r="H2272" s="15">
        <f>Table_7[[#This Row],[Listing Price (USD)]]/10000</f>
        <v>17.006399999999999</v>
      </c>
      <c r="I2272" s="28">
        <f>Table_7[[#This Row],[Length 
(ft)]]</f>
        <v>48</v>
      </c>
      <c r="J2272" s="28">
        <f>2020-Table_7[[#This Row],[Year]]</f>
        <v>7</v>
      </c>
      <c r="K2272">
        <v>57472012426.685303</v>
      </c>
      <c r="L2272">
        <v>14198.753959474399</v>
      </c>
      <c r="M2272">
        <v>0.15481137456202801</v>
      </c>
      <c r="N2272">
        <v>-8.5803430210621805</v>
      </c>
      <c r="O2272">
        <v>32</v>
      </c>
      <c r="P2272">
        <v>1000.002</v>
      </c>
      <c r="Q2272">
        <v>0</v>
      </c>
      <c r="R2272">
        <v>12</v>
      </c>
    </row>
    <row r="2273" spans="1:18" x14ac:dyDescent="0.25">
      <c r="A2273" s="1" t="s">
        <v>45</v>
      </c>
      <c r="B2273" s="2" t="s">
        <v>76</v>
      </c>
      <c r="C2273" s="19">
        <v>48</v>
      </c>
      <c r="D2273" s="3" t="s">
        <v>496</v>
      </c>
      <c r="E2273" s="3" t="s">
        <v>31</v>
      </c>
      <c r="F2273" s="23">
        <v>180382</v>
      </c>
      <c r="G2273" s="15">
        <v>2015</v>
      </c>
      <c r="H2273" s="15">
        <f>Table_7[[#This Row],[Listing Price (USD)]]/10000</f>
        <v>18.0382</v>
      </c>
      <c r="I2273" s="28">
        <f>Table_7[[#This Row],[Length 
(ft)]]</f>
        <v>48</v>
      </c>
      <c r="J2273" s="28">
        <f>2020-Table_7[[#This Row],[Year]]</f>
        <v>5</v>
      </c>
      <c r="K2273">
        <v>57472012426.685303</v>
      </c>
      <c r="L2273">
        <v>14198.753959474399</v>
      </c>
      <c r="M2273">
        <v>0.15481137456202801</v>
      </c>
      <c r="N2273">
        <v>-8.5803430210621805</v>
      </c>
      <c r="O2273">
        <v>32</v>
      </c>
      <c r="P2273">
        <v>1000.002</v>
      </c>
      <c r="Q2273">
        <v>0</v>
      </c>
      <c r="R2273">
        <v>12</v>
      </c>
    </row>
    <row r="2274" spans="1:18" x14ac:dyDescent="0.25">
      <c r="A2274" s="1" t="s">
        <v>45</v>
      </c>
      <c r="B2274" s="2" t="s">
        <v>76</v>
      </c>
      <c r="C2274" s="19">
        <v>48</v>
      </c>
      <c r="D2274" s="3" t="s">
        <v>496</v>
      </c>
      <c r="E2274" s="3" t="s">
        <v>3</v>
      </c>
      <c r="F2274" s="23">
        <v>200425</v>
      </c>
      <c r="G2274" s="15">
        <v>2014</v>
      </c>
      <c r="H2274" s="15">
        <f>Table_7[[#This Row],[Listing Price (USD)]]/10000</f>
        <v>20.0425</v>
      </c>
      <c r="I2274" s="28">
        <f>Table_7[[#This Row],[Length 
(ft)]]</f>
        <v>48</v>
      </c>
      <c r="J2274" s="28">
        <f>2020-Table_7[[#This Row],[Year]]</f>
        <v>6</v>
      </c>
      <c r="K2274">
        <v>2639008701648.2598</v>
      </c>
      <c r="L2274">
        <v>39055.282928075401</v>
      </c>
      <c r="M2274">
        <v>0.47649885272508302</v>
      </c>
      <c r="N2274">
        <v>-7.7845864916787102</v>
      </c>
      <c r="O2274">
        <v>32</v>
      </c>
      <c r="P2274">
        <v>1000.002</v>
      </c>
      <c r="Q2274">
        <v>0</v>
      </c>
      <c r="R2274">
        <v>12</v>
      </c>
    </row>
    <row r="2275" spans="1:18" x14ac:dyDescent="0.25">
      <c r="A2275" s="1" t="s">
        <v>45</v>
      </c>
      <c r="B2275" s="2" t="s">
        <v>76</v>
      </c>
      <c r="C2275" s="19">
        <v>48</v>
      </c>
      <c r="D2275" s="3" t="s">
        <v>496</v>
      </c>
      <c r="E2275" s="3" t="s">
        <v>18</v>
      </c>
      <c r="F2275" s="23">
        <v>200425</v>
      </c>
      <c r="G2275" s="15">
        <v>2012</v>
      </c>
      <c r="H2275" s="15">
        <f>Table_7[[#This Row],[Listing Price (USD)]]/10000</f>
        <v>20.0425</v>
      </c>
      <c r="I2275" s="28">
        <f>Table_7[[#This Row],[Length 
(ft)]]</f>
        <v>48</v>
      </c>
      <c r="J2275" s="28">
        <f>2020-Table_7[[#This Row],[Year]]</f>
        <v>8</v>
      </c>
      <c r="K2275">
        <v>188925995936.80701</v>
      </c>
      <c r="L2275">
        <v>17658.947301119199</v>
      </c>
      <c r="M2275">
        <v>-1.2479835558140799</v>
      </c>
      <c r="N2275">
        <v>-9.0040436420214593</v>
      </c>
      <c r="O2275">
        <v>32</v>
      </c>
      <c r="P2275">
        <v>1000.002</v>
      </c>
      <c r="Q2275">
        <v>0</v>
      </c>
      <c r="R2275">
        <v>12</v>
      </c>
    </row>
    <row r="2276" spans="1:18" x14ac:dyDescent="0.25">
      <c r="A2276" s="1" t="s">
        <v>45</v>
      </c>
      <c r="B2276" s="2" t="s">
        <v>76</v>
      </c>
      <c r="C2276" s="19">
        <v>48</v>
      </c>
      <c r="D2276" s="3" t="s">
        <v>496</v>
      </c>
      <c r="E2276" s="3" t="s">
        <v>9</v>
      </c>
      <c r="F2276" s="23">
        <v>206377</v>
      </c>
      <c r="G2276" s="15">
        <v>2015</v>
      </c>
      <c r="H2276" s="15">
        <f>Table_7[[#This Row],[Listing Price (USD)]]/10000</f>
        <v>20.637699999999999</v>
      </c>
      <c r="I2276" s="28">
        <f>Table_7[[#This Row],[Length 
(ft)]]</f>
        <v>48</v>
      </c>
      <c r="J2276" s="28">
        <f>2020-Table_7[[#This Row],[Year]]</f>
        <v>5</v>
      </c>
      <c r="K2276">
        <v>1276962685648.25</v>
      </c>
      <c r="L2276">
        <v>26959.675436732599</v>
      </c>
      <c r="M2276">
        <v>-0.32275301729970501</v>
      </c>
      <c r="N2276">
        <v>-11.3254383222864</v>
      </c>
      <c r="O2276">
        <v>32</v>
      </c>
      <c r="P2276">
        <v>1000.002</v>
      </c>
      <c r="Q2276">
        <v>0</v>
      </c>
      <c r="R2276">
        <v>12</v>
      </c>
    </row>
    <row r="2277" spans="1:18" x14ac:dyDescent="0.25">
      <c r="A2277" s="1" t="s">
        <v>45</v>
      </c>
      <c r="B2277" s="2" t="s">
        <v>76</v>
      </c>
      <c r="C2277" s="19">
        <v>48</v>
      </c>
      <c r="D2277" s="3" t="s">
        <v>496</v>
      </c>
      <c r="E2277" s="3" t="s">
        <v>9</v>
      </c>
      <c r="F2277" s="23">
        <v>206385</v>
      </c>
      <c r="G2277" s="15">
        <v>2015</v>
      </c>
      <c r="H2277" s="15">
        <f>Table_7[[#This Row],[Listing Price (USD)]]/10000</f>
        <v>20.638500000000001</v>
      </c>
      <c r="I2277" s="28">
        <f>Table_7[[#This Row],[Length 
(ft)]]</f>
        <v>48</v>
      </c>
      <c r="J2277" s="28">
        <f>2020-Table_7[[#This Row],[Year]]</f>
        <v>5</v>
      </c>
      <c r="K2277">
        <v>1276962685648.25</v>
      </c>
      <c r="L2277">
        <v>26959.675436732599</v>
      </c>
      <c r="M2277">
        <v>-0.32275301729970501</v>
      </c>
      <c r="N2277">
        <v>-11.3254383222864</v>
      </c>
      <c r="O2277">
        <v>32</v>
      </c>
      <c r="P2277">
        <v>1000.002</v>
      </c>
      <c r="Q2277">
        <v>0</v>
      </c>
      <c r="R2277">
        <v>12</v>
      </c>
    </row>
    <row r="2278" spans="1:18" x14ac:dyDescent="0.25">
      <c r="A2278" s="1" t="s">
        <v>45</v>
      </c>
      <c r="B2278" s="2" t="s">
        <v>76</v>
      </c>
      <c r="C2278" s="19">
        <v>48</v>
      </c>
      <c r="D2278" s="3" t="s">
        <v>496</v>
      </c>
      <c r="E2278" s="3" t="s">
        <v>18</v>
      </c>
      <c r="F2278" s="23">
        <v>206498</v>
      </c>
      <c r="G2278" s="15">
        <v>2012</v>
      </c>
      <c r="H2278" s="15">
        <f>Table_7[[#This Row],[Listing Price (USD)]]/10000</f>
        <v>20.649799999999999</v>
      </c>
      <c r="I2278" s="28">
        <f>Table_7[[#This Row],[Length 
(ft)]]</f>
        <v>48</v>
      </c>
      <c r="J2278" s="28">
        <f>2020-Table_7[[#This Row],[Year]]</f>
        <v>8</v>
      </c>
      <c r="K2278">
        <v>188925995936.80701</v>
      </c>
      <c r="L2278">
        <v>17658.947301119199</v>
      </c>
      <c r="M2278">
        <v>-1.2479835558140799</v>
      </c>
      <c r="N2278">
        <v>-9.0040436420214593</v>
      </c>
      <c r="O2278">
        <v>32</v>
      </c>
      <c r="P2278">
        <v>1000.002</v>
      </c>
      <c r="Q2278">
        <v>0</v>
      </c>
      <c r="R2278">
        <v>12</v>
      </c>
    </row>
    <row r="2279" spans="1:18" x14ac:dyDescent="0.25">
      <c r="A2279" s="1" t="s">
        <v>45</v>
      </c>
      <c r="B2279" s="2" t="s">
        <v>76</v>
      </c>
      <c r="C2279" s="19">
        <v>48</v>
      </c>
      <c r="D2279" s="3" t="s">
        <v>496</v>
      </c>
      <c r="E2279" s="3" t="s">
        <v>18</v>
      </c>
      <c r="F2279" s="23">
        <v>208928</v>
      </c>
      <c r="G2279" s="15">
        <v>2012</v>
      </c>
      <c r="H2279" s="15">
        <f>Table_7[[#This Row],[Listing Price (USD)]]/10000</f>
        <v>20.892800000000001</v>
      </c>
      <c r="I2279" s="28">
        <f>Table_7[[#This Row],[Length 
(ft)]]</f>
        <v>48</v>
      </c>
      <c r="J2279" s="28">
        <f>2020-Table_7[[#This Row],[Year]]</f>
        <v>8</v>
      </c>
      <c r="K2279">
        <v>188925995936.80701</v>
      </c>
      <c r="L2279">
        <v>17658.947301119199</v>
      </c>
      <c r="M2279">
        <v>-1.2479835558140799</v>
      </c>
      <c r="N2279">
        <v>-9.0040436420214593</v>
      </c>
      <c r="O2279">
        <v>32</v>
      </c>
      <c r="P2279">
        <v>1000.002</v>
      </c>
      <c r="Q2279">
        <v>0</v>
      </c>
      <c r="R2279">
        <v>12</v>
      </c>
    </row>
    <row r="2280" spans="1:18" x14ac:dyDescent="0.25">
      <c r="A2280" s="1" t="s">
        <v>45</v>
      </c>
      <c r="B2280" s="2" t="s">
        <v>76</v>
      </c>
      <c r="C2280" s="19">
        <v>48</v>
      </c>
      <c r="D2280" s="3" t="s">
        <v>496</v>
      </c>
      <c r="E2280" s="3" t="s">
        <v>31</v>
      </c>
      <c r="F2280" s="23">
        <v>217439</v>
      </c>
      <c r="G2280" s="15">
        <v>2015</v>
      </c>
      <c r="H2280" s="15">
        <f>Table_7[[#This Row],[Listing Price (USD)]]/10000</f>
        <v>21.7439</v>
      </c>
      <c r="I2280" s="28">
        <f>Table_7[[#This Row],[Length 
(ft)]]</f>
        <v>48</v>
      </c>
      <c r="J2280" s="28">
        <f>2020-Table_7[[#This Row],[Year]]</f>
        <v>5</v>
      </c>
      <c r="K2280">
        <v>57472012426.685303</v>
      </c>
      <c r="L2280">
        <v>14198.753959474399</v>
      </c>
      <c r="M2280">
        <v>0.15481137456202801</v>
      </c>
      <c r="N2280">
        <v>-8.5803430210621805</v>
      </c>
      <c r="O2280">
        <v>32</v>
      </c>
      <c r="P2280">
        <v>1000.002</v>
      </c>
      <c r="Q2280">
        <v>0</v>
      </c>
      <c r="R2280">
        <v>12</v>
      </c>
    </row>
    <row r="2281" spans="1:18" x14ac:dyDescent="0.25">
      <c r="A2281" s="1" t="s">
        <v>45</v>
      </c>
      <c r="B2281" s="2" t="s">
        <v>76</v>
      </c>
      <c r="C2281" s="19">
        <v>48</v>
      </c>
      <c r="D2281" s="3" t="s">
        <v>496</v>
      </c>
      <c r="E2281" s="3" t="s">
        <v>9</v>
      </c>
      <c r="F2281" s="23">
        <v>224719</v>
      </c>
      <c r="G2281" s="15">
        <v>2014</v>
      </c>
      <c r="H2281" s="15">
        <f>Table_7[[#This Row],[Listing Price (USD)]]/10000</f>
        <v>22.471900000000002</v>
      </c>
      <c r="I2281" s="28">
        <f>Table_7[[#This Row],[Length 
(ft)]]</f>
        <v>48</v>
      </c>
      <c r="J2281" s="28">
        <f>2020-Table_7[[#This Row],[Year]]</f>
        <v>6</v>
      </c>
      <c r="K2281">
        <v>1276962685648.25</v>
      </c>
      <c r="L2281">
        <v>26959.675436732599</v>
      </c>
      <c r="M2281">
        <v>-0.32275301729970501</v>
      </c>
      <c r="N2281">
        <v>-11.3254383222864</v>
      </c>
      <c r="O2281">
        <v>32</v>
      </c>
      <c r="P2281">
        <v>1000.002</v>
      </c>
      <c r="Q2281">
        <v>0</v>
      </c>
      <c r="R2281">
        <v>12</v>
      </c>
    </row>
    <row r="2282" spans="1:18" x14ac:dyDescent="0.25">
      <c r="A2282" s="1" t="s">
        <v>45</v>
      </c>
      <c r="B2282" s="2" t="s">
        <v>76</v>
      </c>
      <c r="C2282" s="19">
        <v>48</v>
      </c>
      <c r="D2282" s="3" t="s">
        <v>496</v>
      </c>
      <c r="E2282" s="3" t="s">
        <v>31</v>
      </c>
      <c r="F2282" s="23">
        <v>224728</v>
      </c>
      <c r="G2282" s="15">
        <v>2015</v>
      </c>
      <c r="H2282" s="15">
        <f>Table_7[[#This Row],[Listing Price (USD)]]/10000</f>
        <v>22.472799999999999</v>
      </c>
      <c r="I2282" s="28">
        <f>Table_7[[#This Row],[Length 
(ft)]]</f>
        <v>48</v>
      </c>
      <c r="J2282" s="28">
        <f>2020-Table_7[[#This Row],[Year]]</f>
        <v>5</v>
      </c>
      <c r="K2282">
        <v>57472012426.685303</v>
      </c>
      <c r="L2282">
        <v>14198.753959474399</v>
      </c>
      <c r="M2282">
        <v>0.15481137456202801</v>
      </c>
      <c r="N2282">
        <v>-8.5803430210621805</v>
      </c>
      <c r="O2282">
        <v>32</v>
      </c>
      <c r="P2282">
        <v>1000.002</v>
      </c>
      <c r="Q2282">
        <v>0</v>
      </c>
      <c r="R2282">
        <v>12</v>
      </c>
    </row>
    <row r="2283" spans="1:18" x14ac:dyDescent="0.25">
      <c r="A2283" s="1" t="s">
        <v>45</v>
      </c>
      <c r="B2283" s="2" t="s">
        <v>76</v>
      </c>
      <c r="C2283" s="19">
        <v>48</v>
      </c>
      <c r="D2283" s="3" t="s">
        <v>496</v>
      </c>
      <c r="E2283" s="3" t="s">
        <v>31</v>
      </c>
      <c r="F2283" s="23">
        <v>224728</v>
      </c>
      <c r="G2283" s="15">
        <v>2014</v>
      </c>
      <c r="H2283" s="15">
        <f>Table_7[[#This Row],[Listing Price (USD)]]/10000</f>
        <v>22.472799999999999</v>
      </c>
      <c r="I2283" s="28">
        <f>Table_7[[#This Row],[Length 
(ft)]]</f>
        <v>48</v>
      </c>
      <c r="J2283" s="28">
        <f>2020-Table_7[[#This Row],[Year]]</f>
        <v>6</v>
      </c>
      <c r="K2283">
        <v>57472012426.685303</v>
      </c>
      <c r="L2283">
        <v>14198.753959474399</v>
      </c>
      <c r="M2283">
        <v>0.15481137456202801</v>
      </c>
      <c r="N2283">
        <v>-8.5803430210621805</v>
      </c>
      <c r="O2283">
        <v>32</v>
      </c>
      <c r="P2283">
        <v>1000.002</v>
      </c>
      <c r="Q2283">
        <v>0</v>
      </c>
      <c r="R2283">
        <v>12</v>
      </c>
    </row>
    <row r="2284" spans="1:18" x14ac:dyDescent="0.25">
      <c r="A2284" s="1" t="s">
        <v>45</v>
      </c>
      <c r="B2284" s="2" t="s">
        <v>76</v>
      </c>
      <c r="C2284" s="19">
        <v>48</v>
      </c>
      <c r="D2284" s="3" t="s">
        <v>496</v>
      </c>
      <c r="E2284" s="3" t="s">
        <v>31</v>
      </c>
      <c r="F2284" s="23">
        <v>233829</v>
      </c>
      <c r="G2284" s="15">
        <v>2015</v>
      </c>
      <c r="H2284" s="15">
        <f>Table_7[[#This Row],[Listing Price (USD)]]/10000</f>
        <v>23.382899999999999</v>
      </c>
      <c r="I2284" s="28">
        <f>Table_7[[#This Row],[Length 
(ft)]]</f>
        <v>48</v>
      </c>
      <c r="J2284" s="28">
        <f>2020-Table_7[[#This Row],[Year]]</f>
        <v>5</v>
      </c>
      <c r="K2284">
        <v>57472012426.685303</v>
      </c>
      <c r="L2284">
        <v>14198.753959474399</v>
      </c>
      <c r="M2284">
        <v>0.15481137456202801</v>
      </c>
      <c r="N2284">
        <v>-8.5803430210621805</v>
      </c>
      <c r="O2284">
        <v>32</v>
      </c>
      <c r="P2284">
        <v>1000.002</v>
      </c>
      <c r="Q2284">
        <v>0</v>
      </c>
      <c r="R2284">
        <v>12</v>
      </c>
    </row>
    <row r="2285" spans="1:18" x14ac:dyDescent="0.25">
      <c r="A2285" s="1" t="s">
        <v>45</v>
      </c>
      <c r="B2285" s="2" t="s">
        <v>76</v>
      </c>
      <c r="C2285" s="19">
        <v>48</v>
      </c>
      <c r="D2285" s="3" t="s">
        <v>496</v>
      </c>
      <c r="E2285" s="3" t="s">
        <v>31</v>
      </c>
      <c r="F2285" s="23">
        <v>258839</v>
      </c>
      <c r="G2285" s="15">
        <v>2018</v>
      </c>
      <c r="H2285" s="15">
        <f>Table_7[[#This Row],[Listing Price (USD)]]/10000</f>
        <v>25.883900000000001</v>
      </c>
      <c r="I2285" s="28">
        <f>Table_7[[#This Row],[Length 
(ft)]]</f>
        <v>48</v>
      </c>
      <c r="J2285" s="28">
        <f>2020-Table_7[[#This Row],[Year]]</f>
        <v>2</v>
      </c>
      <c r="K2285">
        <v>57472012426.685303</v>
      </c>
      <c r="L2285">
        <v>14198.753959474399</v>
      </c>
      <c r="M2285">
        <v>0.15481137456202801</v>
      </c>
      <c r="N2285">
        <v>-8.5803430210621805</v>
      </c>
      <c r="O2285">
        <v>32</v>
      </c>
      <c r="P2285">
        <v>1000.002</v>
      </c>
      <c r="Q2285">
        <v>0</v>
      </c>
      <c r="R2285">
        <v>12</v>
      </c>
    </row>
    <row r="2286" spans="1:18" x14ac:dyDescent="0.25">
      <c r="A2286" s="1" t="s">
        <v>378</v>
      </c>
      <c r="B2286" s="3" t="s">
        <v>76</v>
      </c>
      <c r="C2286" s="19">
        <v>48</v>
      </c>
      <c r="D2286" s="3" t="s">
        <v>497</v>
      </c>
      <c r="E2286" s="3" t="s">
        <v>370</v>
      </c>
      <c r="F2286" s="23">
        <v>275000</v>
      </c>
      <c r="G2286" s="15">
        <v>2018</v>
      </c>
      <c r="H2286" s="15">
        <f>Table_7[[#This Row],[Listing Price (USD)]]/10000</f>
        <v>27.5</v>
      </c>
      <c r="I2286" s="28">
        <f>Table_7[[#This Row],[Length 
(ft)]]</f>
        <v>48</v>
      </c>
      <c r="J2286" s="28">
        <f>2020-Table_7[[#This Row],[Year]]</f>
        <v>2</v>
      </c>
      <c r="K2286">
        <v>500000000</v>
      </c>
      <c r="L2286">
        <v>34200</v>
      </c>
      <c r="M2286">
        <v>1.1000000000000001</v>
      </c>
      <c r="N2286">
        <v>2</v>
      </c>
      <c r="O2286">
        <v>32</v>
      </c>
      <c r="P2286">
        <v>1000.002</v>
      </c>
      <c r="Q2286">
        <v>0</v>
      </c>
      <c r="R2286">
        <v>12</v>
      </c>
    </row>
    <row r="2287" spans="1:18" x14ac:dyDescent="0.25">
      <c r="A2287" s="1" t="s">
        <v>378</v>
      </c>
      <c r="B2287" s="3" t="s">
        <v>76</v>
      </c>
      <c r="C2287" s="19">
        <v>48</v>
      </c>
      <c r="D2287" s="3" t="s">
        <v>497</v>
      </c>
      <c r="E2287" s="3" t="s">
        <v>370</v>
      </c>
      <c r="F2287" s="23">
        <v>289000</v>
      </c>
      <c r="G2287" s="15">
        <v>2017</v>
      </c>
      <c r="H2287" s="15">
        <f>Table_7[[#This Row],[Listing Price (USD)]]/10000</f>
        <v>28.9</v>
      </c>
      <c r="I2287" s="28">
        <f>Table_7[[#This Row],[Length 
(ft)]]</f>
        <v>48</v>
      </c>
      <c r="J2287" s="28">
        <f>2020-Table_7[[#This Row],[Year]]</f>
        <v>3</v>
      </c>
      <c r="K2287">
        <v>500000000</v>
      </c>
      <c r="L2287">
        <v>34200</v>
      </c>
      <c r="M2287">
        <v>1.1000000000000001</v>
      </c>
      <c r="N2287">
        <v>2</v>
      </c>
      <c r="O2287">
        <v>32</v>
      </c>
      <c r="P2287">
        <v>1000.002</v>
      </c>
      <c r="Q2287">
        <v>0</v>
      </c>
      <c r="R2287">
        <v>12</v>
      </c>
    </row>
    <row r="2288" spans="1:18" x14ac:dyDescent="0.25">
      <c r="A2288" s="1" t="s">
        <v>45</v>
      </c>
      <c r="B2288" s="2" t="s">
        <v>76</v>
      </c>
      <c r="C2288" s="19">
        <v>48</v>
      </c>
      <c r="D2288" s="3" t="s">
        <v>496</v>
      </c>
      <c r="E2288" s="3" t="s">
        <v>31</v>
      </c>
      <c r="F2288" s="23">
        <v>290324</v>
      </c>
      <c r="G2288" s="15">
        <v>2017</v>
      </c>
      <c r="H2288" s="15">
        <f>Table_7[[#This Row],[Listing Price (USD)]]/10000</f>
        <v>29.032399999999999</v>
      </c>
      <c r="I2288" s="28">
        <f>Table_7[[#This Row],[Length 
(ft)]]</f>
        <v>48</v>
      </c>
      <c r="J2288" s="28">
        <f>2020-Table_7[[#This Row],[Year]]</f>
        <v>3</v>
      </c>
      <c r="K2288">
        <v>57472012426.685303</v>
      </c>
      <c r="L2288">
        <v>14198.753959474399</v>
      </c>
      <c r="M2288">
        <v>0.15481137456202801</v>
      </c>
      <c r="N2288">
        <v>-8.5803430210621805</v>
      </c>
      <c r="O2288">
        <v>32</v>
      </c>
      <c r="P2288">
        <v>1000.002</v>
      </c>
      <c r="Q2288">
        <v>0</v>
      </c>
      <c r="R2288">
        <v>12</v>
      </c>
    </row>
    <row r="2289" spans="1:18" x14ac:dyDescent="0.25">
      <c r="A2289" s="1" t="s">
        <v>45</v>
      </c>
      <c r="B2289" s="2" t="s">
        <v>76</v>
      </c>
      <c r="C2289" s="19">
        <v>48</v>
      </c>
      <c r="D2289" s="3" t="s">
        <v>496</v>
      </c>
      <c r="E2289" s="3" t="s">
        <v>3</v>
      </c>
      <c r="F2289" s="23">
        <v>340115</v>
      </c>
      <c r="G2289" s="15">
        <v>2015</v>
      </c>
      <c r="H2289" s="15">
        <f>Table_7[[#This Row],[Listing Price (USD)]]/10000</f>
        <v>34.011499999999998</v>
      </c>
      <c r="I2289" s="28">
        <f>Table_7[[#This Row],[Length 
(ft)]]</f>
        <v>48</v>
      </c>
      <c r="J2289" s="28">
        <f>2020-Table_7[[#This Row],[Year]]</f>
        <v>5</v>
      </c>
      <c r="K2289">
        <v>2639008701648.2598</v>
      </c>
      <c r="L2289">
        <v>39055.282928075401</v>
      </c>
      <c r="M2289">
        <v>0.47649885272508302</v>
      </c>
      <c r="N2289">
        <v>-7.7845864916787102</v>
      </c>
      <c r="O2289">
        <v>32</v>
      </c>
      <c r="P2289">
        <v>1000.002</v>
      </c>
      <c r="Q2289">
        <v>0</v>
      </c>
      <c r="R2289">
        <v>12</v>
      </c>
    </row>
    <row r="2290" spans="1:18" x14ac:dyDescent="0.25">
      <c r="A2290" s="1" t="s">
        <v>45</v>
      </c>
      <c r="B2290" s="2" t="s">
        <v>76</v>
      </c>
      <c r="C2290" s="19">
        <v>48</v>
      </c>
      <c r="D2290" s="3" t="s">
        <v>496</v>
      </c>
      <c r="E2290" s="3" t="s">
        <v>63</v>
      </c>
      <c r="F2290" s="23">
        <v>340115</v>
      </c>
      <c r="G2290" s="15">
        <v>2016</v>
      </c>
      <c r="H2290" s="15">
        <f>Table_7[[#This Row],[Listing Price (USD)]]/10000</f>
        <v>34.011499999999998</v>
      </c>
      <c r="I2290" s="28">
        <f>Table_7[[#This Row],[Length 
(ft)]]</f>
        <v>48</v>
      </c>
      <c r="J2290" s="28">
        <f>2020-Table_7[[#This Row],[Year]]</f>
        <v>4</v>
      </c>
      <c r="K2290">
        <v>720290000005</v>
      </c>
      <c r="L2290">
        <v>13341.6</v>
      </c>
      <c r="M2290">
        <v>13</v>
      </c>
      <c r="N2290">
        <v>-3</v>
      </c>
      <c r="O2290">
        <v>32</v>
      </c>
      <c r="P2290">
        <v>1000.002</v>
      </c>
      <c r="Q2290">
        <v>0</v>
      </c>
      <c r="R2290">
        <v>12</v>
      </c>
    </row>
    <row r="2291" spans="1:18" x14ac:dyDescent="0.25">
      <c r="A2291" s="1" t="s">
        <v>45</v>
      </c>
      <c r="B2291" s="3" t="s">
        <v>76</v>
      </c>
      <c r="C2291" s="19">
        <v>48</v>
      </c>
      <c r="D2291" s="3" t="s">
        <v>495</v>
      </c>
      <c r="E2291" s="3" t="s">
        <v>526</v>
      </c>
      <c r="F2291" s="23">
        <v>359500</v>
      </c>
      <c r="G2291" s="15">
        <v>2013</v>
      </c>
      <c r="H2291" s="15">
        <f>Table_7[[#This Row],[Listing Price (USD)]]/10000</f>
        <v>35.950000000000003</v>
      </c>
      <c r="I2291" s="28">
        <f>Table_7[[#This Row],[Length 
(ft)]]</f>
        <v>48</v>
      </c>
      <c r="J2291" s="28">
        <f>2020-Table_7[[#This Row],[Year]]</f>
        <v>7</v>
      </c>
      <c r="K2291">
        <v>4200000000</v>
      </c>
      <c r="L2291">
        <v>39553.199999999997</v>
      </c>
      <c r="M2291">
        <v>4.0999999999999996</v>
      </c>
      <c r="N2291">
        <v>-2.1</v>
      </c>
      <c r="O2291">
        <v>32</v>
      </c>
      <c r="P2291">
        <v>1000.002</v>
      </c>
      <c r="Q2291">
        <v>0</v>
      </c>
      <c r="R2291">
        <v>12</v>
      </c>
    </row>
    <row r="2292" spans="1:18" x14ac:dyDescent="0.25">
      <c r="A2292" s="1" t="s">
        <v>45</v>
      </c>
      <c r="B2292" s="3" t="s">
        <v>76</v>
      </c>
      <c r="C2292" s="19">
        <v>48</v>
      </c>
      <c r="D2292" s="3" t="s">
        <v>495</v>
      </c>
      <c r="E2292" s="3" t="s">
        <v>523</v>
      </c>
      <c r="F2292" s="23">
        <v>375000</v>
      </c>
      <c r="G2292" s="15">
        <v>2016</v>
      </c>
      <c r="H2292" s="15">
        <f>Table_7[[#This Row],[Listing Price (USD)]]/10000</f>
        <v>37.5</v>
      </c>
      <c r="I2292" s="28">
        <f>Table_7[[#This Row],[Length 
(ft)]]</f>
        <v>48</v>
      </c>
      <c r="J2292" s="28">
        <f>2020-Table_7[[#This Row],[Year]]</f>
        <v>4</v>
      </c>
      <c r="K2292">
        <v>1775588000000</v>
      </c>
      <c r="L2292">
        <v>60771.06</v>
      </c>
      <c r="M2292">
        <v>1.23</v>
      </c>
      <c r="N2292">
        <v>5.0999999999999996</v>
      </c>
      <c r="O2292">
        <v>32</v>
      </c>
      <c r="P2292">
        <v>1000.002</v>
      </c>
      <c r="Q2292">
        <v>0</v>
      </c>
      <c r="R2292">
        <v>12</v>
      </c>
    </row>
    <row r="2293" spans="1:18" x14ac:dyDescent="0.25">
      <c r="A2293" s="1" t="s">
        <v>45</v>
      </c>
      <c r="B2293" s="3" t="s">
        <v>76</v>
      </c>
      <c r="C2293" s="19">
        <v>48</v>
      </c>
      <c r="D2293" s="3" t="s">
        <v>495</v>
      </c>
      <c r="E2293" s="3" t="s">
        <v>500</v>
      </c>
      <c r="F2293" s="23">
        <v>389000</v>
      </c>
      <c r="G2293" s="15">
        <v>2016</v>
      </c>
      <c r="H2293" s="15">
        <f>Table_7[[#This Row],[Listing Price (USD)]]/10000</f>
        <v>38.9</v>
      </c>
      <c r="I2293" s="28">
        <f>Table_7[[#This Row],[Length 
(ft)]]</f>
        <v>48</v>
      </c>
      <c r="J2293" s="28">
        <f>2020-Table_7[[#This Row],[Year]]</f>
        <v>4</v>
      </c>
      <c r="K2293">
        <v>3007188000000</v>
      </c>
      <c r="L2293">
        <v>76131.839999999997</v>
      </c>
      <c r="M2293">
        <v>1.23</v>
      </c>
      <c r="N2293">
        <v>2.7</v>
      </c>
      <c r="O2293">
        <v>32</v>
      </c>
      <c r="P2293">
        <v>1000.002</v>
      </c>
      <c r="Q2293">
        <v>0</v>
      </c>
      <c r="R2293">
        <v>12</v>
      </c>
    </row>
    <row r="2294" spans="1:18" x14ac:dyDescent="0.25">
      <c r="A2294" s="1" t="s">
        <v>45</v>
      </c>
      <c r="B2294" s="3" t="s">
        <v>76</v>
      </c>
      <c r="C2294" s="19">
        <v>48</v>
      </c>
      <c r="D2294" s="3" t="s">
        <v>495</v>
      </c>
      <c r="E2294" s="3" t="s">
        <v>554</v>
      </c>
      <c r="F2294" s="23">
        <v>397500</v>
      </c>
      <c r="G2294" s="15">
        <v>2016</v>
      </c>
      <c r="H2294" s="15">
        <f>Table_7[[#This Row],[Listing Price (USD)]]/10000</f>
        <v>39.75</v>
      </c>
      <c r="I2294" s="28">
        <f>Table_7[[#This Row],[Length 
(ft)]]</f>
        <v>48</v>
      </c>
      <c r="J2294" s="28">
        <f>2020-Table_7[[#This Row],[Year]]</f>
        <v>4</v>
      </c>
      <c r="K2294">
        <v>4200000000</v>
      </c>
      <c r="L2294">
        <v>39553.199999999997</v>
      </c>
      <c r="M2294">
        <v>4.0999999999999996</v>
      </c>
      <c r="N2294">
        <v>-2.1</v>
      </c>
      <c r="O2294">
        <v>32</v>
      </c>
      <c r="P2294">
        <v>1000.002</v>
      </c>
      <c r="Q2294">
        <v>0</v>
      </c>
      <c r="R2294">
        <v>12</v>
      </c>
    </row>
    <row r="2295" spans="1:18" x14ac:dyDescent="0.25">
      <c r="A2295" s="1" t="s">
        <v>45</v>
      </c>
      <c r="B2295" s="3" t="s">
        <v>327</v>
      </c>
      <c r="C2295" s="19">
        <v>49</v>
      </c>
      <c r="D2295" s="3" t="s">
        <v>495</v>
      </c>
      <c r="E2295" s="3" t="s">
        <v>518</v>
      </c>
      <c r="F2295" s="23">
        <v>215000</v>
      </c>
      <c r="G2295" s="15">
        <v>2008</v>
      </c>
      <c r="H2295" s="15">
        <f>Table_7[[#This Row],[Listing Price (USD)]]/10000</f>
        <v>21.5</v>
      </c>
      <c r="I2295" s="28">
        <f>Table_7[[#This Row],[Length 
(ft)]]</f>
        <v>49</v>
      </c>
      <c r="J2295" s="28">
        <f>2020-Table_7[[#This Row],[Year]]</f>
        <v>12</v>
      </c>
      <c r="K2295">
        <v>1724759000000</v>
      </c>
      <c r="L2295">
        <v>85575.039999999994</v>
      </c>
      <c r="M2295">
        <v>1.23</v>
      </c>
      <c r="N2295">
        <v>3.8</v>
      </c>
      <c r="O2295">
        <v>29</v>
      </c>
      <c r="P2295">
        <v>486.00200000000001</v>
      </c>
      <c r="Q2295">
        <v>0</v>
      </c>
      <c r="R2295">
        <v>15.33</v>
      </c>
    </row>
    <row r="2296" spans="1:18" x14ac:dyDescent="0.25">
      <c r="A2296" s="1" t="s">
        <v>45</v>
      </c>
      <c r="B2296" s="3" t="s">
        <v>327</v>
      </c>
      <c r="C2296" s="19">
        <v>49</v>
      </c>
      <c r="D2296" s="3" t="s">
        <v>495</v>
      </c>
      <c r="E2296" s="3" t="s">
        <v>333</v>
      </c>
      <c r="F2296" s="23">
        <v>238000</v>
      </c>
      <c r="G2296" s="15">
        <v>2008</v>
      </c>
      <c r="H2296" s="15">
        <f>Table_7[[#This Row],[Listing Price (USD)]]/10000</f>
        <v>23.8</v>
      </c>
      <c r="I2296" s="28">
        <f>Table_7[[#This Row],[Length 
(ft)]]</f>
        <v>49</v>
      </c>
      <c r="J2296" s="28">
        <f>2020-Table_7[[#This Row],[Year]]</f>
        <v>12</v>
      </c>
      <c r="K2296">
        <v>1106036000000</v>
      </c>
      <c r="L2296">
        <v>51276.72</v>
      </c>
      <c r="M2296">
        <v>1.23</v>
      </c>
      <c r="N2296">
        <v>2.9</v>
      </c>
      <c r="O2296">
        <v>29</v>
      </c>
      <c r="P2296">
        <v>486.00200000000001</v>
      </c>
      <c r="Q2296">
        <v>0</v>
      </c>
      <c r="R2296">
        <v>15.33</v>
      </c>
    </row>
    <row r="2297" spans="1:18" x14ac:dyDescent="0.25">
      <c r="A2297" s="1" t="s">
        <v>45</v>
      </c>
      <c r="B2297" s="3" t="s">
        <v>327</v>
      </c>
      <c r="C2297" s="19">
        <v>49</v>
      </c>
      <c r="D2297" s="3" t="s">
        <v>497</v>
      </c>
      <c r="E2297" s="3" t="s">
        <v>498</v>
      </c>
      <c r="F2297" s="23">
        <v>239000</v>
      </c>
      <c r="G2297" s="15">
        <v>2009</v>
      </c>
      <c r="H2297" s="15">
        <f>Table_7[[#This Row],[Listing Price (USD)]]/10000</f>
        <v>23.9</v>
      </c>
      <c r="I2297" s="28">
        <f>Table_7[[#This Row],[Length 
(ft)]]</f>
        <v>49</v>
      </c>
      <c r="J2297" s="28">
        <f>2020-Table_7[[#This Row],[Year]]</f>
        <v>11</v>
      </c>
      <c r="K2297">
        <v>1090515389749.41</v>
      </c>
      <c r="L2297">
        <v>8655.0006820680301</v>
      </c>
      <c r="M2297">
        <v>3.3968341556999899</v>
      </c>
      <c r="N2297">
        <v>-7.9879123401474903</v>
      </c>
      <c r="O2297">
        <v>29</v>
      </c>
      <c r="P2297">
        <v>486.00200000000001</v>
      </c>
      <c r="Q2297">
        <v>0</v>
      </c>
      <c r="R2297">
        <v>15.33</v>
      </c>
    </row>
    <row r="2298" spans="1:18" x14ac:dyDescent="0.25">
      <c r="A2298" s="1" t="s">
        <v>45</v>
      </c>
      <c r="B2298" s="3" t="s">
        <v>327</v>
      </c>
      <c r="C2298" s="19">
        <v>49</v>
      </c>
      <c r="D2298" s="3" t="s">
        <v>497</v>
      </c>
      <c r="E2298" s="3" t="s">
        <v>392</v>
      </c>
      <c r="F2298" s="23">
        <v>240000</v>
      </c>
      <c r="G2298" s="15">
        <v>2008</v>
      </c>
      <c r="H2298" s="15">
        <f>Table_7[[#This Row],[Listing Price (USD)]]/10000</f>
        <v>24</v>
      </c>
      <c r="I2298" s="28">
        <f>Table_7[[#This Row],[Length 
(ft)]]</f>
        <v>49</v>
      </c>
      <c r="J2298" s="28">
        <f>2020-Table_7[[#This Row],[Year]]</f>
        <v>12</v>
      </c>
      <c r="K2298">
        <v>1043414814.81481</v>
      </c>
      <c r="L2298">
        <v>8437.5667322870595</v>
      </c>
      <c r="M2298">
        <v>-0.74073259704550098</v>
      </c>
      <c r="N2298">
        <v>-13.7559294530644</v>
      </c>
      <c r="O2298">
        <v>29</v>
      </c>
      <c r="P2298">
        <v>486.00200000000001</v>
      </c>
      <c r="Q2298">
        <v>0</v>
      </c>
      <c r="R2298">
        <v>15.33</v>
      </c>
    </row>
    <row r="2299" spans="1:18" x14ac:dyDescent="0.25">
      <c r="A2299" s="1" t="s">
        <v>45</v>
      </c>
      <c r="B2299" s="3" t="s">
        <v>327</v>
      </c>
      <c r="C2299" s="19">
        <v>49</v>
      </c>
      <c r="D2299" s="3" t="s">
        <v>495</v>
      </c>
      <c r="E2299" s="3" t="s">
        <v>500</v>
      </c>
      <c r="F2299" s="23">
        <v>249000</v>
      </c>
      <c r="G2299" s="15">
        <v>2008</v>
      </c>
      <c r="H2299" s="15">
        <f>Table_7[[#This Row],[Listing Price (USD)]]/10000</f>
        <v>24.9</v>
      </c>
      <c r="I2299" s="28">
        <f>Table_7[[#This Row],[Length 
(ft)]]</f>
        <v>49</v>
      </c>
      <c r="J2299" s="28">
        <f>2020-Table_7[[#This Row],[Year]]</f>
        <v>12</v>
      </c>
      <c r="K2299">
        <v>3007188000000</v>
      </c>
      <c r="L2299">
        <v>76131.839999999997</v>
      </c>
      <c r="M2299">
        <v>1.23</v>
      </c>
      <c r="N2299">
        <v>2.7</v>
      </c>
      <c r="O2299">
        <v>29</v>
      </c>
      <c r="P2299">
        <v>486.00200000000001</v>
      </c>
      <c r="Q2299">
        <v>0</v>
      </c>
      <c r="R2299">
        <v>15.33</v>
      </c>
    </row>
    <row r="2300" spans="1:18" x14ac:dyDescent="0.25">
      <c r="A2300" s="1" t="s">
        <v>45</v>
      </c>
      <c r="B2300" s="3" t="s">
        <v>327</v>
      </c>
      <c r="C2300" s="19">
        <v>49</v>
      </c>
      <c r="D2300" s="3" t="s">
        <v>495</v>
      </c>
      <c r="E2300" s="3" t="s">
        <v>554</v>
      </c>
      <c r="F2300" s="23">
        <v>259000</v>
      </c>
      <c r="G2300" s="15">
        <v>2009</v>
      </c>
      <c r="H2300" s="15">
        <f>Table_7[[#This Row],[Listing Price (USD)]]/10000</f>
        <v>25.9</v>
      </c>
      <c r="I2300" s="28">
        <f>Table_7[[#This Row],[Length 
(ft)]]</f>
        <v>49</v>
      </c>
      <c r="J2300" s="28">
        <f>2020-Table_7[[#This Row],[Year]]</f>
        <v>11</v>
      </c>
      <c r="K2300">
        <v>4200000000</v>
      </c>
      <c r="L2300">
        <v>39553.199999999997</v>
      </c>
      <c r="M2300">
        <v>4.0999999999999996</v>
      </c>
      <c r="N2300">
        <v>-2.1</v>
      </c>
      <c r="O2300">
        <v>29</v>
      </c>
      <c r="P2300">
        <v>486.00200000000001</v>
      </c>
      <c r="Q2300">
        <v>0</v>
      </c>
      <c r="R2300">
        <v>15.33</v>
      </c>
    </row>
    <row r="2301" spans="1:18" x14ac:dyDescent="0.25">
      <c r="A2301" s="1" t="s">
        <v>45</v>
      </c>
      <c r="B2301" s="3" t="s">
        <v>327</v>
      </c>
      <c r="C2301" s="19">
        <v>49</v>
      </c>
      <c r="D2301" s="3" t="s">
        <v>495</v>
      </c>
      <c r="E2301" s="3" t="s">
        <v>333</v>
      </c>
      <c r="F2301" s="23">
        <v>269000</v>
      </c>
      <c r="G2301" s="15">
        <v>2007</v>
      </c>
      <c r="H2301" s="15">
        <f>Table_7[[#This Row],[Listing Price (USD)]]/10000</f>
        <v>26.9</v>
      </c>
      <c r="I2301" s="28">
        <f>Table_7[[#This Row],[Length 
(ft)]]</f>
        <v>49</v>
      </c>
      <c r="J2301" s="28">
        <f>2020-Table_7[[#This Row],[Year]]</f>
        <v>13</v>
      </c>
      <c r="K2301">
        <v>1106036000000</v>
      </c>
      <c r="L2301">
        <v>51276.72</v>
      </c>
      <c r="M2301">
        <v>1.23</v>
      </c>
      <c r="N2301">
        <v>2.9</v>
      </c>
      <c r="O2301">
        <v>29</v>
      </c>
      <c r="P2301">
        <v>486.00200000000001</v>
      </c>
      <c r="Q2301">
        <v>0</v>
      </c>
      <c r="R2301">
        <v>15.33</v>
      </c>
    </row>
    <row r="2302" spans="1:18" x14ac:dyDescent="0.25">
      <c r="A2302" s="1" t="s">
        <v>45</v>
      </c>
      <c r="B2302" s="2" t="s">
        <v>82</v>
      </c>
      <c r="C2302" s="19">
        <v>50</v>
      </c>
      <c r="D2302" s="3" t="s">
        <v>496</v>
      </c>
      <c r="E2302" s="3" t="s">
        <v>31</v>
      </c>
      <c r="F2302" s="23">
        <v>170057</v>
      </c>
      <c r="G2302" s="15">
        <v>2011</v>
      </c>
      <c r="H2302" s="15">
        <f>Table_7[[#This Row],[Listing Price (USD)]]/10000</f>
        <v>17.005700000000001</v>
      </c>
      <c r="I2302" s="28">
        <f>Table_7[[#This Row],[Length 
(ft)]]</f>
        <v>50</v>
      </c>
      <c r="J2302" s="28">
        <f>2020-Table_7[[#This Row],[Year]]</f>
        <v>9</v>
      </c>
      <c r="K2302">
        <v>57472012426.685303</v>
      </c>
      <c r="L2302">
        <v>14198.753959474399</v>
      </c>
      <c r="M2302">
        <v>0.15481137456202801</v>
      </c>
      <c r="N2302">
        <v>-8.5803430210621805</v>
      </c>
      <c r="O2302">
        <v>29</v>
      </c>
      <c r="P2302">
        <v>486.00200000000001</v>
      </c>
      <c r="Q2302">
        <v>0</v>
      </c>
      <c r="R2302">
        <v>15.33</v>
      </c>
    </row>
    <row r="2303" spans="1:18" x14ac:dyDescent="0.25">
      <c r="A2303" s="1" t="s">
        <v>45</v>
      </c>
      <c r="B2303" s="2" t="s">
        <v>82</v>
      </c>
      <c r="C2303" s="19">
        <v>50</v>
      </c>
      <c r="D2303" s="3" t="s">
        <v>496</v>
      </c>
      <c r="E2303" s="3" t="s">
        <v>31</v>
      </c>
      <c r="F2303" s="23">
        <v>174309</v>
      </c>
      <c r="G2303" s="15">
        <v>2011</v>
      </c>
      <c r="H2303" s="15">
        <f>Table_7[[#This Row],[Listing Price (USD)]]/10000</f>
        <v>17.430900000000001</v>
      </c>
      <c r="I2303" s="28">
        <f>Table_7[[#This Row],[Length 
(ft)]]</f>
        <v>50</v>
      </c>
      <c r="J2303" s="28">
        <f>2020-Table_7[[#This Row],[Year]]</f>
        <v>9</v>
      </c>
      <c r="K2303">
        <v>57472012426.685303</v>
      </c>
      <c r="L2303">
        <v>14198.753959474399</v>
      </c>
      <c r="M2303">
        <v>0.15481137456202801</v>
      </c>
      <c r="N2303">
        <v>-8.5803430210621805</v>
      </c>
      <c r="O2303">
        <v>29</v>
      </c>
      <c r="P2303">
        <v>486.00200000000001</v>
      </c>
      <c r="Q2303">
        <v>0</v>
      </c>
      <c r="R2303">
        <v>15.33</v>
      </c>
    </row>
    <row r="2304" spans="1:18" x14ac:dyDescent="0.25">
      <c r="A2304" s="1" t="s">
        <v>45</v>
      </c>
      <c r="B2304" s="2" t="s">
        <v>82</v>
      </c>
      <c r="C2304" s="19">
        <v>50</v>
      </c>
      <c r="D2304" s="3" t="s">
        <v>496</v>
      </c>
      <c r="E2304" s="3" t="s">
        <v>31</v>
      </c>
      <c r="F2304" s="23">
        <v>182204</v>
      </c>
      <c r="G2304" s="15">
        <v>2011</v>
      </c>
      <c r="H2304" s="15">
        <f>Table_7[[#This Row],[Listing Price (USD)]]/10000</f>
        <v>18.220400000000001</v>
      </c>
      <c r="I2304" s="28">
        <f>Table_7[[#This Row],[Length 
(ft)]]</f>
        <v>50</v>
      </c>
      <c r="J2304" s="28">
        <f>2020-Table_7[[#This Row],[Year]]</f>
        <v>9</v>
      </c>
      <c r="K2304">
        <v>57472012426.685303</v>
      </c>
      <c r="L2304">
        <v>14198.753959474399</v>
      </c>
      <c r="M2304">
        <v>0.15481137456202801</v>
      </c>
      <c r="N2304">
        <v>-8.5803430210621805</v>
      </c>
      <c r="O2304">
        <v>29</v>
      </c>
      <c r="P2304">
        <v>486.00200000000001</v>
      </c>
      <c r="Q2304">
        <v>0</v>
      </c>
      <c r="R2304">
        <v>15.33</v>
      </c>
    </row>
    <row r="2305" spans="1:18" x14ac:dyDescent="0.25">
      <c r="A2305" s="1" t="s">
        <v>45</v>
      </c>
      <c r="B2305" s="2" t="s">
        <v>81</v>
      </c>
      <c r="C2305" s="19">
        <v>49</v>
      </c>
      <c r="D2305" s="3" t="s">
        <v>496</v>
      </c>
      <c r="E2305" s="3" t="s">
        <v>31</v>
      </c>
      <c r="F2305" s="23">
        <v>169450</v>
      </c>
      <c r="G2305" s="15">
        <v>2011</v>
      </c>
      <c r="H2305" s="15">
        <f>Table_7[[#This Row],[Listing Price (USD)]]/10000</f>
        <v>16.945</v>
      </c>
      <c r="I2305" s="28">
        <f>Table_7[[#This Row],[Length 
(ft)]]</f>
        <v>49</v>
      </c>
      <c r="J2305" s="28">
        <f>2020-Table_7[[#This Row],[Year]]</f>
        <v>9</v>
      </c>
      <c r="K2305">
        <v>57472012426.685303</v>
      </c>
      <c r="L2305">
        <v>14198.753959474399</v>
      </c>
      <c r="M2305">
        <v>0.15481137456202801</v>
      </c>
      <c r="N2305">
        <v>-8.5803430210621805</v>
      </c>
      <c r="O2305">
        <v>29</v>
      </c>
      <c r="P2305">
        <v>486.00200000000001</v>
      </c>
      <c r="Q2305">
        <v>0</v>
      </c>
      <c r="R2305">
        <v>15.33</v>
      </c>
    </row>
    <row r="2306" spans="1:18" x14ac:dyDescent="0.25">
      <c r="A2306" s="1" t="s">
        <v>45</v>
      </c>
      <c r="B2306" s="2" t="s">
        <v>90</v>
      </c>
      <c r="C2306" s="19">
        <v>53</v>
      </c>
      <c r="D2306" s="3" t="s">
        <v>496</v>
      </c>
      <c r="E2306" s="3" t="s">
        <v>18</v>
      </c>
      <c r="F2306" s="23">
        <v>194351</v>
      </c>
      <c r="G2306" s="15">
        <v>2007</v>
      </c>
      <c r="H2306" s="15">
        <f>Table_7[[#This Row],[Listing Price (USD)]]/10000</f>
        <v>19.435099999999998</v>
      </c>
      <c r="I2306" s="28">
        <f>Table_7[[#This Row],[Length 
(ft)]]</f>
        <v>53</v>
      </c>
      <c r="J2306" s="28">
        <f>2020-Table_7[[#This Row],[Year]]</f>
        <v>13</v>
      </c>
      <c r="K2306">
        <v>188925995936.80701</v>
      </c>
      <c r="L2306">
        <v>17658.947301119199</v>
      </c>
      <c r="M2306">
        <v>-1.2479835558140799</v>
      </c>
      <c r="N2306">
        <v>-9.0040436420214593</v>
      </c>
      <c r="O2306">
        <v>48</v>
      </c>
      <c r="P2306">
        <v>1344.002</v>
      </c>
      <c r="Q2306">
        <v>0</v>
      </c>
      <c r="R2306">
        <v>16.010000000000002</v>
      </c>
    </row>
    <row r="2307" spans="1:18" x14ac:dyDescent="0.25">
      <c r="A2307" s="1" t="s">
        <v>45</v>
      </c>
      <c r="B2307" s="2" t="s">
        <v>90</v>
      </c>
      <c r="C2307" s="19">
        <v>53</v>
      </c>
      <c r="D2307" s="3" t="s">
        <v>496</v>
      </c>
      <c r="E2307" s="3" t="s">
        <v>9</v>
      </c>
      <c r="F2307" s="23">
        <v>212572</v>
      </c>
      <c r="G2307" s="15">
        <v>2005</v>
      </c>
      <c r="H2307" s="15">
        <f>Table_7[[#This Row],[Listing Price (USD)]]/10000</f>
        <v>21.257200000000001</v>
      </c>
      <c r="I2307" s="28">
        <f>Table_7[[#This Row],[Length 
(ft)]]</f>
        <v>53</v>
      </c>
      <c r="J2307" s="28">
        <f>2020-Table_7[[#This Row],[Year]]</f>
        <v>15</v>
      </c>
      <c r="K2307">
        <v>1276962685648.25</v>
      </c>
      <c r="L2307">
        <v>26959.675436732599</v>
      </c>
      <c r="M2307">
        <v>-0.32275301729970501</v>
      </c>
      <c r="N2307">
        <v>-11.3254383222864</v>
      </c>
      <c r="O2307">
        <v>48</v>
      </c>
      <c r="P2307">
        <v>1344.002</v>
      </c>
      <c r="Q2307">
        <v>0</v>
      </c>
      <c r="R2307">
        <v>16.010000000000002</v>
      </c>
    </row>
    <row r="2308" spans="1:18" x14ac:dyDescent="0.25">
      <c r="A2308" s="1" t="s">
        <v>45</v>
      </c>
      <c r="B2308" s="2" t="s">
        <v>90</v>
      </c>
      <c r="C2308" s="19">
        <v>53</v>
      </c>
      <c r="D2308" s="3" t="s">
        <v>496</v>
      </c>
      <c r="E2308" s="3" t="s">
        <v>24</v>
      </c>
      <c r="F2308" s="23">
        <v>224719</v>
      </c>
      <c r="G2308" s="15">
        <v>2005</v>
      </c>
      <c r="H2308" s="15">
        <f>Table_7[[#This Row],[Listing Price (USD)]]/10000</f>
        <v>22.471900000000002</v>
      </c>
      <c r="I2308" s="28">
        <f>Table_7[[#This Row],[Length 
(ft)]]</f>
        <v>53</v>
      </c>
      <c r="J2308" s="28">
        <f>2020-Table_7[[#This Row],[Year]]</f>
        <v>15</v>
      </c>
      <c r="K2308">
        <v>1896755301518.1399</v>
      </c>
      <c r="L2308">
        <v>31911.0357890017</v>
      </c>
      <c r="M2308">
        <v>-0.13770757391656999</v>
      </c>
      <c r="N2308">
        <v>-9.0399534112288507</v>
      </c>
      <c r="O2308">
        <v>48</v>
      </c>
      <c r="P2308">
        <v>1344.002</v>
      </c>
      <c r="Q2308">
        <v>0</v>
      </c>
      <c r="R2308">
        <v>16.010000000000002</v>
      </c>
    </row>
    <row r="2309" spans="1:18" x14ac:dyDescent="0.25">
      <c r="A2309" s="1" t="s">
        <v>45</v>
      </c>
      <c r="B2309" s="2" t="s">
        <v>90</v>
      </c>
      <c r="C2309" s="19">
        <v>53</v>
      </c>
      <c r="D2309" s="3" t="s">
        <v>496</v>
      </c>
      <c r="E2309" s="3" t="s">
        <v>9</v>
      </c>
      <c r="F2309" s="23">
        <v>252657</v>
      </c>
      <c r="G2309" s="15">
        <v>2006</v>
      </c>
      <c r="H2309" s="15">
        <f>Table_7[[#This Row],[Listing Price (USD)]]/10000</f>
        <v>25.265699999999999</v>
      </c>
      <c r="I2309" s="28">
        <f>Table_7[[#This Row],[Length 
(ft)]]</f>
        <v>53</v>
      </c>
      <c r="J2309" s="28">
        <f>2020-Table_7[[#This Row],[Year]]</f>
        <v>14</v>
      </c>
      <c r="K2309">
        <v>1276962685648.25</v>
      </c>
      <c r="L2309">
        <v>26959.675436732599</v>
      </c>
      <c r="M2309">
        <v>-0.32275301729970501</v>
      </c>
      <c r="N2309">
        <v>-11.3254383222864</v>
      </c>
      <c r="O2309">
        <v>48</v>
      </c>
      <c r="P2309">
        <v>1344.002</v>
      </c>
      <c r="Q2309">
        <v>0</v>
      </c>
      <c r="R2309">
        <v>16.010000000000002</v>
      </c>
    </row>
    <row r="2310" spans="1:18" x14ac:dyDescent="0.25">
      <c r="A2310" s="1" t="s">
        <v>45</v>
      </c>
      <c r="B2310" s="2" t="s">
        <v>90</v>
      </c>
      <c r="C2310" s="19">
        <v>53</v>
      </c>
      <c r="D2310" s="3" t="s">
        <v>496</v>
      </c>
      <c r="E2310" s="3" t="s">
        <v>9</v>
      </c>
      <c r="F2310" s="23">
        <v>361980</v>
      </c>
      <c r="G2310" s="15">
        <v>2006</v>
      </c>
      <c r="H2310" s="15">
        <f>Table_7[[#This Row],[Listing Price (USD)]]/10000</f>
        <v>36.198</v>
      </c>
      <c r="I2310" s="28">
        <f>Table_7[[#This Row],[Length 
(ft)]]</f>
        <v>53</v>
      </c>
      <c r="J2310" s="28">
        <f>2020-Table_7[[#This Row],[Year]]</f>
        <v>14</v>
      </c>
      <c r="K2310">
        <v>1276962685648.25</v>
      </c>
      <c r="L2310">
        <v>26959.675436732599</v>
      </c>
      <c r="M2310">
        <v>-0.32275301729970501</v>
      </c>
      <c r="N2310">
        <v>-11.3254383222864</v>
      </c>
      <c r="O2310">
        <v>48</v>
      </c>
      <c r="P2310">
        <v>1344.002</v>
      </c>
      <c r="Q2310">
        <v>0</v>
      </c>
      <c r="R2310">
        <v>16.010000000000002</v>
      </c>
    </row>
    <row r="2311" spans="1:18" x14ac:dyDescent="0.25">
      <c r="A2311" s="1" t="s">
        <v>45</v>
      </c>
      <c r="B2311" s="2" t="s">
        <v>90</v>
      </c>
      <c r="C2311" s="19">
        <v>53</v>
      </c>
      <c r="D2311" s="3" t="s">
        <v>496</v>
      </c>
      <c r="E2311" s="3" t="s">
        <v>31</v>
      </c>
      <c r="F2311" s="23">
        <v>425144</v>
      </c>
      <c r="G2311" s="15">
        <v>2008</v>
      </c>
      <c r="H2311" s="15">
        <f>Table_7[[#This Row],[Listing Price (USD)]]/10000</f>
        <v>42.514400000000002</v>
      </c>
      <c r="I2311" s="28">
        <f>Table_7[[#This Row],[Length 
(ft)]]</f>
        <v>53</v>
      </c>
      <c r="J2311" s="28">
        <f>2020-Table_7[[#This Row],[Year]]</f>
        <v>12</v>
      </c>
      <c r="K2311">
        <v>57472012426.685303</v>
      </c>
      <c r="L2311">
        <v>14198.753959474399</v>
      </c>
      <c r="M2311">
        <v>0.15481137456202801</v>
      </c>
      <c r="N2311">
        <v>-8.5803430210621805</v>
      </c>
      <c r="O2311">
        <v>48</v>
      </c>
      <c r="P2311">
        <v>1344.002</v>
      </c>
      <c r="Q2311">
        <v>0</v>
      </c>
      <c r="R2311">
        <v>16.010000000000002</v>
      </c>
    </row>
    <row r="2312" spans="1:18" x14ac:dyDescent="0.25">
      <c r="A2312" s="1" t="s">
        <v>45</v>
      </c>
      <c r="B2312" s="2" t="s">
        <v>89</v>
      </c>
      <c r="C2312" s="19">
        <v>53</v>
      </c>
      <c r="D2312" s="3" t="s">
        <v>496</v>
      </c>
      <c r="E2312" s="3" t="s">
        <v>41</v>
      </c>
      <c r="F2312" s="23">
        <v>194108</v>
      </c>
      <c r="G2312" s="15">
        <v>2006</v>
      </c>
      <c r="H2312" s="15">
        <f>Table_7[[#This Row],[Listing Price (USD)]]/10000</f>
        <v>19.410799999999998</v>
      </c>
      <c r="I2312" s="28">
        <f>Table_7[[#This Row],[Length 
(ft)]]</f>
        <v>53</v>
      </c>
      <c r="J2312" s="28">
        <f>2020-Table_7[[#This Row],[Year]]</f>
        <v>14</v>
      </c>
      <c r="K2312">
        <v>251362040527.80399</v>
      </c>
      <c r="L2312">
        <v>13047.4320617591</v>
      </c>
      <c r="M2312">
        <v>3</v>
      </c>
      <c r="N2312">
        <v>-3.6775107912179701</v>
      </c>
      <c r="O2312">
        <v>48</v>
      </c>
      <c r="P2312">
        <v>1344.002</v>
      </c>
      <c r="Q2312">
        <v>0</v>
      </c>
      <c r="R2312">
        <v>16.010000000000002</v>
      </c>
    </row>
    <row r="2313" spans="1:18" x14ac:dyDescent="0.25">
      <c r="A2313" s="1" t="s">
        <v>275</v>
      </c>
      <c r="B2313" s="2" t="s">
        <v>276</v>
      </c>
      <c r="C2313" s="19">
        <v>44</v>
      </c>
      <c r="D2313" s="3" t="s">
        <v>496</v>
      </c>
      <c r="E2313" s="3" t="s">
        <v>24</v>
      </c>
      <c r="F2313" s="23">
        <v>400850</v>
      </c>
      <c r="G2313" s="15">
        <v>2010</v>
      </c>
      <c r="H2313" s="15">
        <f>Table_7[[#This Row],[Listing Price (USD)]]/10000</f>
        <v>40.085000000000001</v>
      </c>
      <c r="I2313" s="28">
        <f>Table_7[[#This Row],[Length 
(ft)]]</f>
        <v>44</v>
      </c>
      <c r="J2313" s="28">
        <f>2020-Table_7[[#This Row],[Year]]</f>
        <v>10</v>
      </c>
      <c r="K2313">
        <v>1896755301518.1399</v>
      </c>
      <c r="L2313">
        <v>31911.0357890017</v>
      </c>
      <c r="M2313">
        <v>-0.13770757391656999</v>
      </c>
      <c r="N2313">
        <v>-9.0399534112288507</v>
      </c>
      <c r="O2313">
        <v>22.93</v>
      </c>
      <c r="P2313">
        <v>417.00200000000001</v>
      </c>
      <c r="Q2313">
        <v>0</v>
      </c>
      <c r="R2313">
        <v>8.17</v>
      </c>
    </row>
    <row r="2314" spans="1:18" x14ac:dyDescent="0.25">
      <c r="A2314" s="1" t="s">
        <v>187</v>
      </c>
      <c r="B2314" s="3" t="s">
        <v>387</v>
      </c>
      <c r="C2314" s="19">
        <v>49</v>
      </c>
      <c r="D2314" s="3" t="s">
        <v>497</v>
      </c>
      <c r="E2314" s="3" t="s">
        <v>558</v>
      </c>
      <c r="F2314" s="23">
        <v>219000</v>
      </c>
      <c r="G2314" s="15">
        <v>2010</v>
      </c>
      <c r="H2314" s="15">
        <f>Table_7[[#This Row],[Listing Price (USD)]]/10000</f>
        <v>21.9</v>
      </c>
      <c r="I2314" s="28">
        <f>Table_7[[#This Row],[Length 
(ft)]]</f>
        <v>49</v>
      </c>
      <c r="J2314" s="28">
        <f>2020-Table_7[[#This Row],[Year]]</f>
        <v>10</v>
      </c>
      <c r="K2314">
        <v>1190000000</v>
      </c>
      <c r="L2314">
        <v>28988.3</v>
      </c>
      <c r="M2314">
        <v>6.5</v>
      </c>
      <c r="N2314">
        <v>-6.6</v>
      </c>
      <c r="O2314">
        <v>23.5</v>
      </c>
      <c r="P2314">
        <v>444.00200000000001</v>
      </c>
      <c r="Q2314">
        <v>0</v>
      </c>
      <c r="R2314">
        <v>8.5</v>
      </c>
    </row>
    <row r="2315" spans="1:18" x14ac:dyDescent="0.25">
      <c r="A2315" s="1" t="s">
        <v>296</v>
      </c>
      <c r="B2315" s="2" t="s">
        <v>303</v>
      </c>
      <c r="C2315" s="19">
        <v>48</v>
      </c>
      <c r="D2315" s="3" t="s">
        <v>496</v>
      </c>
      <c r="E2315" s="3" t="s">
        <v>3</v>
      </c>
      <c r="F2315" s="23">
        <v>642600</v>
      </c>
      <c r="G2315" s="15">
        <v>2017</v>
      </c>
      <c r="H2315" s="15">
        <f>Table_7[[#This Row],[Listing Price (USD)]]/10000</f>
        <v>64.260000000000005</v>
      </c>
      <c r="I2315" s="28">
        <f>Table_7[[#This Row],[Length 
(ft)]]</f>
        <v>48</v>
      </c>
      <c r="J2315" s="28">
        <f>2020-Table_7[[#This Row],[Year]]</f>
        <v>3</v>
      </c>
      <c r="K2315">
        <v>2639008701648.2598</v>
      </c>
      <c r="L2315">
        <v>39055.282928075401</v>
      </c>
      <c r="M2315">
        <v>0.47649885272508302</v>
      </c>
      <c r="N2315">
        <v>-7.7845864916787102</v>
      </c>
      <c r="O2315">
        <v>41.01</v>
      </c>
      <c r="P2315">
        <v>1136.002</v>
      </c>
      <c r="Q2315">
        <v>0</v>
      </c>
      <c r="R2315">
        <v>14.76</v>
      </c>
    </row>
    <row r="2316" spans="1:18" x14ac:dyDescent="0.25">
      <c r="A2316" s="1" t="s">
        <v>296</v>
      </c>
      <c r="B2316" s="2" t="s">
        <v>303</v>
      </c>
      <c r="C2316" s="19">
        <v>48</v>
      </c>
      <c r="D2316" s="3" t="s">
        <v>496</v>
      </c>
      <c r="E2316" s="3" t="s">
        <v>3</v>
      </c>
      <c r="F2316" s="23">
        <v>691190</v>
      </c>
      <c r="G2316" s="15">
        <v>2017</v>
      </c>
      <c r="H2316" s="15">
        <f>Table_7[[#This Row],[Listing Price (USD)]]/10000</f>
        <v>69.119</v>
      </c>
      <c r="I2316" s="28">
        <f>Table_7[[#This Row],[Length 
(ft)]]</f>
        <v>48</v>
      </c>
      <c r="J2316" s="28">
        <f>2020-Table_7[[#This Row],[Year]]</f>
        <v>3</v>
      </c>
      <c r="K2316">
        <v>2639008701648.2598</v>
      </c>
      <c r="L2316">
        <v>39055.282928075401</v>
      </c>
      <c r="M2316">
        <v>0.47649885272508302</v>
      </c>
      <c r="N2316">
        <v>-7.7845864916787102</v>
      </c>
      <c r="O2316">
        <v>41.01</v>
      </c>
      <c r="P2316">
        <v>1136.002</v>
      </c>
      <c r="Q2316">
        <v>0</v>
      </c>
      <c r="R2316">
        <v>14.76</v>
      </c>
    </row>
    <row r="2317" spans="1:18" x14ac:dyDescent="0.25">
      <c r="A2317" s="1" t="s">
        <v>296</v>
      </c>
      <c r="B2317" s="2" t="s">
        <v>303</v>
      </c>
      <c r="C2317" s="19">
        <v>48</v>
      </c>
      <c r="D2317" s="3" t="s">
        <v>496</v>
      </c>
      <c r="E2317" s="3" t="s">
        <v>19</v>
      </c>
      <c r="F2317" s="23">
        <v>757770</v>
      </c>
      <c r="G2317" s="15">
        <v>2016</v>
      </c>
      <c r="H2317" s="15">
        <f>Table_7[[#This Row],[Listing Price (USD)]]/10000</f>
        <v>75.777000000000001</v>
      </c>
      <c r="I2317" s="28">
        <f>Table_7[[#This Row],[Length 
(ft)]]</f>
        <v>48</v>
      </c>
      <c r="J2317" s="28">
        <f>2020-Table_7[[#This Row],[Year]]</f>
        <v>4</v>
      </c>
      <c r="K2317">
        <v>4200000000</v>
      </c>
      <c r="L2317">
        <v>39553.199999999997</v>
      </c>
      <c r="M2317">
        <v>4.0999999999999996</v>
      </c>
      <c r="N2317">
        <v>-2.1</v>
      </c>
      <c r="O2317">
        <v>41.01</v>
      </c>
      <c r="P2317">
        <v>1136.002</v>
      </c>
      <c r="Q2317">
        <v>0</v>
      </c>
      <c r="R2317">
        <v>14.76</v>
      </c>
    </row>
    <row r="2318" spans="1:18" x14ac:dyDescent="0.25">
      <c r="A2318" s="1" t="s">
        <v>270</v>
      </c>
      <c r="B2318" s="2" t="s">
        <v>271</v>
      </c>
      <c r="C2318" s="19">
        <v>38</v>
      </c>
      <c r="D2318" s="3" t="s">
        <v>496</v>
      </c>
      <c r="E2318" s="3" t="s">
        <v>24</v>
      </c>
      <c r="F2318" s="23">
        <v>240571</v>
      </c>
      <c r="G2318" s="15">
        <v>2018</v>
      </c>
      <c r="H2318" s="15">
        <f>Table_7[[#This Row],[Listing Price (USD)]]/10000</f>
        <v>24.057099999999998</v>
      </c>
      <c r="I2318" s="28">
        <f>Table_7[[#This Row],[Length 
(ft)]]</f>
        <v>38</v>
      </c>
      <c r="J2318" s="28">
        <f>2020-Table_7[[#This Row],[Year]]</f>
        <v>2</v>
      </c>
      <c r="K2318">
        <v>1896755301518.1399</v>
      </c>
      <c r="L2318">
        <v>31911.0357890017</v>
      </c>
      <c r="M2318">
        <v>-0.13770757391656999</v>
      </c>
      <c r="N2318">
        <v>-9.0399534112288507</v>
      </c>
      <c r="O2318">
        <v>32.479999999999997</v>
      </c>
      <c r="P2318">
        <v>691.00199999999995</v>
      </c>
      <c r="Q2318">
        <v>0</v>
      </c>
      <c r="R2318">
        <v>11.97</v>
      </c>
    </row>
    <row r="2319" spans="1:18" x14ac:dyDescent="0.25">
      <c r="A2319" s="1" t="s">
        <v>195</v>
      </c>
      <c r="B2319" s="3" t="s">
        <v>348</v>
      </c>
      <c r="C2319" s="19">
        <v>40</v>
      </c>
      <c r="D2319" s="3" t="s">
        <v>495</v>
      </c>
      <c r="E2319" s="3" t="s">
        <v>333</v>
      </c>
      <c r="F2319" s="23">
        <v>249900</v>
      </c>
      <c r="G2319" s="15">
        <v>2015</v>
      </c>
      <c r="H2319" s="15">
        <f>Table_7[[#This Row],[Listing Price (USD)]]/10000</f>
        <v>24.99</v>
      </c>
      <c r="I2319" s="28">
        <f>Table_7[[#This Row],[Length 
(ft)]]</f>
        <v>40</v>
      </c>
      <c r="J2319" s="28">
        <f>2020-Table_7[[#This Row],[Year]]</f>
        <v>5</v>
      </c>
      <c r="K2319">
        <v>1106036000000</v>
      </c>
      <c r="L2319">
        <v>51276.72</v>
      </c>
      <c r="M2319">
        <v>1.23</v>
      </c>
      <c r="N2319">
        <v>2.9</v>
      </c>
      <c r="O2319">
        <v>28</v>
      </c>
      <c r="P2319">
        <v>551.00199999999995</v>
      </c>
      <c r="Q2319">
        <v>0</v>
      </c>
      <c r="R2319">
        <v>11</v>
      </c>
    </row>
    <row r="2320" spans="1:18" x14ac:dyDescent="0.25">
      <c r="A2320" s="1" t="s">
        <v>195</v>
      </c>
      <c r="B2320" s="2" t="s">
        <v>210</v>
      </c>
      <c r="C2320" s="19">
        <v>42</v>
      </c>
      <c r="D2320" s="3" t="s">
        <v>496</v>
      </c>
      <c r="E2320" s="3" t="s">
        <v>24</v>
      </c>
      <c r="F2320" s="23">
        <v>127526</v>
      </c>
      <c r="G2320" s="15">
        <v>2008</v>
      </c>
      <c r="H2320" s="15">
        <f>Table_7[[#This Row],[Listing Price (USD)]]/10000</f>
        <v>12.752599999999999</v>
      </c>
      <c r="I2320" s="28">
        <f>Table_7[[#This Row],[Length 
(ft)]]</f>
        <v>42</v>
      </c>
      <c r="J2320" s="28">
        <f>2020-Table_7[[#This Row],[Year]]</f>
        <v>12</v>
      </c>
      <c r="K2320">
        <v>1896755301518.1399</v>
      </c>
      <c r="L2320">
        <v>31911.0357890017</v>
      </c>
      <c r="M2320">
        <v>-0.13770757391656999</v>
      </c>
      <c r="N2320">
        <v>-9.0399534112288507</v>
      </c>
      <c r="O2320">
        <v>33.299999999999997</v>
      </c>
      <c r="P2320">
        <v>893.40200000000004</v>
      </c>
      <c r="Q2320">
        <v>0</v>
      </c>
      <c r="R2320">
        <v>13.29</v>
      </c>
    </row>
    <row r="2321" spans="1:18" x14ac:dyDescent="0.25">
      <c r="A2321" s="1" t="s">
        <v>195</v>
      </c>
      <c r="B2321" s="3" t="s">
        <v>210</v>
      </c>
      <c r="C2321" s="19">
        <v>42</v>
      </c>
      <c r="D2321" s="3" t="s">
        <v>495</v>
      </c>
      <c r="E2321" s="3" t="s">
        <v>519</v>
      </c>
      <c r="F2321" s="23">
        <v>149900</v>
      </c>
      <c r="G2321" s="15">
        <v>2007</v>
      </c>
      <c r="H2321" s="15">
        <f>Table_7[[#This Row],[Listing Price (USD)]]/10000</f>
        <v>14.99</v>
      </c>
      <c r="I2321" s="28">
        <f>Table_7[[#This Row],[Length 
(ft)]]</f>
        <v>42</v>
      </c>
      <c r="J2321" s="28">
        <f>2020-Table_7[[#This Row],[Year]]</f>
        <v>13</v>
      </c>
      <c r="K2321">
        <v>589829000000</v>
      </c>
      <c r="L2321">
        <v>56404.23</v>
      </c>
      <c r="M2321">
        <v>1.23</v>
      </c>
      <c r="N2321">
        <v>2.8</v>
      </c>
      <c r="O2321">
        <v>33.299999999999997</v>
      </c>
      <c r="P2321">
        <v>893.40200000000004</v>
      </c>
      <c r="Q2321">
        <v>0</v>
      </c>
      <c r="R2321">
        <v>13.29</v>
      </c>
    </row>
    <row r="2322" spans="1:18" x14ac:dyDescent="0.25">
      <c r="A2322" s="1" t="s">
        <v>195</v>
      </c>
      <c r="B2322" s="3" t="s">
        <v>223</v>
      </c>
      <c r="C2322" s="19">
        <v>46</v>
      </c>
      <c r="D2322" s="3" t="s">
        <v>497</v>
      </c>
      <c r="E2322" s="3" t="s">
        <v>370</v>
      </c>
      <c r="F2322" s="23">
        <v>184999</v>
      </c>
      <c r="G2322" s="15">
        <v>2016</v>
      </c>
      <c r="H2322" s="15">
        <f>Table_7[[#This Row],[Listing Price (USD)]]/10000</f>
        <v>18.4999</v>
      </c>
      <c r="I2322" s="28">
        <f>Table_7[[#This Row],[Length 
(ft)]]</f>
        <v>46</v>
      </c>
      <c r="J2322" s="28">
        <f>2020-Table_7[[#This Row],[Year]]</f>
        <v>4</v>
      </c>
      <c r="K2322">
        <v>500000000</v>
      </c>
      <c r="L2322">
        <v>34200</v>
      </c>
      <c r="M2322">
        <v>1.1000000000000001</v>
      </c>
      <c r="N2322">
        <v>2</v>
      </c>
      <c r="O2322">
        <v>41.14</v>
      </c>
      <c r="P2322">
        <v>0</v>
      </c>
      <c r="Q2322">
        <v>0</v>
      </c>
      <c r="R2322">
        <v>14.73</v>
      </c>
    </row>
    <row r="2323" spans="1:18" x14ac:dyDescent="0.25">
      <c r="A2323" s="1" t="s">
        <v>195</v>
      </c>
      <c r="B2323" s="3" t="s">
        <v>223</v>
      </c>
      <c r="C2323" s="19">
        <v>46</v>
      </c>
      <c r="D2323" s="3" t="s">
        <v>497</v>
      </c>
      <c r="E2323" s="3" t="s">
        <v>370</v>
      </c>
      <c r="F2323" s="23">
        <v>189000</v>
      </c>
      <c r="G2323" s="15">
        <v>2016</v>
      </c>
      <c r="H2323" s="15">
        <f>Table_7[[#This Row],[Listing Price (USD)]]/10000</f>
        <v>18.899999999999999</v>
      </c>
      <c r="I2323" s="28">
        <f>Table_7[[#This Row],[Length 
(ft)]]</f>
        <v>46</v>
      </c>
      <c r="J2323" s="28">
        <f>2020-Table_7[[#This Row],[Year]]</f>
        <v>4</v>
      </c>
      <c r="K2323">
        <v>500000000</v>
      </c>
      <c r="L2323">
        <v>34200</v>
      </c>
      <c r="M2323">
        <v>1.1000000000000001</v>
      </c>
      <c r="N2323">
        <v>2</v>
      </c>
      <c r="O2323">
        <v>41.14</v>
      </c>
      <c r="P2323">
        <v>0</v>
      </c>
      <c r="Q2323">
        <v>0</v>
      </c>
      <c r="R2323">
        <v>14.73</v>
      </c>
    </row>
    <row r="2324" spans="1:18" x14ac:dyDescent="0.25">
      <c r="A2324" s="1" t="s">
        <v>391</v>
      </c>
      <c r="B2324" s="3" t="s">
        <v>223</v>
      </c>
      <c r="C2324" s="19">
        <v>46</v>
      </c>
      <c r="D2324" s="3" t="s">
        <v>497</v>
      </c>
      <c r="E2324" s="3" t="s">
        <v>370</v>
      </c>
      <c r="F2324" s="23">
        <v>199000</v>
      </c>
      <c r="G2324" s="15">
        <v>2016</v>
      </c>
      <c r="H2324" s="15">
        <f>Table_7[[#This Row],[Listing Price (USD)]]/10000</f>
        <v>19.899999999999999</v>
      </c>
      <c r="I2324" s="28">
        <f>Table_7[[#This Row],[Length 
(ft)]]</f>
        <v>46</v>
      </c>
      <c r="J2324" s="28">
        <f>2020-Table_7[[#This Row],[Year]]</f>
        <v>4</v>
      </c>
      <c r="K2324">
        <v>500000000</v>
      </c>
      <c r="L2324">
        <v>34200</v>
      </c>
      <c r="M2324">
        <v>1.1000000000000001</v>
      </c>
      <c r="N2324">
        <v>2</v>
      </c>
      <c r="O2324">
        <v>41.14</v>
      </c>
      <c r="P2324">
        <v>0</v>
      </c>
      <c r="Q2324">
        <v>0</v>
      </c>
      <c r="R2324">
        <v>14.73</v>
      </c>
    </row>
    <row r="2325" spans="1:18" x14ac:dyDescent="0.25">
      <c r="A2325" s="1" t="s">
        <v>195</v>
      </c>
      <c r="B2325" s="2" t="s">
        <v>223</v>
      </c>
      <c r="C2325" s="19">
        <v>46</v>
      </c>
      <c r="D2325" s="3" t="s">
        <v>496</v>
      </c>
      <c r="E2325" s="3" t="s">
        <v>18</v>
      </c>
      <c r="F2325" s="23">
        <v>224719</v>
      </c>
      <c r="G2325" s="15">
        <v>2016</v>
      </c>
      <c r="H2325" s="15">
        <f>Table_7[[#This Row],[Listing Price (USD)]]/10000</f>
        <v>22.471900000000002</v>
      </c>
      <c r="I2325" s="28">
        <f>Table_7[[#This Row],[Length 
(ft)]]</f>
        <v>46</v>
      </c>
      <c r="J2325" s="28">
        <f>2020-Table_7[[#This Row],[Year]]</f>
        <v>4</v>
      </c>
      <c r="K2325">
        <v>188925995936.80701</v>
      </c>
      <c r="L2325">
        <v>17658.947301119199</v>
      </c>
      <c r="M2325">
        <v>-1.2479835558140799</v>
      </c>
      <c r="N2325">
        <v>-9.0040436420214593</v>
      </c>
      <c r="O2325">
        <v>41.14</v>
      </c>
      <c r="P2325">
        <v>0</v>
      </c>
      <c r="Q2325">
        <v>0</v>
      </c>
      <c r="R2325">
        <v>14.73</v>
      </c>
    </row>
    <row r="2326" spans="1:18" x14ac:dyDescent="0.25">
      <c r="A2326" s="1" t="s">
        <v>195</v>
      </c>
      <c r="B2326" s="2" t="s">
        <v>223</v>
      </c>
      <c r="C2326" s="19">
        <v>46</v>
      </c>
      <c r="D2326" s="3" t="s">
        <v>496</v>
      </c>
      <c r="E2326" s="3" t="s">
        <v>18</v>
      </c>
      <c r="F2326" s="23">
        <v>242939</v>
      </c>
      <c r="G2326" s="15">
        <v>2018</v>
      </c>
      <c r="H2326" s="15">
        <f>Table_7[[#This Row],[Listing Price (USD)]]/10000</f>
        <v>24.293900000000001</v>
      </c>
      <c r="I2326" s="28">
        <f>Table_7[[#This Row],[Length 
(ft)]]</f>
        <v>46</v>
      </c>
      <c r="J2326" s="28">
        <f>2020-Table_7[[#This Row],[Year]]</f>
        <v>2</v>
      </c>
      <c r="K2326">
        <v>188925995936.80701</v>
      </c>
      <c r="L2326">
        <v>17658.947301119199</v>
      </c>
      <c r="M2326">
        <v>-1.2479835558140799</v>
      </c>
      <c r="N2326">
        <v>-9.0040436420214593</v>
      </c>
      <c r="O2326">
        <v>41.14</v>
      </c>
      <c r="P2326">
        <v>0</v>
      </c>
      <c r="Q2326">
        <v>0</v>
      </c>
      <c r="R2326">
        <v>14.73</v>
      </c>
    </row>
    <row r="2327" spans="1:18" x14ac:dyDescent="0.25">
      <c r="A2327" s="1" t="s">
        <v>195</v>
      </c>
      <c r="B2327" s="2" t="s">
        <v>223</v>
      </c>
      <c r="C2327" s="19">
        <v>46</v>
      </c>
      <c r="D2327" s="3" t="s">
        <v>496</v>
      </c>
      <c r="E2327" s="3" t="s">
        <v>18</v>
      </c>
      <c r="F2327" s="23">
        <v>267233</v>
      </c>
      <c r="G2327" s="15">
        <v>2016</v>
      </c>
      <c r="H2327" s="15">
        <f>Table_7[[#This Row],[Listing Price (USD)]]/10000</f>
        <v>26.723299999999998</v>
      </c>
      <c r="I2327" s="28">
        <f>Table_7[[#This Row],[Length 
(ft)]]</f>
        <v>46</v>
      </c>
      <c r="J2327" s="28">
        <f>2020-Table_7[[#This Row],[Year]]</f>
        <v>4</v>
      </c>
      <c r="K2327">
        <v>188925995936.80701</v>
      </c>
      <c r="L2327">
        <v>17658.947301119199</v>
      </c>
      <c r="M2327">
        <v>-1.2479835558140799</v>
      </c>
      <c r="N2327">
        <v>-9.0040436420214593</v>
      </c>
      <c r="O2327">
        <v>41.14</v>
      </c>
      <c r="P2327">
        <v>0</v>
      </c>
      <c r="Q2327">
        <v>0</v>
      </c>
      <c r="R2327">
        <v>14.73</v>
      </c>
    </row>
    <row r="2328" spans="1:18" x14ac:dyDescent="0.25">
      <c r="A2328" s="1" t="s">
        <v>195</v>
      </c>
      <c r="B2328" s="2" t="s">
        <v>223</v>
      </c>
      <c r="C2328" s="19">
        <v>46</v>
      </c>
      <c r="D2328" s="3" t="s">
        <v>496</v>
      </c>
      <c r="E2328" s="3" t="s">
        <v>31</v>
      </c>
      <c r="F2328" s="23">
        <v>297601</v>
      </c>
      <c r="G2328" s="15">
        <v>2017</v>
      </c>
      <c r="H2328" s="15">
        <f>Table_7[[#This Row],[Listing Price (USD)]]/10000</f>
        <v>29.760100000000001</v>
      </c>
      <c r="I2328" s="28">
        <f>Table_7[[#This Row],[Length 
(ft)]]</f>
        <v>46</v>
      </c>
      <c r="J2328" s="28">
        <f>2020-Table_7[[#This Row],[Year]]</f>
        <v>3</v>
      </c>
      <c r="K2328">
        <v>57472012426.685303</v>
      </c>
      <c r="L2328">
        <v>14198.753959474399</v>
      </c>
      <c r="M2328">
        <v>0.15481137456202801</v>
      </c>
      <c r="N2328">
        <v>-8.5803430210621805</v>
      </c>
      <c r="O2328">
        <v>41.14</v>
      </c>
      <c r="P2328">
        <v>0</v>
      </c>
      <c r="Q2328">
        <v>0</v>
      </c>
      <c r="R2328">
        <v>14.73</v>
      </c>
    </row>
    <row r="2329" spans="1:18" x14ac:dyDescent="0.25">
      <c r="A2329" s="1" t="s">
        <v>195</v>
      </c>
      <c r="B2329" s="2" t="s">
        <v>223</v>
      </c>
      <c r="C2329" s="19">
        <v>46</v>
      </c>
      <c r="D2329" s="3" t="s">
        <v>496</v>
      </c>
      <c r="E2329" s="3" t="s">
        <v>31</v>
      </c>
      <c r="F2329" s="23">
        <v>334055</v>
      </c>
      <c r="G2329" s="15">
        <v>2017</v>
      </c>
      <c r="H2329" s="15">
        <f>Table_7[[#This Row],[Listing Price (USD)]]/10000</f>
        <v>33.405500000000004</v>
      </c>
      <c r="I2329" s="28">
        <f>Table_7[[#This Row],[Length 
(ft)]]</f>
        <v>46</v>
      </c>
      <c r="J2329" s="28">
        <f>2020-Table_7[[#This Row],[Year]]</f>
        <v>3</v>
      </c>
      <c r="K2329">
        <v>57472012426.685303</v>
      </c>
      <c r="L2329">
        <v>14198.753959474399</v>
      </c>
      <c r="M2329">
        <v>0.15481137456202801</v>
      </c>
      <c r="N2329">
        <v>-8.5803430210621805</v>
      </c>
      <c r="O2329">
        <v>41.14</v>
      </c>
      <c r="P2329">
        <v>0</v>
      </c>
      <c r="Q2329">
        <v>0</v>
      </c>
      <c r="R2329">
        <v>14.73</v>
      </c>
    </row>
    <row r="2330" spans="1:18" x14ac:dyDescent="0.25">
      <c r="A2330" s="1" t="s">
        <v>304</v>
      </c>
      <c r="B2330" s="2" t="s">
        <v>310</v>
      </c>
      <c r="C2330" s="19">
        <v>43</v>
      </c>
      <c r="D2330" s="3" t="s">
        <v>496</v>
      </c>
      <c r="E2330" s="3" t="s">
        <v>31</v>
      </c>
      <c r="F2330" s="23">
        <v>388718</v>
      </c>
      <c r="G2330" s="15">
        <v>2018</v>
      </c>
      <c r="H2330" s="15">
        <f>Table_7[[#This Row],[Listing Price (USD)]]/10000</f>
        <v>38.8718</v>
      </c>
      <c r="I2330" s="28">
        <f>Table_7[[#This Row],[Length 
(ft)]]</f>
        <v>43</v>
      </c>
      <c r="J2330" s="28">
        <f>2020-Table_7[[#This Row],[Year]]</f>
        <v>2</v>
      </c>
      <c r="K2330">
        <v>57472012426.685303</v>
      </c>
      <c r="L2330">
        <v>14198.753959474399</v>
      </c>
      <c r="M2330">
        <v>0.15481137456202801</v>
      </c>
      <c r="N2330">
        <v>-8.5803430210621805</v>
      </c>
      <c r="O2330">
        <v>25.58</v>
      </c>
      <c r="P2330">
        <v>543.00199999999995</v>
      </c>
      <c r="Q2330">
        <v>0</v>
      </c>
      <c r="R2330">
        <v>11.08</v>
      </c>
    </row>
    <row r="2331" spans="1:18" x14ac:dyDescent="0.25">
      <c r="A2331" s="1" t="s">
        <v>304</v>
      </c>
      <c r="B2331" s="2" t="s">
        <v>306</v>
      </c>
      <c r="C2331" s="19">
        <v>40</v>
      </c>
      <c r="D2331" s="3" t="s">
        <v>496</v>
      </c>
      <c r="E2331" s="3" t="s">
        <v>24</v>
      </c>
      <c r="F2331" s="23">
        <v>170056</v>
      </c>
      <c r="G2331" s="15">
        <v>2007</v>
      </c>
      <c r="H2331" s="15">
        <f>Table_7[[#This Row],[Listing Price (USD)]]/10000</f>
        <v>17.005600000000001</v>
      </c>
      <c r="I2331" s="28">
        <f>Table_7[[#This Row],[Length 
(ft)]]</f>
        <v>40</v>
      </c>
      <c r="J2331" s="28">
        <f>2020-Table_7[[#This Row],[Year]]</f>
        <v>13</v>
      </c>
      <c r="K2331">
        <v>1896755301518.1399</v>
      </c>
      <c r="L2331">
        <v>31911.0357890017</v>
      </c>
      <c r="M2331">
        <v>-0.13770757391656999</v>
      </c>
      <c r="N2331">
        <v>-9.0399534112288507</v>
      </c>
      <c r="O2331">
        <v>35.14</v>
      </c>
      <c r="P2331">
        <v>963.40200000000004</v>
      </c>
      <c r="Q2331">
        <v>0</v>
      </c>
      <c r="R2331">
        <v>12.47</v>
      </c>
    </row>
    <row r="2332" spans="1:18" x14ac:dyDescent="0.25">
      <c r="A2332" s="1" t="s">
        <v>304</v>
      </c>
      <c r="B2332" s="2" t="s">
        <v>306</v>
      </c>
      <c r="C2332" s="19">
        <v>40</v>
      </c>
      <c r="D2332" s="3" t="s">
        <v>496</v>
      </c>
      <c r="E2332" s="3" t="s">
        <v>3</v>
      </c>
      <c r="F2332" s="23">
        <v>180990</v>
      </c>
      <c r="G2332" s="15">
        <v>2006</v>
      </c>
      <c r="H2332" s="15">
        <f>Table_7[[#This Row],[Listing Price (USD)]]/10000</f>
        <v>18.099</v>
      </c>
      <c r="I2332" s="28">
        <f>Table_7[[#This Row],[Length 
(ft)]]</f>
        <v>40</v>
      </c>
      <c r="J2332" s="28">
        <f>2020-Table_7[[#This Row],[Year]]</f>
        <v>14</v>
      </c>
      <c r="K2332">
        <v>2639008701648.2598</v>
      </c>
      <c r="L2332">
        <v>39055.282928075401</v>
      </c>
      <c r="M2332">
        <v>0.47649885272508302</v>
      </c>
      <c r="N2332">
        <v>-7.7845864916787102</v>
      </c>
      <c r="O2332">
        <v>35.14</v>
      </c>
      <c r="P2332">
        <v>963.40200000000004</v>
      </c>
      <c r="Q2332">
        <v>0</v>
      </c>
      <c r="R2332">
        <v>12.47</v>
      </c>
    </row>
    <row r="2333" spans="1:18" x14ac:dyDescent="0.25">
      <c r="A2333" s="1" t="s">
        <v>304</v>
      </c>
      <c r="B2333" s="2" t="s">
        <v>306</v>
      </c>
      <c r="C2333" s="19">
        <v>40</v>
      </c>
      <c r="D2333" s="3" t="s">
        <v>496</v>
      </c>
      <c r="E2333" s="3" t="s">
        <v>24</v>
      </c>
      <c r="F2333" s="23">
        <v>180990</v>
      </c>
      <c r="G2333" s="15">
        <v>2007</v>
      </c>
      <c r="H2333" s="15">
        <f>Table_7[[#This Row],[Listing Price (USD)]]/10000</f>
        <v>18.099</v>
      </c>
      <c r="I2333" s="28">
        <f>Table_7[[#This Row],[Length 
(ft)]]</f>
        <v>40</v>
      </c>
      <c r="J2333" s="28">
        <f>2020-Table_7[[#This Row],[Year]]</f>
        <v>13</v>
      </c>
      <c r="K2333">
        <v>1896755301518.1399</v>
      </c>
      <c r="L2333">
        <v>31911.0357890017</v>
      </c>
      <c r="M2333">
        <v>-0.13770757391656999</v>
      </c>
      <c r="N2333">
        <v>-9.0399534112288507</v>
      </c>
      <c r="O2333">
        <v>35.14</v>
      </c>
      <c r="P2333">
        <v>963.40200000000004</v>
      </c>
      <c r="Q2333">
        <v>0</v>
      </c>
      <c r="R2333">
        <v>12.47</v>
      </c>
    </row>
    <row r="2334" spans="1:18" x14ac:dyDescent="0.25">
      <c r="A2334" s="1" t="s">
        <v>304</v>
      </c>
      <c r="B2334" s="2" t="s">
        <v>306</v>
      </c>
      <c r="C2334" s="19">
        <v>40</v>
      </c>
      <c r="D2334" s="3" t="s">
        <v>496</v>
      </c>
      <c r="E2334" s="3" t="s">
        <v>24</v>
      </c>
      <c r="F2334" s="23">
        <v>182204</v>
      </c>
      <c r="G2334" s="15">
        <v>2007</v>
      </c>
      <c r="H2334" s="15">
        <f>Table_7[[#This Row],[Listing Price (USD)]]/10000</f>
        <v>18.220400000000001</v>
      </c>
      <c r="I2334" s="28">
        <f>Table_7[[#This Row],[Length 
(ft)]]</f>
        <v>40</v>
      </c>
      <c r="J2334" s="28">
        <f>2020-Table_7[[#This Row],[Year]]</f>
        <v>13</v>
      </c>
      <c r="K2334">
        <v>1896755301518.1399</v>
      </c>
      <c r="L2334">
        <v>31911.0357890017</v>
      </c>
      <c r="M2334">
        <v>-0.13770757391656999</v>
      </c>
      <c r="N2334">
        <v>-9.0399534112288507</v>
      </c>
      <c r="O2334">
        <v>35.14</v>
      </c>
      <c r="P2334">
        <v>963.40200000000004</v>
      </c>
      <c r="Q2334">
        <v>0</v>
      </c>
      <c r="R2334">
        <v>12.47</v>
      </c>
    </row>
    <row r="2335" spans="1:18" x14ac:dyDescent="0.25">
      <c r="A2335" s="1" t="s">
        <v>304</v>
      </c>
      <c r="B2335" s="2" t="s">
        <v>306</v>
      </c>
      <c r="C2335" s="19">
        <v>40</v>
      </c>
      <c r="D2335" s="3" t="s">
        <v>496</v>
      </c>
      <c r="E2335" s="3" t="s">
        <v>3</v>
      </c>
      <c r="F2335" s="23">
        <v>184634</v>
      </c>
      <c r="G2335" s="15">
        <v>2007</v>
      </c>
      <c r="H2335" s="15">
        <f>Table_7[[#This Row],[Listing Price (USD)]]/10000</f>
        <v>18.4634</v>
      </c>
      <c r="I2335" s="28">
        <f>Table_7[[#This Row],[Length 
(ft)]]</f>
        <v>40</v>
      </c>
      <c r="J2335" s="28">
        <f>2020-Table_7[[#This Row],[Year]]</f>
        <v>13</v>
      </c>
      <c r="K2335">
        <v>2639008701648.2598</v>
      </c>
      <c r="L2335">
        <v>39055.282928075401</v>
      </c>
      <c r="M2335">
        <v>0.47649885272508302</v>
      </c>
      <c r="N2335">
        <v>-7.7845864916787102</v>
      </c>
      <c r="O2335">
        <v>35.14</v>
      </c>
      <c r="P2335">
        <v>963.40200000000004</v>
      </c>
      <c r="Q2335">
        <v>0</v>
      </c>
      <c r="R2335">
        <v>12.47</v>
      </c>
    </row>
    <row r="2336" spans="1:18" x14ac:dyDescent="0.25">
      <c r="A2336" s="1" t="s">
        <v>304</v>
      </c>
      <c r="B2336" s="2" t="s">
        <v>306</v>
      </c>
      <c r="C2336" s="19">
        <v>40</v>
      </c>
      <c r="D2336" s="3" t="s">
        <v>496</v>
      </c>
      <c r="E2336" s="3" t="s">
        <v>24</v>
      </c>
      <c r="F2336" s="23">
        <v>212572</v>
      </c>
      <c r="G2336" s="15">
        <v>2006</v>
      </c>
      <c r="H2336" s="15">
        <f>Table_7[[#This Row],[Listing Price (USD)]]/10000</f>
        <v>21.257200000000001</v>
      </c>
      <c r="I2336" s="28">
        <f>Table_7[[#This Row],[Length 
(ft)]]</f>
        <v>40</v>
      </c>
      <c r="J2336" s="28">
        <f>2020-Table_7[[#This Row],[Year]]</f>
        <v>14</v>
      </c>
      <c r="K2336">
        <v>1896755301518.1399</v>
      </c>
      <c r="L2336">
        <v>31911.0357890017</v>
      </c>
      <c r="M2336">
        <v>-0.13770757391656999</v>
      </c>
      <c r="N2336">
        <v>-9.0399534112288507</v>
      </c>
      <c r="O2336">
        <v>35.14</v>
      </c>
      <c r="P2336">
        <v>963.40200000000004</v>
      </c>
      <c r="Q2336">
        <v>0</v>
      </c>
      <c r="R2336">
        <v>12.47</v>
      </c>
    </row>
    <row r="2337" spans="1:18" x14ac:dyDescent="0.25">
      <c r="A2337" s="1" t="s">
        <v>304</v>
      </c>
      <c r="B2337" s="2" t="s">
        <v>307</v>
      </c>
      <c r="C2337" s="19">
        <v>41</v>
      </c>
      <c r="D2337" s="3" t="s">
        <v>496</v>
      </c>
      <c r="E2337" s="3" t="s">
        <v>24</v>
      </c>
      <c r="F2337" s="23">
        <v>218645</v>
      </c>
      <c r="G2337" s="15">
        <v>2008</v>
      </c>
      <c r="H2337" s="15">
        <f>Table_7[[#This Row],[Listing Price (USD)]]/10000</f>
        <v>21.8645</v>
      </c>
      <c r="I2337" s="28">
        <f>Table_7[[#This Row],[Length 
(ft)]]</f>
        <v>41</v>
      </c>
      <c r="J2337" s="28">
        <f>2020-Table_7[[#This Row],[Year]]</f>
        <v>12</v>
      </c>
      <c r="K2337">
        <v>1896755301518.1399</v>
      </c>
      <c r="L2337">
        <v>31911.0357890017</v>
      </c>
      <c r="M2337">
        <v>-0.13770757391656999</v>
      </c>
      <c r="N2337">
        <v>-9.0399534112288507</v>
      </c>
      <c r="O2337">
        <v>35.07</v>
      </c>
      <c r="P2337">
        <v>931.00199999999995</v>
      </c>
      <c r="Q2337">
        <v>0</v>
      </c>
      <c r="R2337">
        <v>11.94</v>
      </c>
    </row>
    <row r="2338" spans="1:18" x14ac:dyDescent="0.25">
      <c r="A2338" s="1" t="s">
        <v>304</v>
      </c>
      <c r="B2338" s="2" t="s">
        <v>309</v>
      </c>
      <c r="C2338" s="19">
        <v>43</v>
      </c>
      <c r="D2338" s="3" t="s">
        <v>496</v>
      </c>
      <c r="E2338" s="3" t="s">
        <v>3</v>
      </c>
      <c r="F2338" s="23">
        <v>208928</v>
      </c>
      <c r="G2338" s="15">
        <v>2006</v>
      </c>
      <c r="H2338" s="15">
        <f>Table_7[[#This Row],[Listing Price (USD)]]/10000</f>
        <v>20.892800000000001</v>
      </c>
      <c r="I2338" s="28">
        <f>Table_7[[#This Row],[Length 
(ft)]]</f>
        <v>43</v>
      </c>
      <c r="J2338" s="28">
        <f>2020-Table_7[[#This Row],[Year]]</f>
        <v>14</v>
      </c>
      <c r="K2338">
        <v>2639008701648.2598</v>
      </c>
      <c r="L2338">
        <v>39055.282928075401</v>
      </c>
      <c r="M2338">
        <v>0.47649885272508302</v>
      </c>
      <c r="N2338">
        <v>-7.7845864916787102</v>
      </c>
      <c r="O2338">
        <v>37.57</v>
      </c>
      <c r="P2338">
        <v>901.00199999999995</v>
      </c>
      <c r="Q2338">
        <v>0</v>
      </c>
      <c r="R2338">
        <v>13.02</v>
      </c>
    </row>
    <row r="2339" spans="1:18" x14ac:dyDescent="0.25">
      <c r="A2339" s="1" t="s">
        <v>304</v>
      </c>
      <c r="B2339" s="2" t="s">
        <v>315</v>
      </c>
      <c r="C2339" s="19">
        <v>50</v>
      </c>
      <c r="D2339" s="3" t="s">
        <v>496</v>
      </c>
      <c r="E2339" s="3" t="s">
        <v>24</v>
      </c>
      <c r="F2339" s="23">
        <v>334042</v>
      </c>
      <c r="G2339" s="15">
        <v>2005</v>
      </c>
      <c r="H2339" s="15">
        <f>Table_7[[#This Row],[Listing Price (USD)]]/10000</f>
        <v>33.404200000000003</v>
      </c>
      <c r="I2339" s="28">
        <f>Table_7[[#This Row],[Length 
(ft)]]</f>
        <v>50</v>
      </c>
      <c r="J2339" s="28">
        <f>2020-Table_7[[#This Row],[Year]]</f>
        <v>15</v>
      </c>
      <c r="K2339">
        <v>1896755301518.1399</v>
      </c>
      <c r="L2339">
        <v>31911.0357890017</v>
      </c>
      <c r="M2339">
        <v>-0.13770757391656999</v>
      </c>
      <c r="N2339">
        <v>-9.0399534112288507</v>
      </c>
      <c r="O2339">
        <v>34.450000000000003</v>
      </c>
      <c r="P2339">
        <v>603.00199999999995</v>
      </c>
      <c r="Q2339">
        <v>0</v>
      </c>
      <c r="R2339">
        <v>12.8</v>
      </c>
    </row>
    <row r="2340" spans="1:18" x14ac:dyDescent="0.25">
      <c r="A2340" s="1" t="s">
        <v>304</v>
      </c>
      <c r="B2340" s="2" t="s">
        <v>315</v>
      </c>
      <c r="C2340" s="19">
        <v>50</v>
      </c>
      <c r="D2340" s="3" t="s">
        <v>496</v>
      </c>
      <c r="E2340" s="3" t="s">
        <v>3</v>
      </c>
      <c r="F2340" s="23">
        <v>388703</v>
      </c>
      <c r="G2340" s="15">
        <v>2006</v>
      </c>
      <c r="H2340" s="15">
        <f>Table_7[[#This Row],[Listing Price (USD)]]/10000</f>
        <v>38.8703</v>
      </c>
      <c r="I2340" s="28">
        <f>Table_7[[#This Row],[Length 
(ft)]]</f>
        <v>50</v>
      </c>
      <c r="J2340" s="28">
        <f>2020-Table_7[[#This Row],[Year]]</f>
        <v>14</v>
      </c>
      <c r="K2340">
        <v>15842922532.7202</v>
      </c>
      <c r="L2340">
        <v>4255.7429932125397</v>
      </c>
      <c r="M2340">
        <v>5.2024648897533003</v>
      </c>
      <c r="N2340">
        <v>-6.7604398170551896</v>
      </c>
      <c r="O2340">
        <v>34.450000000000003</v>
      </c>
      <c r="P2340">
        <v>603.00199999999995</v>
      </c>
      <c r="Q2340">
        <v>0</v>
      </c>
      <c r="R2340">
        <v>12.8</v>
      </c>
    </row>
    <row r="2341" spans="1:18" x14ac:dyDescent="0.25">
      <c r="A2341" s="1" t="s">
        <v>304</v>
      </c>
      <c r="B2341" s="2" t="s">
        <v>315</v>
      </c>
      <c r="C2341" s="19">
        <v>50</v>
      </c>
      <c r="D2341" s="3" t="s">
        <v>496</v>
      </c>
      <c r="E2341" s="3" t="s">
        <v>24</v>
      </c>
      <c r="F2341" s="23">
        <v>425086</v>
      </c>
      <c r="G2341" s="15">
        <v>2010</v>
      </c>
      <c r="H2341" s="15">
        <f>Table_7[[#This Row],[Listing Price (USD)]]/10000</f>
        <v>42.508600000000001</v>
      </c>
      <c r="I2341" s="28">
        <f>Table_7[[#This Row],[Length 
(ft)]]</f>
        <v>50</v>
      </c>
      <c r="J2341" s="28">
        <f>2020-Table_7[[#This Row],[Year]]</f>
        <v>10</v>
      </c>
      <c r="K2341">
        <v>1896755301518.1399</v>
      </c>
      <c r="L2341">
        <v>31911.0357890017</v>
      </c>
      <c r="M2341">
        <v>-0.13770757391656999</v>
      </c>
      <c r="N2341">
        <v>-9.0399534112288507</v>
      </c>
      <c r="O2341">
        <v>34.450000000000003</v>
      </c>
      <c r="P2341">
        <v>603.00199999999995</v>
      </c>
      <c r="Q2341">
        <v>0</v>
      </c>
      <c r="R2341">
        <v>12.8</v>
      </c>
    </row>
    <row r="2342" spans="1:18" x14ac:dyDescent="0.25">
      <c r="A2342" s="1" t="s">
        <v>304</v>
      </c>
      <c r="B2342" s="2" t="s">
        <v>315</v>
      </c>
      <c r="C2342" s="19">
        <v>50</v>
      </c>
      <c r="D2342" s="3" t="s">
        <v>496</v>
      </c>
      <c r="E2342" s="3" t="s">
        <v>510</v>
      </c>
      <c r="F2342" s="23">
        <v>425144</v>
      </c>
      <c r="G2342" s="15">
        <v>2006</v>
      </c>
      <c r="H2342" s="15">
        <f>Table_7[[#This Row],[Listing Price (USD)]]/10000</f>
        <v>42.514400000000002</v>
      </c>
      <c r="I2342" s="28">
        <f>Table_7[[#This Row],[Length 
(ft)]]</f>
        <v>50</v>
      </c>
      <c r="J2342" s="28">
        <f>2020-Table_7[[#This Row],[Year]]</f>
        <v>14</v>
      </c>
      <c r="K2342">
        <v>525211810652.60797</v>
      </c>
      <c r="L2342">
        <v>45517.794930184697</v>
      </c>
      <c r="M2342">
        <v>0.74079181222038504</v>
      </c>
      <c r="N2342">
        <v>-5.3613866333485598</v>
      </c>
      <c r="O2342">
        <v>34.450000000000003</v>
      </c>
      <c r="P2342">
        <v>603.00199999999995</v>
      </c>
      <c r="Q2342">
        <v>0</v>
      </c>
      <c r="R2342">
        <v>12.8</v>
      </c>
    </row>
    <row r="2343" spans="1:18" x14ac:dyDescent="0.25">
      <c r="A2343" s="1" t="s">
        <v>304</v>
      </c>
      <c r="B2343" s="2" t="s">
        <v>316</v>
      </c>
      <c r="C2343" s="19">
        <v>50</v>
      </c>
      <c r="D2343" s="3" t="s">
        <v>496</v>
      </c>
      <c r="E2343" s="3" t="s">
        <v>124</v>
      </c>
      <c r="F2343" s="23">
        <v>419070</v>
      </c>
      <c r="G2343" s="15">
        <v>2008</v>
      </c>
      <c r="H2343" s="15">
        <f>Table_7[[#This Row],[Listing Price (USD)]]/10000</f>
        <v>41.906999999999996</v>
      </c>
      <c r="I2343" s="28">
        <f>Table_7[[#This Row],[Length 
(ft)]]</f>
        <v>50</v>
      </c>
      <c r="J2343" s="28">
        <f>2020-Table_7[[#This Row],[Year]]</f>
        <v>12</v>
      </c>
      <c r="K2343">
        <v>547054174235.87598</v>
      </c>
      <c r="L2343">
        <v>52837.903977814902</v>
      </c>
      <c r="M2343">
        <v>0.497367318853562</v>
      </c>
      <c r="N2343">
        <v>-2.1702131788587198</v>
      </c>
      <c r="O2343">
        <v>34.450000000000003</v>
      </c>
      <c r="P2343">
        <v>603.00199999999995</v>
      </c>
      <c r="Q2343">
        <v>0</v>
      </c>
      <c r="R2343">
        <v>12.8</v>
      </c>
    </row>
    <row r="2344" spans="1:18" x14ac:dyDescent="0.25">
      <c r="A2344" s="1" t="s">
        <v>304</v>
      </c>
      <c r="B2344" s="2" t="s">
        <v>319</v>
      </c>
      <c r="C2344" s="19">
        <v>55</v>
      </c>
      <c r="D2344" s="3" t="s">
        <v>496</v>
      </c>
      <c r="E2344" s="3" t="s">
        <v>24</v>
      </c>
      <c r="F2344" s="23">
        <v>570907</v>
      </c>
      <c r="G2344" s="15">
        <v>2007</v>
      </c>
      <c r="H2344" s="15">
        <f>Table_7[[#This Row],[Listing Price (USD)]]/10000</f>
        <v>57.090699999999998</v>
      </c>
      <c r="I2344" s="28">
        <f>Table_7[[#This Row],[Length 
(ft)]]</f>
        <v>55</v>
      </c>
      <c r="J2344" s="28">
        <f>2020-Table_7[[#This Row],[Year]]</f>
        <v>13</v>
      </c>
      <c r="K2344">
        <v>1896755301518.1399</v>
      </c>
      <c r="L2344">
        <v>31911.0357890017</v>
      </c>
      <c r="M2344">
        <v>-0.13770757391656999</v>
      </c>
      <c r="N2344">
        <v>-9.0399534112288507</v>
      </c>
      <c r="O2344">
        <v>47.44</v>
      </c>
      <c r="P2344">
        <v>1800.002</v>
      </c>
      <c r="Q2344">
        <v>0</v>
      </c>
      <c r="R2344">
        <v>15</v>
      </c>
    </row>
    <row r="2345" spans="1:18" x14ac:dyDescent="0.25">
      <c r="A2345" s="1" t="s">
        <v>284</v>
      </c>
      <c r="B2345" s="2" t="s">
        <v>285</v>
      </c>
      <c r="C2345" s="19">
        <v>40</v>
      </c>
      <c r="D2345" s="3" t="s">
        <v>496</v>
      </c>
      <c r="E2345" s="3" t="s">
        <v>31</v>
      </c>
      <c r="F2345" s="23">
        <v>105679</v>
      </c>
      <c r="G2345" s="15">
        <v>2009</v>
      </c>
      <c r="H2345" s="15">
        <f>Table_7[[#This Row],[Listing Price (USD)]]/10000</f>
        <v>10.5679</v>
      </c>
      <c r="I2345" s="28">
        <f>Table_7[[#This Row],[Length 
(ft)]]</f>
        <v>40</v>
      </c>
      <c r="J2345" s="28">
        <f>2020-Table_7[[#This Row],[Year]]</f>
        <v>11</v>
      </c>
      <c r="K2345">
        <v>57472012426.685303</v>
      </c>
      <c r="L2345">
        <v>14198.753959474399</v>
      </c>
      <c r="M2345">
        <v>0.15481137456202801</v>
      </c>
      <c r="N2345">
        <v>-8.5803430210621805</v>
      </c>
      <c r="O2345">
        <v>21.83</v>
      </c>
      <c r="P2345">
        <v>541.00199999999995</v>
      </c>
      <c r="Q2345">
        <v>0</v>
      </c>
      <c r="R2345">
        <v>8.08</v>
      </c>
    </row>
    <row r="2346" spans="1:18" x14ac:dyDescent="0.25">
      <c r="A2346" s="1" t="s">
        <v>284</v>
      </c>
      <c r="B2346" s="2" t="s">
        <v>285</v>
      </c>
      <c r="C2346" s="19">
        <v>40</v>
      </c>
      <c r="D2346" s="3" t="s">
        <v>496</v>
      </c>
      <c r="E2346" s="3" t="s">
        <v>31</v>
      </c>
      <c r="F2346" s="23">
        <v>121379</v>
      </c>
      <c r="G2346" s="15">
        <v>2013</v>
      </c>
      <c r="H2346" s="15">
        <f>Table_7[[#This Row],[Listing Price (USD)]]/10000</f>
        <v>12.1379</v>
      </c>
      <c r="I2346" s="28">
        <f>Table_7[[#This Row],[Length 
(ft)]]</f>
        <v>40</v>
      </c>
      <c r="J2346" s="28">
        <f>2020-Table_7[[#This Row],[Year]]</f>
        <v>7</v>
      </c>
      <c r="K2346">
        <v>57472012426.685303</v>
      </c>
      <c r="L2346">
        <v>14198.753959474399</v>
      </c>
      <c r="M2346">
        <v>0.15481137456202801</v>
      </c>
      <c r="N2346">
        <v>-8.5803430210621805</v>
      </c>
      <c r="O2346">
        <v>21.83</v>
      </c>
      <c r="P2346">
        <v>541.00199999999995</v>
      </c>
      <c r="Q2346">
        <v>0</v>
      </c>
      <c r="R2346">
        <v>8.08</v>
      </c>
    </row>
    <row r="2347" spans="1:18" x14ac:dyDescent="0.25">
      <c r="A2347" s="6" t="s">
        <v>284</v>
      </c>
      <c r="B2347" s="7" t="s">
        <v>285</v>
      </c>
      <c r="C2347" s="20">
        <v>40</v>
      </c>
      <c r="D2347" s="8" t="s">
        <v>496</v>
      </c>
      <c r="E2347" s="3" t="s">
        <v>31</v>
      </c>
      <c r="F2347" s="24">
        <v>176107</v>
      </c>
      <c r="G2347" s="16">
        <v>2013</v>
      </c>
      <c r="H2347" s="16">
        <f>Table_7[[#This Row],[Listing Price (USD)]]/10000</f>
        <v>17.610700000000001</v>
      </c>
      <c r="I2347" s="28">
        <f>Table_7[[#This Row],[Length 
(ft)]]</f>
        <v>40</v>
      </c>
      <c r="J2347" s="28">
        <f>2020-Table_7[[#This Row],[Year]]</f>
        <v>7</v>
      </c>
      <c r="K2347">
        <v>57472012426.685303</v>
      </c>
      <c r="L2347">
        <v>14198.753959474399</v>
      </c>
      <c r="M2347">
        <v>0.15481137456202801</v>
      </c>
      <c r="N2347">
        <v>-8.5803430210621805</v>
      </c>
      <c r="O2347">
        <v>21.83</v>
      </c>
      <c r="P2347">
        <v>541.00199999999995</v>
      </c>
      <c r="Q2347">
        <v>0</v>
      </c>
      <c r="R2347">
        <v>8.08</v>
      </c>
    </row>
  </sheetData>
  <phoneticPr fontId="7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BB4F-CFDF-491B-8935-4A4A07432245}">
  <dimension ref="A1:V32"/>
  <sheetViews>
    <sheetView topLeftCell="E1" zoomScale="190" zoomScaleNormal="190" workbookViewId="0">
      <selection activeCell="N36" sqref="N36"/>
    </sheetView>
  </sheetViews>
  <sheetFormatPr defaultRowHeight="15" x14ac:dyDescent="0.25"/>
  <cols>
    <col min="2" max="2" width="33.140625" customWidth="1"/>
    <col min="8" max="11" width="15.7109375" customWidth="1"/>
    <col min="14" max="14" width="11.140625" customWidth="1"/>
    <col min="15" max="15" width="18.85546875" customWidth="1"/>
    <col min="16" max="16" width="12.140625" customWidth="1"/>
    <col min="20" max="20" width="13.5703125" customWidth="1"/>
    <col min="21" max="21" width="15.140625" customWidth="1"/>
    <col min="22" max="22" width="9.140625" style="56"/>
  </cols>
  <sheetData>
    <row r="1" spans="1:22" ht="45" x14ac:dyDescent="0.25">
      <c r="A1" s="41" t="s">
        <v>0</v>
      </c>
      <c r="B1" s="42" t="s">
        <v>501</v>
      </c>
      <c r="C1" s="43" t="s">
        <v>504</v>
      </c>
      <c r="D1" s="41" t="s">
        <v>502</v>
      </c>
      <c r="E1" s="41" t="s">
        <v>503</v>
      </c>
      <c r="F1" s="44" t="s">
        <v>505</v>
      </c>
      <c r="G1" s="45" t="s">
        <v>1</v>
      </c>
      <c r="H1" s="45" t="s">
        <v>581</v>
      </c>
      <c r="I1" s="46" t="s">
        <v>582</v>
      </c>
      <c r="J1" s="46" t="s">
        <v>583</v>
      </c>
      <c r="K1" s="46" t="s">
        <v>584</v>
      </c>
      <c r="L1" s="46" t="s">
        <v>585</v>
      </c>
      <c r="M1" s="46" t="s">
        <v>586</v>
      </c>
      <c r="N1" s="46" t="s">
        <v>587</v>
      </c>
      <c r="O1" s="46" t="s">
        <v>591</v>
      </c>
      <c r="P1" s="46" t="s">
        <v>592</v>
      </c>
      <c r="Q1" s="46" t="s">
        <v>593</v>
      </c>
      <c r="R1" s="54" t="s">
        <v>594</v>
      </c>
      <c r="S1" s="46" t="s">
        <v>598</v>
      </c>
      <c r="T1" s="46" t="s">
        <v>597</v>
      </c>
      <c r="U1" s="54" t="s">
        <v>599</v>
      </c>
      <c r="V1" s="58" t="s">
        <v>600</v>
      </c>
    </row>
    <row r="2" spans="1:22" x14ac:dyDescent="0.25">
      <c r="A2" s="47" t="s">
        <v>45</v>
      </c>
      <c r="B2" s="47" t="s">
        <v>51</v>
      </c>
      <c r="C2" s="48">
        <v>39</v>
      </c>
      <c r="F2">
        <v>120000</v>
      </c>
      <c r="I2">
        <v>39</v>
      </c>
      <c r="J2">
        <v>14</v>
      </c>
      <c r="K2">
        <v>368140000000</v>
      </c>
      <c r="L2">
        <v>44481.34</v>
      </c>
      <c r="M2">
        <v>1.7</v>
      </c>
      <c r="N2">
        <v>-4.2</v>
      </c>
      <c r="O2" s="32">
        <v>34.83</v>
      </c>
      <c r="P2" s="32">
        <v>806</v>
      </c>
      <c r="Q2" s="32">
        <v>34</v>
      </c>
      <c r="R2" s="32">
        <v>12.33</v>
      </c>
      <c r="S2" s="55">
        <v>1</v>
      </c>
      <c r="T2" s="28">
        <f>F2</f>
        <v>120000</v>
      </c>
      <c r="U2" s="57">
        <v>110051.15</v>
      </c>
      <c r="V2" s="59">
        <f>(1-ABS((T2-U2))/T2)*100%</f>
        <v>0.91709291666666659</v>
      </c>
    </row>
    <row r="3" spans="1:22" x14ac:dyDescent="0.25">
      <c r="A3" s="47" t="s">
        <v>14</v>
      </c>
      <c r="B3" s="49" t="s">
        <v>32</v>
      </c>
      <c r="C3" s="48">
        <v>45</v>
      </c>
      <c r="F3">
        <v>320000</v>
      </c>
      <c r="I3">
        <v>45</v>
      </c>
      <c r="J3">
        <v>4</v>
      </c>
      <c r="K3">
        <v>368140000000</v>
      </c>
      <c r="L3">
        <v>44481.34</v>
      </c>
      <c r="M3">
        <v>1.7</v>
      </c>
      <c r="N3">
        <v>-4.2</v>
      </c>
      <c r="O3" s="50">
        <v>42.22</v>
      </c>
      <c r="P3" s="50">
        <v>1227.0920000000001</v>
      </c>
      <c r="Q3" s="50">
        <v>66</v>
      </c>
      <c r="R3" s="50">
        <v>14.73</v>
      </c>
      <c r="S3" s="55">
        <v>2</v>
      </c>
      <c r="T3" s="28">
        <f t="shared" ref="T3:T11" si="0">F3</f>
        <v>320000</v>
      </c>
      <c r="U3" s="57">
        <v>248092.75</v>
      </c>
      <c r="V3" s="59">
        <f t="shared" ref="V3:V11" si="1">1-ABS((T3-U3))/T3</f>
        <v>0.77528984374999999</v>
      </c>
    </row>
    <row r="4" spans="1:22" x14ac:dyDescent="0.25">
      <c r="A4" s="47" t="s">
        <v>195</v>
      </c>
      <c r="B4" s="49" t="s">
        <v>238</v>
      </c>
      <c r="C4" s="48">
        <v>53</v>
      </c>
      <c r="F4">
        <v>450000</v>
      </c>
      <c r="I4">
        <v>53</v>
      </c>
      <c r="J4">
        <v>7</v>
      </c>
      <c r="K4">
        <v>368140000000</v>
      </c>
      <c r="L4">
        <v>44481.34</v>
      </c>
      <c r="M4">
        <v>1.7</v>
      </c>
      <c r="N4">
        <v>-4.2</v>
      </c>
      <c r="O4" s="32">
        <v>48.5</v>
      </c>
      <c r="P4" s="32">
        <v>1214</v>
      </c>
      <c r="Q4" s="32">
        <v>191</v>
      </c>
      <c r="R4" s="32">
        <v>15.92</v>
      </c>
      <c r="S4" s="55">
        <v>3</v>
      </c>
      <c r="T4" s="28">
        <f t="shared" si="0"/>
        <v>450000</v>
      </c>
      <c r="U4" s="57">
        <v>411758.78</v>
      </c>
      <c r="V4" s="59">
        <f t="shared" si="1"/>
        <v>0.91501951111111113</v>
      </c>
    </row>
    <row r="5" spans="1:22" x14ac:dyDescent="0.25">
      <c r="A5" s="47" t="s">
        <v>128</v>
      </c>
      <c r="B5" s="49" t="s">
        <v>138</v>
      </c>
      <c r="C5" s="48">
        <v>51.2</v>
      </c>
      <c r="F5">
        <v>320000</v>
      </c>
      <c r="I5">
        <v>51.2</v>
      </c>
      <c r="J5">
        <v>9</v>
      </c>
      <c r="K5">
        <v>368140000000</v>
      </c>
      <c r="L5">
        <v>44481.34</v>
      </c>
      <c r="M5">
        <v>1.7</v>
      </c>
      <c r="N5">
        <v>-4.2</v>
      </c>
      <c r="O5" s="50">
        <v>44.85</v>
      </c>
      <c r="P5" s="50">
        <v>1084</v>
      </c>
      <c r="Q5" s="50">
        <v>132</v>
      </c>
      <c r="R5" s="50">
        <v>15.75</v>
      </c>
      <c r="S5" s="55">
        <v>4</v>
      </c>
      <c r="T5" s="28">
        <f t="shared" si="0"/>
        <v>320000</v>
      </c>
      <c r="U5" s="57">
        <v>321062.13</v>
      </c>
      <c r="V5" s="59">
        <f t="shared" si="1"/>
        <v>0.99668084374999999</v>
      </c>
    </row>
    <row r="6" spans="1:22" x14ac:dyDescent="0.25">
      <c r="A6" s="47" t="s">
        <v>378</v>
      </c>
      <c r="B6" s="47" t="s">
        <v>66</v>
      </c>
      <c r="C6" s="48">
        <v>45</v>
      </c>
      <c r="F6">
        <v>250000</v>
      </c>
      <c r="I6">
        <v>45</v>
      </c>
      <c r="J6">
        <v>10</v>
      </c>
      <c r="K6">
        <v>368140000000</v>
      </c>
      <c r="L6">
        <v>44481.34</v>
      </c>
      <c r="M6">
        <v>1.7</v>
      </c>
      <c r="N6">
        <v>-4.2</v>
      </c>
      <c r="O6" s="32">
        <v>38.58</v>
      </c>
      <c r="P6" s="32">
        <v>1002.002</v>
      </c>
      <c r="Q6" s="32">
        <v>53</v>
      </c>
      <c r="R6" s="32">
        <v>13.75</v>
      </c>
      <c r="S6" s="55">
        <v>5</v>
      </c>
      <c r="T6" s="28">
        <f t="shared" si="0"/>
        <v>250000</v>
      </c>
      <c r="U6" s="57">
        <v>209549.22</v>
      </c>
      <c r="V6" s="59">
        <f t="shared" si="1"/>
        <v>0.83819688000000003</v>
      </c>
    </row>
    <row r="7" spans="1:22" x14ac:dyDescent="0.25">
      <c r="A7" s="47" t="s">
        <v>187</v>
      </c>
      <c r="B7" s="47" t="s">
        <v>246</v>
      </c>
      <c r="C7" s="48">
        <v>45</v>
      </c>
      <c r="F7">
        <v>180000</v>
      </c>
      <c r="I7">
        <v>45</v>
      </c>
      <c r="J7">
        <v>13</v>
      </c>
      <c r="K7">
        <v>368140000000</v>
      </c>
      <c r="L7">
        <v>44481.34</v>
      </c>
      <c r="M7">
        <v>1.7</v>
      </c>
      <c r="N7">
        <v>-4.2</v>
      </c>
      <c r="O7" s="32">
        <v>39.17</v>
      </c>
      <c r="P7" s="32">
        <v>833.00199999999995</v>
      </c>
      <c r="Q7" s="32">
        <v>66</v>
      </c>
      <c r="R7" s="32">
        <v>14.5</v>
      </c>
      <c r="S7" s="55">
        <v>6</v>
      </c>
      <c r="T7" s="28">
        <f t="shared" si="0"/>
        <v>180000</v>
      </c>
      <c r="U7" s="57">
        <v>176729.27</v>
      </c>
      <c r="V7" s="59">
        <f t="shared" si="1"/>
        <v>0.98182927777777773</v>
      </c>
    </row>
    <row r="8" spans="1:22" x14ac:dyDescent="0.25">
      <c r="A8" s="47" t="s">
        <v>45</v>
      </c>
      <c r="B8" s="49" t="s">
        <v>78</v>
      </c>
      <c r="C8" s="48">
        <v>49</v>
      </c>
      <c r="F8">
        <v>200000</v>
      </c>
      <c r="I8">
        <v>49</v>
      </c>
      <c r="J8">
        <v>11</v>
      </c>
      <c r="K8">
        <v>368140000000</v>
      </c>
      <c r="L8">
        <v>44481.34</v>
      </c>
      <c r="M8">
        <v>1.7</v>
      </c>
      <c r="N8">
        <v>-4.2</v>
      </c>
      <c r="O8" s="32">
        <v>43.63</v>
      </c>
      <c r="P8" s="32">
        <v>1183.002</v>
      </c>
      <c r="Q8" s="32">
        <v>62</v>
      </c>
      <c r="R8" s="32">
        <v>14.76</v>
      </c>
      <c r="S8" s="55">
        <v>7</v>
      </c>
      <c r="T8" s="28">
        <f t="shared" si="0"/>
        <v>200000</v>
      </c>
      <c r="U8" s="57">
        <v>236879.04</v>
      </c>
      <c r="V8" s="59">
        <f t="shared" si="1"/>
        <v>0.81560480000000002</v>
      </c>
    </row>
    <row r="9" spans="1:22" x14ac:dyDescent="0.25">
      <c r="A9" s="47" t="s">
        <v>177</v>
      </c>
      <c r="B9" s="49">
        <v>575</v>
      </c>
      <c r="C9" s="48">
        <v>56</v>
      </c>
      <c r="F9">
        <v>600000</v>
      </c>
      <c r="I9">
        <v>56</v>
      </c>
      <c r="J9">
        <v>6</v>
      </c>
      <c r="K9">
        <v>368140000000</v>
      </c>
      <c r="L9">
        <v>44481.34</v>
      </c>
      <c r="M9">
        <v>1.7</v>
      </c>
      <c r="N9">
        <v>-4.2</v>
      </c>
      <c r="O9" s="50">
        <v>49.7</v>
      </c>
      <c r="P9" s="50">
        <v>1515</v>
      </c>
      <c r="Q9" s="50">
        <v>137</v>
      </c>
      <c r="R9" s="50">
        <v>17.059999999999999</v>
      </c>
      <c r="S9" s="55">
        <v>8</v>
      </c>
      <c r="T9" s="28">
        <f t="shared" si="0"/>
        <v>600000</v>
      </c>
      <c r="U9" s="57">
        <v>554720.82999999996</v>
      </c>
      <c r="V9" s="59">
        <f t="shared" si="1"/>
        <v>0.92453471666666664</v>
      </c>
    </row>
    <row r="10" spans="1:22" x14ac:dyDescent="0.25">
      <c r="A10" s="51" t="s">
        <v>595</v>
      </c>
      <c r="B10" s="52" t="s">
        <v>596</v>
      </c>
      <c r="C10" s="53">
        <v>39.33</v>
      </c>
      <c r="F10">
        <v>290000</v>
      </c>
      <c r="I10">
        <v>39.33</v>
      </c>
      <c r="J10">
        <v>4</v>
      </c>
      <c r="K10">
        <v>368140000000</v>
      </c>
      <c r="L10">
        <v>44481.34</v>
      </c>
      <c r="M10">
        <v>1.7</v>
      </c>
      <c r="N10">
        <v>-4.2</v>
      </c>
      <c r="O10" s="32">
        <v>35.270000000000003</v>
      </c>
      <c r="P10" s="32">
        <v>882</v>
      </c>
      <c r="Q10" s="32">
        <v>55</v>
      </c>
      <c r="R10" s="32">
        <v>12.99</v>
      </c>
      <c r="S10" s="55">
        <v>9</v>
      </c>
      <c r="T10" s="28">
        <f>F10</f>
        <v>290000</v>
      </c>
      <c r="U10" s="57">
        <v>177995.05</v>
      </c>
      <c r="V10" s="59">
        <f t="shared" si="1"/>
        <v>0.61377603448275853</v>
      </c>
    </row>
    <row r="11" spans="1:22" ht="15.75" thickBot="1" x14ac:dyDescent="0.3">
      <c r="A11" s="47" t="s">
        <v>177</v>
      </c>
      <c r="B11" s="49">
        <v>588</v>
      </c>
      <c r="C11" s="48">
        <v>56.5</v>
      </c>
      <c r="F11">
        <v>1200000</v>
      </c>
      <c r="I11">
        <v>56.5</v>
      </c>
      <c r="J11">
        <v>1</v>
      </c>
      <c r="K11">
        <v>368140000000</v>
      </c>
      <c r="L11">
        <v>44481.34</v>
      </c>
      <c r="M11">
        <v>1.7</v>
      </c>
      <c r="N11">
        <v>-4.2</v>
      </c>
      <c r="O11" s="50">
        <v>49.7</v>
      </c>
      <c r="P11" s="50">
        <v>1689</v>
      </c>
      <c r="Q11" s="50">
        <v>137</v>
      </c>
      <c r="R11" s="50">
        <v>17.059999999999999</v>
      </c>
      <c r="S11" s="62">
        <v>10</v>
      </c>
      <c r="T11" s="63">
        <f t="shared" si="0"/>
        <v>1200000</v>
      </c>
      <c r="U11" s="31">
        <v>749788.24</v>
      </c>
      <c r="V11" s="60">
        <f t="shared" si="1"/>
        <v>0.6248235333333334</v>
      </c>
    </row>
    <row r="12" spans="1:22" ht="15.75" thickBot="1" x14ac:dyDescent="0.3">
      <c r="S12" s="65" t="s">
        <v>601</v>
      </c>
      <c r="T12" s="64"/>
      <c r="U12" s="64"/>
      <c r="V12" s="61">
        <f>SUM(V2:V11)/10</f>
        <v>0.84028483575383139</v>
      </c>
    </row>
    <row r="20" spans="8:16" ht="15" customHeight="1" x14ac:dyDescent="0.25"/>
    <row r="21" spans="8:16" x14ac:dyDescent="0.25">
      <c r="H21" s="66" t="s">
        <v>598</v>
      </c>
      <c r="I21" s="66" t="s">
        <v>597</v>
      </c>
      <c r="J21" s="67" t="s">
        <v>599</v>
      </c>
      <c r="K21" s="68" t="s">
        <v>600</v>
      </c>
      <c r="M21" s="80" t="s">
        <v>602</v>
      </c>
      <c r="N21" s="43" t="s">
        <v>0</v>
      </c>
      <c r="O21" s="81" t="s">
        <v>501</v>
      </c>
      <c r="P21" s="43" t="s">
        <v>603</v>
      </c>
    </row>
    <row r="22" spans="8:16" x14ac:dyDescent="0.25">
      <c r="H22" s="69">
        <v>1</v>
      </c>
      <c r="I22" s="70">
        <f>F2</f>
        <v>120000</v>
      </c>
      <c r="J22" s="71">
        <v>110051.15</v>
      </c>
      <c r="K22" s="72">
        <f>(1-ABS((I22-J22))/I22)*100%</f>
        <v>0.91709291666666659</v>
      </c>
      <c r="M22" s="48">
        <v>1</v>
      </c>
      <c r="N22" s="48" t="s">
        <v>45</v>
      </c>
      <c r="O22" s="48" t="s">
        <v>51</v>
      </c>
      <c r="P22" s="48">
        <v>39</v>
      </c>
    </row>
    <row r="23" spans="8:16" x14ac:dyDescent="0.25">
      <c r="H23" s="69">
        <v>2</v>
      </c>
      <c r="I23" s="70">
        <f t="shared" ref="I23:I31" si="2">F3</f>
        <v>320000</v>
      </c>
      <c r="J23" s="71">
        <v>248092.75</v>
      </c>
      <c r="K23" s="72">
        <f t="shared" ref="K23:K31" si="3">1-ABS((I23-J23))/I23</f>
        <v>0.77528984374999999</v>
      </c>
      <c r="M23" s="48">
        <v>2</v>
      </c>
      <c r="N23" s="48" t="s">
        <v>14</v>
      </c>
      <c r="O23" s="82" t="s">
        <v>32</v>
      </c>
      <c r="P23" s="48">
        <v>45</v>
      </c>
    </row>
    <row r="24" spans="8:16" x14ac:dyDescent="0.25">
      <c r="H24" s="69">
        <v>3</v>
      </c>
      <c r="I24" s="70">
        <f t="shared" si="2"/>
        <v>450000</v>
      </c>
      <c r="J24" s="71">
        <v>411758.78</v>
      </c>
      <c r="K24" s="72">
        <f t="shared" si="3"/>
        <v>0.91501951111111113</v>
      </c>
      <c r="M24" s="48">
        <v>3</v>
      </c>
      <c r="N24" s="48" t="s">
        <v>195</v>
      </c>
      <c r="O24" s="82" t="s">
        <v>238</v>
      </c>
      <c r="P24" s="48">
        <v>53</v>
      </c>
    </row>
    <row r="25" spans="8:16" x14ac:dyDescent="0.25">
      <c r="H25" s="69">
        <v>4</v>
      </c>
      <c r="I25" s="70">
        <f t="shared" si="2"/>
        <v>320000</v>
      </c>
      <c r="J25" s="71">
        <v>321062.13</v>
      </c>
      <c r="K25" s="72">
        <f t="shared" si="3"/>
        <v>0.99668084374999999</v>
      </c>
      <c r="M25" s="48">
        <v>4</v>
      </c>
      <c r="N25" s="48" t="s">
        <v>128</v>
      </c>
      <c r="O25" s="82" t="s">
        <v>138</v>
      </c>
      <c r="P25" s="48">
        <v>51.2</v>
      </c>
    </row>
    <row r="26" spans="8:16" x14ac:dyDescent="0.25">
      <c r="H26" s="69">
        <v>5</v>
      </c>
      <c r="I26" s="70">
        <f t="shared" si="2"/>
        <v>250000</v>
      </c>
      <c r="J26" s="71">
        <v>209549.22</v>
      </c>
      <c r="K26" s="72">
        <f t="shared" si="3"/>
        <v>0.83819688000000003</v>
      </c>
      <c r="M26" s="48">
        <v>5</v>
      </c>
      <c r="N26" s="48" t="s">
        <v>378</v>
      </c>
      <c r="O26" s="48" t="s">
        <v>66</v>
      </c>
      <c r="P26" s="48">
        <v>45</v>
      </c>
    </row>
    <row r="27" spans="8:16" x14ac:dyDescent="0.25">
      <c r="H27" s="69">
        <v>6</v>
      </c>
      <c r="I27" s="70">
        <f t="shared" si="2"/>
        <v>180000</v>
      </c>
      <c r="J27" s="71">
        <v>176729.27</v>
      </c>
      <c r="K27" s="72">
        <f t="shared" si="3"/>
        <v>0.98182927777777773</v>
      </c>
      <c r="M27" s="48">
        <v>6</v>
      </c>
      <c r="N27" s="48" t="s">
        <v>187</v>
      </c>
      <c r="O27" s="48" t="s">
        <v>246</v>
      </c>
      <c r="P27" s="48">
        <v>45</v>
      </c>
    </row>
    <row r="28" spans="8:16" x14ac:dyDescent="0.25">
      <c r="H28" s="69">
        <v>7</v>
      </c>
      <c r="I28" s="70">
        <f t="shared" si="2"/>
        <v>200000</v>
      </c>
      <c r="J28" s="71">
        <v>236879.04</v>
      </c>
      <c r="K28" s="72">
        <f t="shared" si="3"/>
        <v>0.81560480000000002</v>
      </c>
      <c r="M28" s="48">
        <v>7</v>
      </c>
      <c r="N28" s="48" t="s">
        <v>45</v>
      </c>
      <c r="O28" s="82" t="s">
        <v>78</v>
      </c>
      <c r="P28" s="48">
        <v>49</v>
      </c>
    </row>
    <row r="29" spans="8:16" x14ac:dyDescent="0.25">
      <c r="H29" s="69">
        <v>8</v>
      </c>
      <c r="I29" s="70">
        <f t="shared" si="2"/>
        <v>600000</v>
      </c>
      <c r="J29" s="71">
        <v>554720.82999999996</v>
      </c>
      <c r="K29" s="72">
        <f t="shared" si="3"/>
        <v>0.92453471666666664</v>
      </c>
      <c r="M29" s="48">
        <v>8</v>
      </c>
      <c r="N29" s="48" t="s">
        <v>177</v>
      </c>
      <c r="O29" s="82">
        <v>575</v>
      </c>
      <c r="P29" s="48">
        <v>56</v>
      </c>
    </row>
    <row r="30" spans="8:16" x14ac:dyDescent="0.25">
      <c r="H30" s="69">
        <v>9</v>
      </c>
      <c r="I30" s="70">
        <f t="shared" si="2"/>
        <v>290000</v>
      </c>
      <c r="J30" s="71">
        <v>177995.05</v>
      </c>
      <c r="K30" s="72">
        <f t="shared" si="3"/>
        <v>0.61377603448275853</v>
      </c>
      <c r="M30" s="48">
        <v>9</v>
      </c>
      <c r="N30" s="53" t="s">
        <v>595</v>
      </c>
      <c r="O30" s="83" t="s">
        <v>596</v>
      </c>
      <c r="P30" s="53">
        <v>39.33</v>
      </c>
    </row>
    <row r="31" spans="8:16" ht="15.75" thickBot="1" x14ac:dyDescent="0.3">
      <c r="H31" s="73">
        <v>10</v>
      </c>
      <c r="I31" s="70">
        <f t="shared" si="2"/>
        <v>1200000</v>
      </c>
      <c r="J31" s="74">
        <v>749788.24</v>
      </c>
      <c r="K31" s="75">
        <f t="shared" si="3"/>
        <v>0.6248235333333334</v>
      </c>
      <c r="M31" s="48">
        <v>10</v>
      </c>
      <c r="N31" s="48" t="s">
        <v>177</v>
      </c>
      <c r="O31" s="82">
        <v>588</v>
      </c>
      <c r="P31" s="48">
        <v>56.5</v>
      </c>
    </row>
    <row r="32" spans="8:16" ht="15.75" thickBot="1" x14ac:dyDescent="0.3">
      <c r="H32" s="77" t="str">
        <f t="shared" ref="H32:J32" si="4">$O$21</f>
        <v>Variant</v>
      </c>
      <c r="I32" s="78"/>
      <c r="J32" s="79"/>
      <c r="K32" s="76">
        <f>SUM(K22:K31)/10</f>
        <v>0.84028483575383139</v>
      </c>
    </row>
  </sheetData>
  <mergeCells count="1">
    <mergeCell ref="H32:J3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146"/>
  <sheetViews>
    <sheetView zoomScale="85" zoomScaleNormal="85" workbookViewId="0">
      <selection activeCell="V24" sqref="V24"/>
    </sheetView>
  </sheetViews>
  <sheetFormatPr defaultColWidth="14.42578125" defaultRowHeight="15" x14ac:dyDescent="0.25"/>
  <cols>
    <col min="1" max="1" width="13.42578125" bestFit="1" customWidth="1"/>
    <col min="2" max="2" width="20.140625" bestFit="1" customWidth="1"/>
    <col min="3" max="3" width="8.7109375" style="17" bestFit="1" customWidth="1"/>
    <col min="4" max="4" width="11" customWidth="1"/>
    <col min="5" max="5" width="22.140625" bestFit="1" customWidth="1"/>
    <col min="6" max="6" width="11.140625" style="25" customWidth="1"/>
    <col min="7" max="7" width="8.140625" style="34" customWidth="1"/>
    <col min="8" max="26" width="9.7109375" customWidth="1"/>
  </cols>
  <sheetData>
    <row r="1" spans="1:21" s="11" customFormat="1" ht="30.75" x14ac:dyDescent="0.3">
      <c r="A1" s="9" t="s">
        <v>0</v>
      </c>
      <c r="B1" s="10" t="s">
        <v>501</v>
      </c>
      <c r="C1" s="18" t="s">
        <v>504</v>
      </c>
      <c r="D1" s="10" t="s">
        <v>502</v>
      </c>
      <c r="E1" s="10" t="s">
        <v>503</v>
      </c>
      <c r="F1" s="27" t="s">
        <v>505</v>
      </c>
      <c r="G1" s="33" t="s">
        <v>1</v>
      </c>
      <c r="H1" s="22" t="s">
        <v>581</v>
      </c>
      <c r="I1" s="29" t="s">
        <v>582</v>
      </c>
      <c r="J1" s="30" t="s">
        <v>583</v>
      </c>
      <c r="K1" s="30" t="s">
        <v>584</v>
      </c>
      <c r="L1" s="30" t="s">
        <v>585</v>
      </c>
      <c r="M1" s="30" t="s">
        <v>586</v>
      </c>
      <c r="N1" s="30" t="s">
        <v>587</v>
      </c>
      <c r="O1" s="38" t="s">
        <v>591</v>
      </c>
      <c r="P1" s="38" t="s">
        <v>592</v>
      </c>
      <c r="Q1" s="38" t="s">
        <v>593</v>
      </c>
      <c r="R1" s="38" t="s">
        <v>594</v>
      </c>
      <c r="S1" s="30" t="s">
        <v>589</v>
      </c>
      <c r="T1" s="30" t="s">
        <v>588</v>
      </c>
      <c r="U1" s="30" t="s">
        <v>590</v>
      </c>
    </row>
    <row r="2" spans="1:21" x14ac:dyDescent="0.25">
      <c r="A2" s="1" t="s">
        <v>397</v>
      </c>
      <c r="B2" s="2" t="s">
        <v>398</v>
      </c>
      <c r="C2" s="19">
        <v>40</v>
      </c>
      <c r="D2" s="3" t="s">
        <v>497</v>
      </c>
      <c r="E2" s="3" t="s">
        <v>392</v>
      </c>
      <c r="F2" s="23">
        <v>314361</v>
      </c>
      <c r="G2" s="35">
        <v>2016</v>
      </c>
      <c r="H2">
        <f>Table_8[[#This Row],[Listing Price (USD)]]/10000</f>
        <v>31.4361</v>
      </c>
      <c r="I2">
        <f>Table_8[[#This Row],[Length 
(ft)]]</f>
        <v>40</v>
      </c>
      <c r="J2" s="37">
        <f>2020-Table_8[[#This Row],[Year]]</f>
        <v>4</v>
      </c>
      <c r="K2">
        <v>1043414814.81481</v>
      </c>
      <c r="L2">
        <v>8437.5667322870595</v>
      </c>
      <c r="M2">
        <v>-0.74073259704550098</v>
      </c>
      <c r="N2">
        <v>-13.7559294530644</v>
      </c>
      <c r="O2" s="39">
        <v>38.979999999999997</v>
      </c>
      <c r="P2" s="39">
        <v>1134.52</v>
      </c>
      <c r="Q2" s="39">
        <v>106</v>
      </c>
      <c r="R2" s="39">
        <v>22.05</v>
      </c>
    </row>
    <row r="3" spans="1:21" x14ac:dyDescent="0.25">
      <c r="A3" s="1" t="s">
        <v>397</v>
      </c>
      <c r="B3" s="2" t="s">
        <v>398</v>
      </c>
      <c r="C3" s="19">
        <v>40</v>
      </c>
      <c r="D3" s="3" t="s">
        <v>496</v>
      </c>
      <c r="E3" s="4" t="s">
        <v>24</v>
      </c>
      <c r="F3" s="23">
        <v>316163</v>
      </c>
      <c r="G3" s="35">
        <v>2018</v>
      </c>
      <c r="H3">
        <f>Table_8[[#This Row],[Listing Price (USD)]]/10000</f>
        <v>31.616299999999999</v>
      </c>
      <c r="I3">
        <f>Table_8[[#This Row],[Length 
(ft)]]</f>
        <v>40</v>
      </c>
      <c r="J3" s="37">
        <f>2020-Table_8[[#This Row],[Year]]</f>
        <v>2</v>
      </c>
      <c r="K3">
        <v>1896755301518.1399</v>
      </c>
      <c r="L3">
        <v>31911.0357890017</v>
      </c>
      <c r="M3">
        <v>-0.13770757391656999</v>
      </c>
      <c r="N3">
        <v>-9.0399534112288507</v>
      </c>
      <c r="O3" s="39">
        <v>38.979999999999997</v>
      </c>
      <c r="P3" s="39">
        <v>1134.52</v>
      </c>
      <c r="Q3" s="39">
        <v>106</v>
      </c>
      <c r="R3" s="39">
        <v>22.05</v>
      </c>
    </row>
    <row r="4" spans="1:21" x14ac:dyDescent="0.25">
      <c r="A4" s="1" t="s">
        <v>397</v>
      </c>
      <c r="B4" s="2" t="s">
        <v>398</v>
      </c>
      <c r="C4" s="19">
        <v>40</v>
      </c>
      <c r="D4" s="3" t="s">
        <v>496</v>
      </c>
      <c r="E4" s="4" t="s">
        <v>18</v>
      </c>
      <c r="F4" s="23">
        <v>348995</v>
      </c>
      <c r="G4" s="35">
        <v>2016</v>
      </c>
      <c r="H4">
        <f>Table_8[[#This Row],[Listing Price (USD)]]/10000</f>
        <v>34.899500000000003</v>
      </c>
      <c r="I4">
        <f>Table_8[[#This Row],[Length 
(ft)]]</f>
        <v>40</v>
      </c>
      <c r="J4" s="37">
        <f>2020-Table_8[[#This Row],[Year]]</f>
        <v>4</v>
      </c>
      <c r="K4">
        <v>188925995936.80701</v>
      </c>
      <c r="L4">
        <v>17658.947301119199</v>
      </c>
      <c r="M4">
        <v>-1.2479835558140799</v>
      </c>
      <c r="N4">
        <v>-9.0040436420214593</v>
      </c>
      <c r="O4" s="39">
        <v>38.979999999999997</v>
      </c>
      <c r="P4" s="39">
        <v>1134.52</v>
      </c>
      <c r="Q4" s="39">
        <v>106</v>
      </c>
      <c r="R4" s="39">
        <v>22.05</v>
      </c>
    </row>
    <row r="5" spans="1:21" x14ac:dyDescent="0.25">
      <c r="A5" s="1" t="s">
        <v>397</v>
      </c>
      <c r="B5" s="2" t="s">
        <v>398</v>
      </c>
      <c r="C5" s="19">
        <v>40</v>
      </c>
      <c r="D5" s="3" t="s">
        <v>496</v>
      </c>
      <c r="E5" s="4" t="s">
        <v>18</v>
      </c>
      <c r="F5" s="23">
        <v>357702</v>
      </c>
      <c r="G5" s="35">
        <v>2016</v>
      </c>
      <c r="H5">
        <f>Table_8[[#This Row],[Listing Price (USD)]]/10000</f>
        <v>35.770200000000003</v>
      </c>
      <c r="I5">
        <f>Table_8[[#This Row],[Length 
(ft)]]</f>
        <v>40</v>
      </c>
      <c r="J5" s="37">
        <f>2020-Table_8[[#This Row],[Year]]</f>
        <v>4</v>
      </c>
      <c r="K5">
        <v>188925995936.80701</v>
      </c>
      <c r="L5">
        <v>17658.947301119199</v>
      </c>
      <c r="M5">
        <v>-1.2479835558140799</v>
      </c>
      <c r="N5">
        <v>-9.0040436420214593</v>
      </c>
      <c r="O5" s="39">
        <v>38.979999999999997</v>
      </c>
      <c r="P5" s="39">
        <v>1134.52</v>
      </c>
      <c r="Q5" s="39">
        <v>106</v>
      </c>
      <c r="R5" s="39">
        <v>22.05</v>
      </c>
    </row>
    <row r="6" spans="1:21" x14ac:dyDescent="0.25">
      <c r="A6" s="1" t="s">
        <v>397</v>
      </c>
      <c r="B6" s="2" t="s">
        <v>398</v>
      </c>
      <c r="C6" s="19">
        <v>40</v>
      </c>
      <c r="D6" s="3" t="s">
        <v>496</v>
      </c>
      <c r="E6" s="4" t="s">
        <v>18</v>
      </c>
      <c r="F6" s="23">
        <v>395204</v>
      </c>
      <c r="G6" s="35">
        <v>2016</v>
      </c>
      <c r="H6">
        <f>Table_8[[#This Row],[Listing Price (USD)]]/10000</f>
        <v>39.520400000000002</v>
      </c>
      <c r="I6">
        <f>Table_8[[#This Row],[Length 
(ft)]]</f>
        <v>40</v>
      </c>
      <c r="J6" s="37">
        <f>2020-Table_8[[#This Row],[Year]]</f>
        <v>4</v>
      </c>
      <c r="K6">
        <v>188925995936.80701</v>
      </c>
      <c r="L6">
        <v>17658.947301119199</v>
      </c>
      <c r="M6">
        <v>-1.2479835558140799</v>
      </c>
      <c r="N6">
        <v>-9.0040436420214593</v>
      </c>
      <c r="O6" s="39">
        <v>38.979999999999997</v>
      </c>
      <c r="P6" s="39">
        <v>1134.52</v>
      </c>
      <c r="Q6" s="39">
        <v>106</v>
      </c>
      <c r="R6" s="39">
        <v>22.05</v>
      </c>
    </row>
    <row r="7" spans="1:21" x14ac:dyDescent="0.25">
      <c r="A7" s="1" t="s">
        <v>397</v>
      </c>
      <c r="B7" s="2" t="s">
        <v>398</v>
      </c>
      <c r="C7" s="19">
        <v>40</v>
      </c>
      <c r="D7" s="3" t="s">
        <v>496</v>
      </c>
      <c r="E7" s="3" t="s">
        <v>3</v>
      </c>
      <c r="F7" s="23">
        <v>425144</v>
      </c>
      <c r="G7" s="35">
        <v>2015</v>
      </c>
      <c r="H7">
        <f>Table_8[[#This Row],[Listing Price (USD)]]/10000</f>
        <v>42.514400000000002</v>
      </c>
      <c r="I7">
        <f>Table_8[[#This Row],[Length 
(ft)]]</f>
        <v>40</v>
      </c>
      <c r="J7" s="37">
        <f>2020-Table_8[[#This Row],[Year]]</f>
        <v>5</v>
      </c>
      <c r="K7">
        <v>2639008701648.2598</v>
      </c>
      <c r="L7">
        <v>39055.282928075401</v>
      </c>
      <c r="M7">
        <v>0.47649885272508302</v>
      </c>
      <c r="N7">
        <v>-7.7845864916787102</v>
      </c>
      <c r="O7" s="39">
        <v>38.979999999999997</v>
      </c>
      <c r="P7" s="39">
        <v>1134.52</v>
      </c>
      <c r="Q7" s="39">
        <v>106</v>
      </c>
      <c r="R7" s="39">
        <v>22.05</v>
      </c>
    </row>
    <row r="8" spans="1:21" x14ac:dyDescent="0.25">
      <c r="A8" s="1" t="s">
        <v>397</v>
      </c>
      <c r="B8" s="2" t="s">
        <v>398</v>
      </c>
      <c r="C8" s="19">
        <v>40</v>
      </c>
      <c r="D8" s="3" t="s">
        <v>496</v>
      </c>
      <c r="E8" s="4" t="s">
        <v>3</v>
      </c>
      <c r="F8" s="23">
        <v>425604</v>
      </c>
      <c r="G8" s="35">
        <v>2015</v>
      </c>
      <c r="H8">
        <f>Table_8[[#This Row],[Listing Price (USD)]]/10000</f>
        <v>42.560400000000001</v>
      </c>
      <c r="I8">
        <f>Table_8[[#This Row],[Length 
(ft)]]</f>
        <v>40</v>
      </c>
      <c r="J8" s="37">
        <f>2020-Table_8[[#This Row],[Year]]</f>
        <v>5</v>
      </c>
      <c r="K8">
        <v>2639008701648.2598</v>
      </c>
      <c r="L8">
        <v>39055.282928075401</v>
      </c>
      <c r="M8">
        <v>0.47649885272508302</v>
      </c>
      <c r="N8">
        <v>-7.7845864916787102</v>
      </c>
      <c r="O8" s="39">
        <v>38.979999999999997</v>
      </c>
      <c r="P8" s="39">
        <v>1134.52</v>
      </c>
      <c r="Q8" s="39">
        <v>106</v>
      </c>
      <c r="R8" s="39">
        <v>22.05</v>
      </c>
    </row>
    <row r="9" spans="1:21" x14ac:dyDescent="0.25">
      <c r="A9" s="1" t="s">
        <v>397</v>
      </c>
      <c r="B9" s="2" t="s">
        <v>398</v>
      </c>
      <c r="C9" s="19">
        <v>40</v>
      </c>
      <c r="D9" s="3" t="s">
        <v>495</v>
      </c>
      <c r="E9" s="3" t="s">
        <v>333</v>
      </c>
      <c r="F9" s="23">
        <v>449000</v>
      </c>
      <c r="G9" s="35">
        <v>2018</v>
      </c>
      <c r="H9">
        <f>Table_8[[#This Row],[Listing Price (USD)]]/10000</f>
        <v>44.9</v>
      </c>
      <c r="I9">
        <f>Table_8[[#This Row],[Length 
(ft)]]</f>
        <v>40</v>
      </c>
      <c r="J9" s="37">
        <f>2020-Table_8[[#This Row],[Year]]</f>
        <v>2</v>
      </c>
      <c r="K9">
        <v>1106036000000</v>
      </c>
      <c r="L9">
        <v>51276.72</v>
      </c>
      <c r="M9">
        <v>1.23</v>
      </c>
      <c r="N9">
        <v>2.9</v>
      </c>
      <c r="O9" s="39">
        <v>38.979999999999997</v>
      </c>
      <c r="P9" s="39">
        <v>1134.52</v>
      </c>
      <c r="Q9" s="39">
        <v>106</v>
      </c>
      <c r="R9" s="39">
        <v>22.05</v>
      </c>
    </row>
    <row r="10" spans="1:21" x14ac:dyDescent="0.25">
      <c r="A10" s="1" t="s">
        <v>397</v>
      </c>
      <c r="B10" s="2">
        <v>4.0999999999999996</v>
      </c>
      <c r="C10" s="19">
        <v>41</v>
      </c>
      <c r="D10" s="3" t="s">
        <v>496</v>
      </c>
      <c r="E10" s="4" t="s">
        <v>18</v>
      </c>
      <c r="F10" s="23">
        <v>304103</v>
      </c>
      <c r="G10" s="35">
        <v>2019</v>
      </c>
      <c r="H10">
        <f>Table_8[[#This Row],[Listing Price (USD)]]/10000</f>
        <v>30.410299999999999</v>
      </c>
      <c r="I10">
        <f>Table_8[[#This Row],[Length 
(ft)]]</f>
        <v>41</v>
      </c>
      <c r="J10" s="37">
        <f>2020-Table_8[[#This Row],[Year]]</f>
        <v>1</v>
      </c>
      <c r="K10">
        <v>188925995936.80701</v>
      </c>
      <c r="L10">
        <v>17658.947301119199</v>
      </c>
      <c r="M10">
        <v>-1.2479835558140799</v>
      </c>
      <c r="N10">
        <v>-9.0040436420214593</v>
      </c>
      <c r="O10" s="39">
        <v>38.979999999999997</v>
      </c>
      <c r="P10" s="39">
        <v>1134.52</v>
      </c>
      <c r="Q10" s="39">
        <v>106</v>
      </c>
      <c r="R10" s="39">
        <v>22.05</v>
      </c>
    </row>
    <row r="11" spans="1:21" x14ac:dyDescent="0.25">
      <c r="A11" s="1" t="s">
        <v>397</v>
      </c>
      <c r="B11" s="2">
        <v>4.0999999999999996</v>
      </c>
      <c r="C11" s="19">
        <v>41</v>
      </c>
      <c r="D11" s="3" t="s">
        <v>496</v>
      </c>
      <c r="E11" s="4" t="s">
        <v>31</v>
      </c>
      <c r="F11" s="23">
        <v>387664</v>
      </c>
      <c r="G11" s="35">
        <v>2018</v>
      </c>
      <c r="H11">
        <f>Table_8[[#This Row],[Listing Price (USD)]]/10000</f>
        <v>38.766399999999997</v>
      </c>
      <c r="I11">
        <f>Table_8[[#This Row],[Length 
(ft)]]</f>
        <v>41</v>
      </c>
      <c r="J11" s="37">
        <f>2020-Table_8[[#This Row],[Year]]</f>
        <v>2</v>
      </c>
      <c r="K11">
        <v>57472012426.685303</v>
      </c>
      <c r="L11">
        <v>14198.753959474399</v>
      </c>
      <c r="M11">
        <v>0.15481137456202801</v>
      </c>
      <c r="N11">
        <v>-8.5803430210621805</v>
      </c>
      <c r="O11" s="39">
        <v>38.979999999999997</v>
      </c>
      <c r="P11" s="39">
        <v>1134.52</v>
      </c>
      <c r="Q11" s="39">
        <v>106</v>
      </c>
      <c r="R11" s="39">
        <v>22.05</v>
      </c>
    </row>
    <row r="12" spans="1:21" x14ac:dyDescent="0.25">
      <c r="A12" s="1" t="s">
        <v>397</v>
      </c>
      <c r="B12" s="2">
        <v>4.0999999999999996</v>
      </c>
      <c r="C12" s="19">
        <v>41</v>
      </c>
      <c r="D12" s="3" t="s">
        <v>496</v>
      </c>
      <c r="E12" s="4" t="s">
        <v>18</v>
      </c>
      <c r="F12" s="23">
        <v>388400</v>
      </c>
      <c r="G12" s="35">
        <v>2016</v>
      </c>
      <c r="H12">
        <f>Table_8[[#This Row],[Listing Price (USD)]]/10000</f>
        <v>38.840000000000003</v>
      </c>
      <c r="I12">
        <f>Table_8[[#This Row],[Length 
(ft)]]</f>
        <v>41</v>
      </c>
      <c r="J12" s="37">
        <f>2020-Table_8[[#This Row],[Year]]</f>
        <v>4</v>
      </c>
      <c r="K12">
        <v>188925995936.80701</v>
      </c>
      <c r="L12">
        <v>17658.947301119199</v>
      </c>
      <c r="M12">
        <v>-1.2479835558140799</v>
      </c>
      <c r="N12">
        <v>-9.0040436420214593</v>
      </c>
      <c r="O12" s="39">
        <v>38.979999999999997</v>
      </c>
      <c r="P12" s="39">
        <v>1134.52</v>
      </c>
      <c r="Q12" s="39">
        <v>106</v>
      </c>
      <c r="R12" s="39">
        <v>22.05</v>
      </c>
    </row>
    <row r="13" spans="1:21" x14ac:dyDescent="0.25">
      <c r="A13" s="1" t="s">
        <v>397</v>
      </c>
      <c r="B13" s="2">
        <v>4.0999999999999996</v>
      </c>
      <c r="C13" s="19">
        <v>41</v>
      </c>
      <c r="D13" s="3" t="s">
        <v>496</v>
      </c>
      <c r="E13" s="4" t="s">
        <v>18</v>
      </c>
      <c r="F13" s="23">
        <v>388650</v>
      </c>
      <c r="G13" s="35">
        <v>2016</v>
      </c>
      <c r="H13">
        <f>Table_8[[#This Row],[Listing Price (USD)]]/10000</f>
        <v>38.865000000000002</v>
      </c>
      <c r="I13">
        <f>Table_8[[#This Row],[Length 
(ft)]]</f>
        <v>41</v>
      </c>
      <c r="J13" s="37">
        <f>2020-Table_8[[#This Row],[Year]]</f>
        <v>4</v>
      </c>
      <c r="K13">
        <v>188925995936.80701</v>
      </c>
      <c r="L13">
        <v>17658.947301119199</v>
      </c>
      <c r="M13">
        <v>-1.2479835558140799</v>
      </c>
      <c r="N13">
        <v>-9.0040436420214593</v>
      </c>
      <c r="O13" s="39">
        <v>38.979999999999997</v>
      </c>
      <c r="P13" s="39">
        <v>1134.52</v>
      </c>
      <c r="Q13" s="39">
        <v>106</v>
      </c>
      <c r="R13" s="39">
        <v>22.05</v>
      </c>
    </row>
    <row r="14" spans="1:21" x14ac:dyDescent="0.25">
      <c r="A14" s="1" t="s">
        <v>397</v>
      </c>
      <c r="B14" s="2">
        <v>4.0999999999999996</v>
      </c>
      <c r="C14" s="19">
        <v>41</v>
      </c>
      <c r="D14" s="3" t="s">
        <v>496</v>
      </c>
      <c r="E14" s="4" t="s">
        <v>18</v>
      </c>
      <c r="F14" s="23">
        <v>406606</v>
      </c>
      <c r="G14" s="35">
        <v>2018</v>
      </c>
      <c r="H14">
        <f>Table_8[[#This Row],[Listing Price (USD)]]/10000</f>
        <v>40.660600000000002</v>
      </c>
      <c r="I14">
        <f>Table_8[[#This Row],[Length 
(ft)]]</f>
        <v>41</v>
      </c>
      <c r="J14" s="37">
        <f>2020-Table_8[[#This Row],[Year]]</f>
        <v>2</v>
      </c>
      <c r="K14">
        <v>188925995936.80701</v>
      </c>
      <c r="L14">
        <v>17658.947301119199</v>
      </c>
      <c r="M14">
        <v>-1.2479835558140799</v>
      </c>
      <c r="N14">
        <v>-9.0040436420214593</v>
      </c>
      <c r="O14" s="39">
        <v>38.979999999999997</v>
      </c>
      <c r="P14" s="39">
        <v>1134.52</v>
      </c>
      <c r="Q14" s="39">
        <v>106</v>
      </c>
      <c r="R14" s="39">
        <v>22.05</v>
      </c>
    </row>
    <row r="15" spans="1:21" x14ac:dyDescent="0.25">
      <c r="A15" s="1" t="s">
        <v>397</v>
      </c>
      <c r="B15" s="2">
        <v>4.0999999999999996</v>
      </c>
      <c r="C15" s="19">
        <v>41</v>
      </c>
      <c r="D15" s="3" t="s">
        <v>496</v>
      </c>
      <c r="E15" s="4" t="s">
        <v>31</v>
      </c>
      <c r="F15" s="23">
        <v>409066</v>
      </c>
      <c r="G15" s="35">
        <v>2019</v>
      </c>
      <c r="H15">
        <f>Table_8[[#This Row],[Listing Price (USD)]]/10000</f>
        <v>40.906599999999997</v>
      </c>
      <c r="I15">
        <f>Table_8[[#This Row],[Length 
(ft)]]</f>
        <v>41</v>
      </c>
      <c r="J15" s="37">
        <f>2020-Table_8[[#This Row],[Year]]</f>
        <v>1</v>
      </c>
      <c r="K15">
        <v>57472012426.685303</v>
      </c>
      <c r="L15">
        <v>14198.753959474399</v>
      </c>
      <c r="M15">
        <v>0.15481137456202801</v>
      </c>
      <c r="N15">
        <v>-8.5803430210621805</v>
      </c>
      <c r="O15" s="39">
        <v>38.979999999999997</v>
      </c>
      <c r="P15" s="39">
        <v>1134.52</v>
      </c>
      <c r="Q15" s="39">
        <v>106</v>
      </c>
      <c r="R15" s="39">
        <v>22.05</v>
      </c>
    </row>
    <row r="16" spans="1:21" x14ac:dyDescent="0.25">
      <c r="A16" s="1" t="s">
        <v>397</v>
      </c>
      <c r="B16" s="2">
        <v>4.0999999999999996</v>
      </c>
      <c r="C16" s="19">
        <v>41</v>
      </c>
      <c r="D16" s="3" t="s">
        <v>496</v>
      </c>
      <c r="E16" s="4" t="s">
        <v>9</v>
      </c>
      <c r="F16" s="23">
        <v>424393</v>
      </c>
      <c r="G16" s="35">
        <v>2018</v>
      </c>
      <c r="H16">
        <f>Table_8[[#This Row],[Listing Price (USD)]]/10000</f>
        <v>42.439300000000003</v>
      </c>
      <c r="I16">
        <f>Table_8[[#This Row],[Length 
(ft)]]</f>
        <v>41</v>
      </c>
      <c r="J16" s="37">
        <f>2020-Table_8[[#This Row],[Year]]</f>
        <v>2</v>
      </c>
      <c r="K16">
        <v>1276962685648.25</v>
      </c>
      <c r="L16">
        <v>26959.675436732599</v>
      </c>
      <c r="M16">
        <v>-0.32275301729970501</v>
      </c>
      <c r="N16">
        <v>-11.3254383222864</v>
      </c>
      <c r="O16" s="39">
        <v>38.979999999999997</v>
      </c>
      <c r="P16" s="39">
        <v>1134.52</v>
      </c>
      <c r="Q16" s="39">
        <v>106</v>
      </c>
      <c r="R16" s="39">
        <v>22.05</v>
      </c>
    </row>
    <row r="17" spans="1:18" x14ac:dyDescent="0.25">
      <c r="A17" s="1" t="s">
        <v>397</v>
      </c>
      <c r="B17" s="2">
        <v>4.0999999999999996</v>
      </c>
      <c r="C17" s="19">
        <v>41</v>
      </c>
      <c r="D17" s="3" t="s">
        <v>496</v>
      </c>
      <c r="E17" s="4" t="s">
        <v>31</v>
      </c>
      <c r="F17" s="23">
        <v>461585</v>
      </c>
      <c r="G17" s="35">
        <v>2019</v>
      </c>
      <c r="H17">
        <f>Table_8[[#This Row],[Listing Price (USD)]]/10000</f>
        <v>46.158499999999997</v>
      </c>
      <c r="I17">
        <f>Table_8[[#This Row],[Length 
(ft)]]</f>
        <v>41</v>
      </c>
      <c r="J17" s="37">
        <f>2020-Table_8[[#This Row],[Year]]</f>
        <v>1</v>
      </c>
      <c r="K17">
        <v>57472012426.685303</v>
      </c>
      <c r="L17">
        <v>14198.753959474399</v>
      </c>
      <c r="M17">
        <v>0.15481137456202801</v>
      </c>
      <c r="N17">
        <v>-8.5803430210621805</v>
      </c>
      <c r="O17" s="39">
        <v>38.979999999999997</v>
      </c>
      <c r="P17" s="39">
        <v>1134.52</v>
      </c>
      <c r="Q17" s="39">
        <v>106</v>
      </c>
      <c r="R17" s="39">
        <v>22.05</v>
      </c>
    </row>
    <row r="18" spans="1:18" x14ac:dyDescent="0.25">
      <c r="A18" s="1" t="s">
        <v>397</v>
      </c>
      <c r="B18" s="2">
        <v>4.0999999999999996</v>
      </c>
      <c r="C18" s="19">
        <v>41</v>
      </c>
      <c r="D18" s="3" t="s">
        <v>496</v>
      </c>
      <c r="E18" s="4" t="s">
        <v>31</v>
      </c>
      <c r="F18" s="23">
        <v>462084</v>
      </c>
      <c r="G18" s="35">
        <v>2019</v>
      </c>
      <c r="H18">
        <f>Table_8[[#This Row],[Listing Price (USD)]]/10000</f>
        <v>46.208399999999997</v>
      </c>
      <c r="I18">
        <f>Table_8[[#This Row],[Length 
(ft)]]</f>
        <v>41</v>
      </c>
      <c r="J18" s="37">
        <f>2020-Table_8[[#This Row],[Year]]</f>
        <v>1</v>
      </c>
      <c r="K18">
        <v>57472012426.685303</v>
      </c>
      <c r="L18">
        <v>14198.753959474399</v>
      </c>
      <c r="M18">
        <v>0.15481137456202801</v>
      </c>
      <c r="N18">
        <v>-8.5803430210621805</v>
      </c>
      <c r="O18" s="39">
        <v>38.979999999999997</v>
      </c>
      <c r="P18" s="39">
        <v>1134.52</v>
      </c>
      <c r="Q18" s="39">
        <v>106</v>
      </c>
      <c r="R18" s="39">
        <v>22.05</v>
      </c>
    </row>
    <row r="19" spans="1:18" x14ac:dyDescent="0.25">
      <c r="A19" s="1" t="s">
        <v>397</v>
      </c>
      <c r="B19" s="2">
        <v>4.0999999999999996</v>
      </c>
      <c r="C19" s="19">
        <v>41</v>
      </c>
      <c r="D19" s="3" t="s">
        <v>496</v>
      </c>
      <c r="E19" s="4" t="s">
        <v>31</v>
      </c>
      <c r="F19" s="23">
        <v>480324</v>
      </c>
      <c r="G19" s="35">
        <v>2019</v>
      </c>
      <c r="H19">
        <f>Table_8[[#This Row],[Listing Price (USD)]]/10000</f>
        <v>48.032400000000003</v>
      </c>
      <c r="I19">
        <f>Table_8[[#This Row],[Length 
(ft)]]</f>
        <v>41</v>
      </c>
      <c r="J19" s="37">
        <f>2020-Table_8[[#This Row],[Year]]</f>
        <v>1</v>
      </c>
      <c r="K19">
        <v>57472012426.685303</v>
      </c>
      <c r="L19">
        <v>14198.753959474399</v>
      </c>
      <c r="M19">
        <v>0.15481137456202801</v>
      </c>
      <c r="N19">
        <v>-8.5803430210621805</v>
      </c>
      <c r="O19" s="39">
        <v>38.979999999999997</v>
      </c>
      <c r="P19" s="39">
        <v>1134.52</v>
      </c>
      <c r="Q19" s="39">
        <v>106</v>
      </c>
      <c r="R19" s="39">
        <v>22.05</v>
      </c>
    </row>
    <row r="20" spans="1:18" x14ac:dyDescent="0.25">
      <c r="A20" s="1" t="s">
        <v>397</v>
      </c>
      <c r="B20" s="2">
        <v>4.0999999999999996</v>
      </c>
      <c r="C20" s="19">
        <v>41</v>
      </c>
      <c r="D20" s="3" t="s">
        <v>496</v>
      </c>
      <c r="E20" s="4" t="s">
        <v>3</v>
      </c>
      <c r="F20" s="23">
        <v>483808</v>
      </c>
      <c r="G20" s="35">
        <v>2019</v>
      </c>
      <c r="H20">
        <f>Table_8[[#This Row],[Listing Price (USD)]]/10000</f>
        <v>48.380800000000001</v>
      </c>
      <c r="I20">
        <f>Table_8[[#This Row],[Length 
(ft)]]</f>
        <v>41</v>
      </c>
      <c r="J20" s="37">
        <f>2020-Table_8[[#This Row],[Year]]</f>
        <v>1</v>
      </c>
      <c r="K20">
        <v>2639008701648.2598</v>
      </c>
      <c r="L20">
        <v>39055.282928075401</v>
      </c>
      <c r="M20">
        <v>0.47649885272508302</v>
      </c>
      <c r="N20">
        <v>-7.7845864916787102</v>
      </c>
      <c r="O20" s="39">
        <v>38.979999999999997</v>
      </c>
      <c r="P20" s="39">
        <v>1134.52</v>
      </c>
      <c r="Q20" s="39">
        <v>106</v>
      </c>
      <c r="R20" s="39">
        <v>22.05</v>
      </c>
    </row>
    <row r="21" spans="1:18" x14ac:dyDescent="0.25">
      <c r="A21" s="1" t="s">
        <v>397</v>
      </c>
      <c r="B21" s="2">
        <v>4.0999999999999996</v>
      </c>
      <c r="C21" s="19">
        <v>41</v>
      </c>
      <c r="D21" s="3" t="s">
        <v>496</v>
      </c>
      <c r="E21" s="4" t="s">
        <v>3</v>
      </c>
      <c r="F21" s="23">
        <v>484598</v>
      </c>
      <c r="G21" s="35">
        <v>2019</v>
      </c>
      <c r="H21">
        <f>Table_8[[#This Row],[Listing Price (USD)]]/10000</f>
        <v>48.459800000000001</v>
      </c>
      <c r="I21">
        <f>Table_8[[#This Row],[Length 
(ft)]]</f>
        <v>41</v>
      </c>
      <c r="J21" s="37">
        <f>2020-Table_8[[#This Row],[Year]]</f>
        <v>1</v>
      </c>
      <c r="K21">
        <v>2639008701648.2598</v>
      </c>
      <c r="L21">
        <v>39055.282928075401</v>
      </c>
      <c r="M21">
        <v>0.47649885272508302</v>
      </c>
      <c r="N21">
        <v>-7.7845864916787102</v>
      </c>
      <c r="O21" s="39">
        <v>38.979999999999997</v>
      </c>
      <c r="P21" s="39">
        <v>1134.52</v>
      </c>
      <c r="Q21" s="39">
        <v>106</v>
      </c>
      <c r="R21" s="39">
        <v>22.05</v>
      </c>
    </row>
    <row r="22" spans="1:18" x14ac:dyDescent="0.25">
      <c r="A22" s="1" t="s">
        <v>397</v>
      </c>
      <c r="B22" s="2">
        <v>4.0999999999999996</v>
      </c>
      <c r="C22" s="19">
        <v>41</v>
      </c>
      <c r="D22" s="3" t="s">
        <v>496</v>
      </c>
      <c r="E22" s="4" t="s">
        <v>24</v>
      </c>
      <c r="F22" s="23">
        <v>497146</v>
      </c>
      <c r="G22" s="35">
        <v>2018</v>
      </c>
      <c r="H22">
        <f>Table_8[[#This Row],[Listing Price (USD)]]/10000</f>
        <v>49.714599999999997</v>
      </c>
      <c r="I22">
        <f>Table_8[[#This Row],[Length 
(ft)]]</f>
        <v>41</v>
      </c>
      <c r="J22" s="37">
        <f>2020-Table_8[[#This Row],[Year]]</f>
        <v>2</v>
      </c>
      <c r="K22">
        <v>1896755301518.1399</v>
      </c>
      <c r="L22">
        <v>31911.0357890017</v>
      </c>
      <c r="M22">
        <v>-0.13770757391656999</v>
      </c>
      <c r="N22">
        <v>-9.0399534112288507</v>
      </c>
      <c r="O22" s="39">
        <v>38.979999999999997</v>
      </c>
      <c r="P22" s="39">
        <v>1134.52</v>
      </c>
      <c r="Q22" s="39">
        <v>106</v>
      </c>
      <c r="R22" s="39">
        <v>22.05</v>
      </c>
    </row>
    <row r="23" spans="1:18" x14ac:dyDescent="0.25">
      <c r="A23" s="1" t="s">
        <v>397</v>
      </c>
      <c r="B23" s="2">
        <v>4.0999999999999996</v>
      </c>
      <c r="C23" s="19">
        <v>41</v>
      </c>
      <c r="D23" s="3" t="s">
        <v>496</v>
      </c>
      <c r="E23" s="4" t="s">
        <v>24</v>
      </c>
      <c r="F23" s="23">
        <v>497958</v>
      </c>
      <c r="G23" s="35">
        <v>2018</v>
      </c>
      <c r="H23">
        <f>Table_8[[#This Row],[Listing Price (USD)]]/10000</f>
        <v>49.7958</v>
      </c>
      <c r="I23">
        <f>Table_8[[#This Row],[Length 
(ft)]]</f>
        <v>41</v>
      </c>
      <c r="J23" s="37">
        <f>2020-Table_8[[#This Row],[Year]]</f>
        <v>2</v>
      </c>
      <c r="K23">
        <v>1896755301518.1399</v>
      </c>
      <c r="L23">
        <v>31911.0357890017</v>
      </c>
      <c r="M23">
        <v>-0.13770757391656999</v>
      </c>
      <c r="N23">
        <v>-9.0399534112288507</v>
      </c>
      <c r="O23" s="39">
        <v>38.979999999999997</v>
      </c>
      <c r="P23" s="39">
        <v>1134.52</v>
      </c>
      <c r="Q23" s="39">
        <v>106</v>
      </c>
      <c r="R23" s="39">
        <v>22.05</v>
      </c>
    </row>
    <row r="24" spans="1:18" x14ac:dyDescent="0.25">
      <c r="A24" s="1" t="s">
        <v>397</v>
      </c>
      <c r="B24" s="2">
        <v>4.0999999999999996</v>
      </c>
      <c r="C24" s="19">
        <v>41</v>
      </c>
      <c r="D24" s="3" t="s">
        <v>496</v>
      </c>
      <c r="E24" s="4" t="s">
        <v>24</v>
      </c>
      <c r="F24" s="23">
        <v>509271</v>
      </c>
      <c r="G24" s="35">
        <v>2019</v>
      </c>
      <c r="H24">
        <f>Table_8[[#This Row],[Listing Price (USD)]]/10000</f>
        <v>50.927100000000003</v>
      </c>
      <c r="I24">
        <f>Table_8[[#This Row],[Length 
(ft)]]</f>
        <v>41</v>
      </c>
      <c r="J24" s="37">
        <f>2020-Table_8[[#This Row],[Year]]</f>
        <v>1</v>
      </c>
      <c r="K24">
        <v>1896755301518.1399</v>
      </c>
      <c r="L24">
        <v>31911.0357890017</v>
      </c>
      <c r="M24">
        <v>-0.13770757391656999</v>
      </c>
      <c r="N24">
        <v>-9.0399534112288507</v>
      </c>
      <c r="O24" s="39">
        <v>38.979999999999997</v>
      </c>
      <c r="P24" s="39">
        <v>1134.52</v>
      </c>
      <c r="Q24" s="39">
        <v>106</v>
      </c>
      <c r="R24" s="39">
        <v>22.05</v>
      </c>
    </row>
    <row r="25" spans="1:18" x14ac:dyDescent="0.25">
      <c r="A25" s="1" t="s">
        <v>397</v>
      </c>
      <c r="B25" s="2">
        <v>4.0999999999999996</v>
      </c>
      <c r="C25" s="19">
        <v>41</v>
      </c>
      <c r="D25" s="3" t="s">
        <v>496</v>
      </c>
      <c r="E25" s="4" t="s">
        <v>24</v>
      </c>
      <c r="F25" s="23">
        <v>510103</v>
      </c>
      <c r="G25" s="35">
        <v>2019</v>
      </c>
      <c r="H25">
        <f>Table_8[[#This Row],[Listing Price (USD)]]/10000</f>
        <v>51.010300000000001</v>
      </c>
      <c r="I25">
        <f>Table_8[[#This Row],[Length 
(ft)]]</f>
        <v>41</v>
      </c>
      <c r="J25" s="37">
        <f>2020-Table_8[[#This Row],[Year]]</f>
        <v>1</v>
      </c>
      <c r="K25">
        <v>1896755301518.1399</v>
      </c>
      <c r="L25">
        <v>31911.0357890017</v>
      </c>
      <c r="M25">
        <v>-0.13770757391656999</v>
      </c>
      <c r="N25">
        <v>-9.0399534112288507</v>
      </c>
      <c r="O25" s="39">
        <v>38.979999999999997</v>
      </c>
      <c r="P25" s="39">
        <v>1134.52</v>
      </c>
      <c r="Q25" s="39">
        <v>106</v>
      </c>
      <c r="R25" s="39">
        <v>22.05</v>
      </c>
    </row>
    <row r="26" spans="1:18" x14ac:dyDescent="0.25">
      <c r="A26" s="1" t="s">
        <v>397</v>
      </c>
      <c r="B26" s="2" t="s">
        <v>473</v>
      </c>
      <c r="C26" s="19">
        <v>43</v>
      </c>
      <c r="D26" s="3" t="s">
        <v>497</v>
      </c>
      <c r="E26" s="3" t="s">
        <v>559</v>
      </c>
      <c r="F26" s="23">
        <v>415000</v>
      </c>
      <c r="G26" s="35">
        <v>2016</v>
      </c>
      <c r="H26">
        <f>Table_8[[#This Row],[Listing Price (USD)]]/10000</f>
        <v>41.5</v>
      </c>
      <c r="I26">
        <f>Table_8[[#This Row],[Length 
(ft)]]</f>
        <v>43</v>
      </c>
      <c r="J26" s="37">
        <f>2020-Table_8[[#This Row],[Year]]</f>
        <v>4</v>
      </c>
      <c r="K26">
        <v>681973374534.10596</v>
      </c>
      <c r="L26">
        <v>27575.495000325591</v>
      </c>
      <c r="M26">
        <v>0.8848420113691905</v>
      </c>
      <c r="N26">
        <v>-6.3525291034127971</v>
      </c>
      <c r="O26" s="39">
        <v>41.34</v>
      </c>
      <c r="P26" s="39">
        <v>1010.002</v>
      </c>
      <c r="Q26" s="39">
        <v>211</v>
      </c>
      <c r="R26" s="39">
        <v>23.36</v>
      </c>
    </row>
    <row r="27" spans="1:18" x14ac:dyDescent="0.25">
      <c r="A27" s="1" t="s">
        <v>397</v>
      </c>
      <c r="B27" s="2">
        <v>4.3</v>
      </c>
      <c r="C27" s="19">
        <v>43</v>
      </c>
      <c r="D27" s="3" t="s">
        <v>495</v>
      </c>
      <c r="E27" s="3" t="s">
        <v>333</v>
      </c>
      <c r="F27" s="23">
        <v>449000</v>
      </c>
      <c r="G27" s="35">
        <v>2015</v>
      </c>
      <c r="H27">
        <f>Table_8[[#This Row],[Listing Price (USD)]]/10000</f>
        <v>44.9</v>
      </c>
      <c r="I27">
        <f>Table_8[[#This Row],[Length 
(ft)]]</f>
        <v>43</v>
      </c>
      <c r="J27" s="37">
        <f>2020-Table_8[[#This Row],[Year]]</f>
        <v>5</v>
      </c>
      <c r="K27">
        <v>1106036000000</v>
      </c>
      <c r="L27">
        <v>51276.72</v>
      </c>
      <c r="M27">
        <v>1.23</v>
      </c>
      <c r="N27">
        <v>2.9</v>
      </c>
      <c r="O27" s="39">
        <v>41.34</v>
      </c>
      <c r="P27" s="39">
        <v>1010.002</v>
      </c>
      <c r="Q27" s="39">
        <v>211</v>
      </c>
      <c r="R27" s="39">
        <v>23.36</v>
      </c>
    </row>
    <row r="28" spans="1:18" x14ac:dyDescent="0.25">
      <c r="A28" s="1" t="s">
        <v>397</v>
      </c>
      <c r="B28" s="2">
        <v>4.3</v>
      </c>
      <c r="C28" s="19">
        <v>43</v>
      </c>
      <c r="D28" s="3" t="s">
        <v>496</v>
      </c>
      <c r="E28" s="4" t="s">
        <v>18</v>
      </c>
      <c r="F28" s="23">
        <v>449087</v>
      </c>
      <c r="G28" s="35">
        <v>2017</v>
      </c>
      <c r="H28">
        <f>Table_8[[#This Row],[Listing Price (USD)]]/10000</f>
        <v>44.908700000000003</v>
      </c>
      <c r="I28">
        <f>Table_8[[#This Row],[Length 
(ft)]]</f>
        <v>43</v>
      </c>
      <c r="J28" s="37">
        <f>2020-Table_8[[#This Row],[Year]]</f>
        <v>3</v>
      </c>
      <c r="K28">
        <v>188925995936.80701</v>
      </c>
      <c r="L28">
        <v>17658.947301119199</v>
      </c>
      <c r="M28">
        <v>-1.2479835558140799</v>
      </c>
      <c r="N28">
        <v>-9.0040436420214593</v>
      </c>
      <c r="O28" s="39">
        <v>41.34</v>
      </c>
      <c r="P28" s="39">
        <v>1010.002</v>
      </c>
      <c r="Q28" s="39">
        <v>211</v>
      </c>
      <c r="R28" s="39">
        <v>23.36</v>
      </c>
    </row>
    <row r="29" spans="1:18" x14ac:dyDescent="0.25">
      <c r="A29" s="1" t="s">
        <v>397</v>
      </c>
      <c r="B29" s="2">
        <v>4.3</v>
      </c>
      <c r="C29" s="19">
        <v>42</v>
      </c>
      <c r="D29" s="3" t="s">
        <v>496</v>
      </c>
      <c r="E29" s="4" t="s">
        <v>18</v>
      </c>
      <c r="F29" s="23">
        <v>452325</v>
      </c>
      <c r="G29" s="35">
        <v>2017</v>
      </c>
      <c r="H29">
        <f>Table_8[[#This Row],[Listing Price (USD)]]/10000</f>
        <v>45.232500000000002</v>
      </c>
      <c r="I29">
        <f>Table_8[[#This Row],[Length 
(ft)]]</f>
        <v>42</v>
      </c>
      <c r="J29" s="37">
        <f>2020-Table_8[[#This Row],[Year]]</f>
        <v>3</v>
      </c>
      <c r="K29">
        <v>188925995936.80701</v>
      </c>
      <c r="L29">
        <v>17658.947301119199</v>
      </c>
      <c r="M29">
        <v>-1.2479835558140799</v>
      </c>
      <c r="N29">
        <v>-9.0040436420214593</v>
      </c>
      <c r="O29" s="39">
        <v>41.34</v>
      </c>
      <c r="P29" s="39">
        <v>1010.002</v>
      </c>
      <c r="Q29" s="39">
        <v>211</v>
      </c>
      <c r="R29" s="39">
        <v>23.36</v>
      </c>
    </row>
    <row r="30" spans="1:18" x14ac:dyDescent="0.25">
      <c r="A30" s="1" t="s">
        <v>397</v>
      </c>
      <c r="B30" s="2">
        <v>4.3</v>
      </c>
      <c r="C30" s="19">
        <v>43</v>
      </c>
      <c r="D30" s="3" t="s">
        <v>496</v>
      </c>
      <c r="E30" s="4" t="s">
        <v>9</v>
      </c>
      <c r="F30" s="23">
        <v>455449</v>
      </c>
      <c r="G30" s="35">
        <v>2015</v>
      </c>
      <c r="H30">
        <f>Table_8[[#This Row],[Listing Price (USD)]]/10000</f>
        <v>45.544899999999998</v>
      </c>
      <c r="I30">
        <f>Table_8[[#This Row],[Length 
(ft)]]</f>
        <v>43</v>
      </c>
      <c r="J30" s="37">
        <f>2020-Table_8[[#This Row],[Year]]</f>
        <v>5</v>
      </c>
      <c r="K30">
        <v>1276962685648.25</v>
      </c>
      <c r="L30">
        <v>26959.675436732599</v>
      </c>
      <c r="M30">
        <v>-0.32275301729970501</v>
      </c>
      <c r="N30">
        <v>-11.3254383222864</v>
      </c>
      <c r="O30" s="39">
        <v>41.34</v>
      </c>
      <c r="P30" s="39">
        <v>1010.002</v>
      </c>
      <c r="Q30" s="39">
        <v>211</v>
      </c>
      <c r="R30" s="39">
        <v>23.36</v>
      </c>
    </row>
    <row r="31" spans="1:18" x14ac:dyDescent="0.25">
      <c r="A31" s="1" t="s">
        <v>397</v>
      </c>
      <c r="B31" s="2">
        <v>4.3</v>
      </c>
      <c r="C31" s="19">
        <v>42</v>
      </c>
      <c r="D31" s="3" t="s">
        <v>496</v>
      </c>
      <c r="E31" s="4" t="s">
        <v>9</v>
      </c>
      <c r="F31" s="23">
        <v>455973</v>
      </c>
      <c r="G31" s="35">
        <v>2015</v>
      </c>
      <c r="H31">
        <f>Table_8[[#This Row],[Listing Price (USD)]]/10000</f>
        <v>45.597299999999997</v>
      </c>
      <c r="I31">
        <f>Table_8[[#This Row],[Length 
(ft)]]</f>
        <v>42</v>
      </c>
      <c r="J31" s="37">
        <f>2020-Table_8[[#This Row],[Year]]</f>
        <v>5</v>
      </c>
      <c r="K31">
        <v>1276962685648.25</v>
      </c>
      <c r="L31">
        <v>26959.675436732599</v>
      </c>
      <c r="M31">
        <v>-0.32275301729970501</v>
      </c>
      <c r="N31">
        <v>-11.3254383222864</v>
      </c>
      <c r="O31" s="39">
        <v>41.34</v>
      </c>
      <c r="P31" s="39">
        <v>1010.002</v>
      </c>
      <c r="Q31" s="39">
        <v>211</v>
      </c>
      <c r="R31" s="39">
        <v>23.36</v>
      </c>
    </row>
    <row r="32" spans="1:18" x14ac:dyDescent="0.25">
      <c r="A32" s="1" t="s">
        <v>397</v>
      </c>
      <c r="B32" s="2">
        <v>4.3</v>
      </c>
      <c r="C32" s="19">
        <v>42</v>
      </c>
      <c r="D32" s="3" t="s">
        <v>496</v>
      </c>
      <c r="E32" s="4" t="s">
        <v>18</v>
      </c>
      <c r="F32" s="23">
        <v>462052</v>
      </c>
      <c r="G32" s="35">
        <v>2016</v>
      </c>
      <c r="H32">
        <f>Table_8[[#This Row],[Listing Price (USD)]]/10000</f>
        <v>46.205199999999998</v>
      </c>
      <c r="I32">
        <f>Table_8[[#This Row],[Length 
(ft)]]</f>
        <v>42</v>
      </c>
      <c r="J32" s="37">
        <f>2020-Table_8[[#This Row],[Year]]</f>
        <v>4</v>
      </c>
      <c r="K32">
        <v>188925995936.80701</v>
      </c>
      <c r="L32">
        <v>17658.947301119199</v>
      </c>
      <c r="M32">
        <v>-1.2479835558140799</v>
      </c>
      <c r="N32">
        <v>-9.0040436420214593</v>
      </c>
      <c r="O32" s="39">
        <v>41.34</v>
      </c>
      <c r="P32" s="39">
        <v>1010.002</v>
      </c>
      <c r="Q32" s="39">
        <v>211</v>
      </c>
      <c r="R32" s="39">
        <v>23.36</v>
      </c>
    </row>
    <row r="33" spans="1:18" x14ac:dyDescent="0.25">
      <c r="A33" s="1" t="s">
        <v>397</v>
      </c>
      <c r="B33" s="2">
        <v>4.3</v>
      </c>
      <c r="C33" s="19">
        <v>43</v>
      </c>
      <c r="D33" s="3" t="s">
        <v>496</v>
      </c>
      <c r="E33" s="4" t="s">
        <v>18</v>
      </c>
      <c r="F33" s="23">
        <v>480291</v>
      </c>
      <c r="G33" s="35">
        <v>2016</v>
      </c>
      <c r="H33">
        <f>Table_8[[#This Row],[Listing Price (USD)]]/10000</f>
        <v>48.0291</v>
      </c>
      <c r="I33">
        <f>Table_8[[#This Row],[Length 
(ft)]]</f>
        <v>43</v>
      </c>
      <c r="J33" s="37">
        <f>2020-Table_8[[#This Row],[Year]]</f>
        <v>4</v>
      </c>
      <c r="K33">
        <v>188925995936.80701</v>
      </c>
      <c r="L33">
        <v>17658.947301119199</v>
      </c>
      <c r="M33">
        <v>-1.2479835558140799</v>
      </c>
      <c r="N33">
        <v>-9.0040436420214593</v>
      </c>
      <c r="O33" s="39">
        <v>41.34</v>
      </c>
      <c r="P33" s="39">
        <v>1010.002</v>
      </c>
      <c r="Q33" s="39">
        <v>211</v>
      </c>
      <c r="R33" s="39">
        <v>23.36</v>
      </c>
    </row>
    <row r="34" spans="1:18" x14ac:dyDescent="0.25">
      <c r="A34" s="1" t="s">
        <v>397</v>
      </c>
      <c r="B34" s="2">
        <v>4.3</v>
      </c>
      <c r="C34" s="19">
        <v>43</v>
      </c>
      <c r="D34" s="3" t="s">
        <v>496</v>
      </c>
      <c r="E34" s="4" t="s">
        <v>9</v>
      </c>
      <c r="F34" s="23">
        <v>485155</v>
      </c>
      <c r="G34" s="35">
        <v>2016</v>
      </c>
      <c r="H34">
        <f>Table_8[[#This Row],[Listing Price (USD)]]/10000</f>
        <v>48.515500000000003</v>
      </c>
      <c r="I34">
        <f>Table_8[[#This Row],[Length 
(ft)]]</f>
        <v>43</v>
      </c>
      <c r="J34" s="37">
        <f>2020-Table_8[[#This Row],[Year]]</f>
        <v>4</v>
      </c>
      <c r="K34">
        <v>1276962685648.25</v>
      </c>
      <c r="L34">
        <v>26959.675436732599</v>
      </c>
      <c r="M34">
        <v>-0.32275301729970501</v>
      </c>
      <c r="N34">
        <v>-11.3254383222864</v>
      </c>
      <c r="O34" s="39">
        <v>41.34</v>
      </c>
      <c r="P34" s="39">
        <v>1010.002</v>
      </c>
      <c r="Q34" s="39">
        <v>211</v>
      </c>
      <c r="R34" s="39">
        <v>23.36</v>
      </c>
    </row>
    <row r="35" spans="1:18" x14ac:dyDescent="0.25">
      <c r="A35" s="1" t="s">
        <v>397</v>
      </c>
      <c r="B35" s="2">
        <v>4.3</v>
      </c>
      <c r="C35" s="19">
        <v>43</v>
      </c>
      <c r="D35" s="3" t="s">
        <v>496</v>
      </c>
      <c r="E35" s="4" t="s">
        <v>63</v>
      </c>
      <c r="F35" s="23">
        <v>519000</v>
      </c>
      <c r="G35" s="35">
        <v>2015</v>
      </c>
      <c r="H35">
        <f>Table_8[[#This Row],[Listing Price (USD)]]/10000</f>
        <v>51.9</v>
      </c>
      <c r="I35">
        <f>Table_8[[#This Row],[Length 
(ft)]]</f>
        <v>43</v>
      </c>
      <c r="J35" s="37">
        <f>2020-Table_8[[#This Row],[Year]]</f>
        <v>5</v>
      </c>
      <c r="K35">
        <v>720290000000</v>
      </c>
      <c r="L35">
        <v>13341.6</v>
      </c>
      <c r="M35">
        <v>13</v>
      </c>
      <c r="N35">
        <v>-3</v>
      </c>
      <c r="O35" s="39">
        <v>41.34</v>
      </c>
      <c r="P35" s="39">
        <v>1010.002</v>
      </c>
      <c r="Q35" s="39">
        <v>211</v>
      </c>
      <c r="R35" s="39">
        <v>23.36</v>
      </c>
    </row>
    <row r="36" spans="1:18" x14ac:dyDescent="0.25">
      <c r="A36" s="1" t="s">
        <v>397</v>
      </c>
      <c r="B36" s="2">
        <v>4.3</v>
      </c>
      <c r="C36" s="19">
        <v>43</v>
      </c>
      <c r="D36" s="3" t="s">
        <v>496</v>
      </c>
      <c r="E36" s="4" t="s">
        <v>18</v>
      </c>
      <c r="F36" s="23">
        <v>521912</v>
      </c>
      <c r="G36" s="35">
        <v>2019</v>
      </c>
      <c r="H36">
        <f>Table_8[[#This Row],[Listing Price (USD)]]/10000</f>
        <v>52.191200000000002</v>
      </c>
      <c r="I36">
        <f>Table_8[[#This Row],[Length 
(ft)]]</f>
        <v>43</v>
      </c>
      <c r="J36" s="37">
        <f>2020-Table_8[[#This Row],[Year]]</f>
        <v>1</v>
      </c>
      <c r="K36">
        <v>188925995936.80701</v>
      </c>
      <c r="L36">
        <v>17658.947301119199</v>
      </c>
      <c r="M36">
        <v>-1.2479835558140799</v>
      </c>
      <c r="N36">
        <v>-9.0040436420214593</v>
      </c>
      <c r="O36" s="39">
        <v>41.34</v>
      </c>
      <c r="P36" s="39">
        <v>1010.002</v>
      </c>
      <c r="Q36" s="39">
        <v>211</v>
      </c>
      <c r="R36" s="39">
        <v>23.36</v>
      </c>
    </row>
    <row r="37" spans="1:18" x14ac:dyDescent="0.25">
      <c r="A37" s="1" t="s">
        <v>397</v>
      </c>
      <c r="B37" s="2">
        <v>4.3</v>
      </c>
      <c r="C37" s="19">
        <v>43</v>
      </c>
      <c r="D37" s="3" t="s">
        <v>496</v>
      </c>
      <c r="E37" s="4" t="s">
        <v>18</v>
      </c>
      <c r="F37" s="23">
        <v>522319</v>
      </c>
      <c r="G37" s="35">
        <v>2019</v>
      </c>
      <c r="H37">
        <f>Table_8[[#This Row],[Listing Price (USD)]]/10000</f>
        <v>52.231900000000003</v>
      </c>
      <c r="I37">
        <f>Table_8[[#This Row],[Length 
(ft)]]</f>
        <v>43</v>
      </c>
      <c r="J37" s="37">
        <f>2020-Table_8[[#This Row],[Year]]</f>
        <v>1</v>
      </c>
      <c r="K37">
        <v>188925995936.80701</v>
      </c>
      <c r="L37">
        <v>17658.947301119199</v>
      </c>
      <c r="M37">
        <v>-1.2479835558140799</v>
      </c>
      <c r="N37">
        <v>-9.0040436420214593</v>
      </c>
      <c r="O37" s="39">
        <v>41.34</v>
      </c>
      <c r="P37" s="39">
        <v>1010.002</v>
      </c>
      <c r="Q37" s="39">
        <v>211</v>
      </c>
      <c r="R37" s="39">
        <v>23.36</v>
      </c>
    </row>
    <row r="38" spans="1:18" x14ac:dyDescent="0.25">
      <c r="A38" s="1" t="s">
        <v>397</v>
      </c>
      <c r="B38" s="2">
        <v>4.3</v>
      </c>
      <c r="C38" s="19">
        <v>43</v>
      </c>
      <c r="D38" s="3" t="s">
        <v>496</v>
      </c>
      <c r="E38" s="4" t="s">
        <v>24</v>
      </c>
      <c r="F38" s="23">
        <v>546613</v>
      </c>
      <c r="G38" s="35">
        <v>2018</v>
      </c>
      <c r="H38">
        <f>Table_8[[#This Row],[Listing Price (USD)]]/10000</f>
        <v>54.661299999999997</v>
      </c>
      <c r="I38">
        <f>Table_8[[#This Row],[Length 
(ft)]]</f>
        <v>43</v>
      </c>
      <c r="J38" s="37">
        <f>2020-Table_8[[#This Row],[Year]]</f>
        <v>2</v>
      </c>
      <c r="K38">
        <v>1896755301518.1399</v>
      </c>
      <c r="L38">
        <v>31911.0357890017</v>
      </c>
      <c r="M38">
        <v>-0.13770757391656999</v>
      </c>
      <c r="N38">
        <v>-9.0399534112288507</v>
      </c>
      <c r="O38" s="39">
        <v>41.34</v>
      </c>
      <c r="P38" s="39">
        <v>1010.002</v>
      </c>
      <c r="Q38" s="39">
        <v>211</v>
      </c>
      <c r="R38" s="39">
        <v>23.36</v>
      </c>
    </row>
    <row r="39" spans="1:18" x14ac:dyDescent="0.25">
      <c r="A39" s="1" t="s">
        <v>397</v>
      </c>
      <c r="B39" s="2">
        <v>4.3</v>
      </c>
      <c r="C39" s="19">
        <v>43</v>
      </c>
      <c r="D39" s="3" t="s">
        <v>496</v>
      </c>
      <c r="E39" s="4" t="s">
        <v>24</v>
      </c>
      <c r="F39" s="23">
        <v>547167</v>
      </c>
      <c r="G39" s="35">
        <v>2018</v>
      </c>
      <c r="H39">
        <f>Table_8[[#This Row],[Listing Price (USD)]]/10000</f>
        <v>54.716700000000003</v>
      </c>
      <c r="I39">
        <f>Table_8[[#This Row],[Length 
(ft)]]</f>
        <v>43</v>
      </c>
      <c r="J39" s="37">
        <f>2020-Table_8[[#This Row],[Year]]</f>
        <v>2</v>
      </c>
      <c r="K39">
        <v>1896755301518.1399</v>
      </c>
      <c r="L39">
        <v>31911.0357890017</v>
      </c>
      <c r="M39">
        <v>-0.13770757391656999</v>
      </c>
      <c r="N39">
        <v>-9.0399534112288507</v>
      </c>
      <c r="O39" s="39">
        <v>41.34</v>
      </c>
      <c r="P39" s="39">
        <v>1010.002</v>
      </c>
      <c r="Q39" s="39">
        <v>211</v>
      </c>
      <c r="R39" s="39">
        <v>23.36</v>
      </c>
    </row>
    <row r="40" spans="1:18" x14ac:dyDescent="0.25">
      <c r="A40" s="1" t="s">
        <v>397</v>
      </c>
      <c r="B40" s="2">
        <v>4.5</v>
      </c>
      <c r="C40" s="19">
        <v>44.6</v>
      </c>
      <c r="D40" s="3" t="s">
        <v>496</v>
      </c>
      <c r="E40" s="4" t="s">
        <v>18</v>
      </c>
      <c r="F40" s="23">
        <v>350908</v>
      </c>
      <c r="G40" s="35">
        <v>2017</v>
      </c>
      <c r="H40">
        <f>Table_8[[#This Row],[Listing Price (USD)]]/10000</f>
        <v>35.090800000000002</v>
      </c>
      <c r="I40">
        <f>Table_8[[#This Row],[Length 
(ft)]]</f>
        <v>44.6</v>
      </c>
      <c r="J40" s="37">
        <f>2020-Table_8[[#This Row],[Year]]</f>
        <v>3</v>
      </c>
      <c r="K40">
        <v>188925995936.80701</v>
      </c>
      <c r="L40">
        <v>17658.947301119199</v>
      </c>
      <c r="M40">
        <v>-1.2479835558140799</v>
      </c>
      <c r="N40">
        <v>-9.0040436420214593</v>
      </c>
      <c r="O40" s="39">
        <v>42.65</v>
      </c>
      <c r="P40" s="39">
        <v>1625.3520000000001</v>
      </c>
      <c r="Q40" s="39">
        <v>211</v>
      </c>
      <c r="R40" s="39">
        <v>24.34</v>
      </c>
    </row>
    <row r="41" spans="1:18" x14ac:dyDescent="0.25">
      <c r="A41" s="1" t="s">
        <v>397</v>
      </c>
      <c r="B41" s="2" t="s">
        <v>399</v>
      </c>
      <c r="C41" s="19">
        <v>44.6</v>
      </c>
      <c r="D41" s="3" t="s">
        <v>496</v>
      </c>
      <c r="E41" s="4" t="s">
        <v>9</v>
      </c>
      <c r="F41" s="23">
        <v>363154</v>
      </c>
      <c r="G41" s="35">
        <v>2016</v>
      </c>
      <c r="H41">
        <f>Table_8[[#This Row],[Listing Price (USD)]]/10000</f>
        <v>36.315399999999997</v>
      </c>
      <c r="I41">
        <f>Table_8[[#This Row],[Length 
(ft)]]</f>
        <v>44.6</v>
      </c>
      <c r="J41" s="37">
        <f>2020-Table_8[[#This Row],[Year]]</f>
        <v>4</v>
      </c>
      <c r="K41">
        <v>1276962685648.25</v>
      </c>
      <c r="L41">
        <v>26959.675436732599</v>
      </c>
      <c r="M41">
        <v>-0.32275301729970501</v>
      </c>
      <c r="N41">
        <v>-11.3254383222864</v>
      </c>
      <c r="O41" s="39">
        <v>42.65</v>
      </c>
      <c r="P41" s="39">
        <v>1625.3520000000001</v>
      </c>
      <c r="Q41" s="39">
        <v>211</v>
      </c>
      <c r="R41" s="39">
        <v>24.34</v>
      </c>
    </row>
    <row r="42" spans="1:18" x14ac:dyDescent="0.25">
      <c r="A42" s="1" t="s">
        <v>397</v>
      </c>
      <c r="B42" s="2">
        <v>4.5</v>
      </c>
      <c r="C42" s="19">
        <v>44.6</v>
      </c>
      <c r="D42" s="3" t="s">
        <v>496</v>
      </c>
      <c r="E42" s="4" t="s">
        <v>18</v>
      </c>
      <c r="F42" s="23">
        <v>426790</v>
      </c>
      <c r="G42" s="35">
        <v>2017</v>
      </c>
      <c r="H42">
        <f>Table_8[[#This Row],[Listing Price (USD)]]/10000</f>
        <v>42.679000000000002</v>
      </c>
      <c r="I42">
        <f>Table_8[[#This Row],[Length 
(ft)]]</f>
        <v>44.6</v>
      </c>
      <c r="J42" s="37">
        <f>2020-Table_8[[#This Row],[Year]]</f>
        <v>3</v>
      </c>
      <c r="K42">
        <v>188925995936.80701</v>
      </c>
      <c r="L42">
        <v>17658.947301119199</v>
      </c>
      <c r="M42">
        <v>-1.2479835558140799</v>
      </c>
      <c r="N42">
        <v>-9.0040436420214593</v>
      </c>
      <c r="O42" s="39">
        <v>42.65</v>
      </c>
      <c r="P42" s="39">
        <v>1625.3520000000001</v>
      </c>
      <c r="Q42" s="39">
        <v>211</v>
      </c>
      <c r="R42" s="39">
        <v>24.34</v>
      </c>
    </row>
    <row r="43" spans="1:18" x14ac:dyDescent="0.25">
      <c r="A43" s="1" t="s">
        <v>397</v>
      </c>
      <c r="B43" s="2">
        <v>4.5</v>
      </c>
      <c r="C43" s="19">
        <v>44.6</v>
      </c>
      <c r="D43" s="3" t="s">
        <v>496</v>
      </c>
      <c r="E43" s="4" t="s">
        <v>18</v>
      </c>
      <c r="F43" s="23">
        <v>454706</v>
      </c>
      <c r="G43" s="35">
        <v>2015</v>
      </c>
      <c r="H43">
        <f>Table_8[[#This Row],[Listing Price (USD)]]/10000</f>
        <v>45.470599999999997</v>
      </c>
      <c r="I43">
        <f>Table_8[[#This Row],[Length 
(ft)]]</f>
        <v>44.6</v>
      </c>
      <c r="J43" s="37">
        <f>2020-Table_8[[#This Row],[Year]]</f>
        <v>5</v>
      </c>
      <c r="K43">
        <v>188925995936.80701</v>
      </c>
      <c r="L43">
        <v>17658.947301119199</v>
      </c>
      <c r="M43">
        <v>-1.2479835558140799</v>
      </c>
      <c r="N43">
        <v>-9.0040436420214593</v>
      </c>
      <c r="O43" s="39">
        <v>42.65</v>
      </c>
      <c r="P43" s="39">
        <v>1625.3520000000001</v>
      </c>
      <c r="Q43" s="39">
        <v>211</v>
      </c>
      <c r="R43" s="39">
        <v>24.34</v>
      </c>
    </row>
    <row r="44" spans="1:18" x14ac:dyDescent="0.25">
      <c r="A44" s="1" t="s">
        <v>397</v>
      </c>
      <c r="B44" s="2">
        <v>4.5</v>
      </c>
      <c r="C44" s="19">
        <v>44.6</v>
      </c>
      <c r="D44" s="3" t="s">
        <v>496</v>
      </c>
      <c r="E44" s="4" t="s">
        <v>18</v>
      </c>
      <c r="F44" s="23">
        <v>455627</v>
      </c>
      <c r="G44" s="35">
        <v>2015</v>
      </c>
      <c r="H44">
        <f>Table_8[[#This Row],[Listing Price (USD)]]/10000</f>
        <v>45.5627</v>
      </c>
      <c r="I44">
        <f>Table_8[[#This Row],[Length 
(ft)]]</f>
        <v>44.6</v>
      </c>
      <c r="J44" s="37">
        <f>2020-Table_8[[#This Row],[Year]]</f>
        <v>5</v>
      </c>
      <c r="K44">
        <v>188925995936.80701</v>
      </c>
      <c r="L44">
        <v>17658.947301119199</v>
      </c>
      <c r="M44">
        <v>-1.2479835558140799</v>
      </c>
      <c r="N44">
        <v>-9.0040436420214593</v>
      </c>
      <c r="O44" s="39">
        <v>42.65</v>
      </c>
      <c r="P44" s="39">
        <v>1625.3520000000001</v>
      </c>
      <c r="Q44" s="39">
        <v>211</v>
      </c>
      <c r="R44" s="39">
        <v>24.34</v>
      </c>
    </row>
    <row r="45" spans="1:18" x14ac:dyDescent="0.25">
      <c r="A45" s="1" t="s">
        <v>397</v>
      </c>
      <c r="B45" s="2">
        <v>4.5</v>
      </c>
      <c r="C45" s="19">
        <v>44.6</v>
      </c>
      <c r="D45" s="3" t="s">
        <v>496</v>
      </c>
      <c r="E45" s="4" t="s">
        <v>18</v>
      </c>
      <c r="F45" s="23">
        <v>455973</v>
      </c>
      <c r="G45" s="35">
        <v>2015</v>
      </c>
      <c r="H45">
        <f>Table_8[[#This Row],[Listing Price (USD)]]/10000</f>
        <v>45.597299999999997</v>
      </c>
      <c r="I45">
        <f>Table_8[[#This Row],[Length 
(ft)]]</f>
        <v>44.6</v>
      </c>
      <c r="J45" s="37">
        <f>2020-Table_8[[#This Row],[Year]]</f>
        <v>5</v>
      </c>
      <c r="K45">
        <v>188925995936.80701</v>
      </c>
      <c r="L45">
        <v>17658.947301119199</v>
      </c>
      <c r="M45">
        <v>-1.2479835558140799</v>
      </c>
      <c r="N45">
        <v>-9.0040436420214593</v>
      </c>
      <c r="O45" s="39">
        <v>42.65</v>
      </c>
      <c r="P45" s="39">
        <v>1625.3520000000001</v>
      </c>
      <c r="Q45" s="39">
        <v>211</v>
      </c>
      <c r="R45" s="39">
        <v>24.34</v>
      </c>
    </row>
    <row r="46" spans="1:18" x14ac:dyDescent="0.25">
      <c r="A46" s="1" t="s">
        <v>397</v>
      </c>
      <c r="B46" s="2">
        <v>4.5</v>
      </c>
      <c r="C46" s="19">
        <v>44.6</v>
      </c>
      <c r="D46" s="3" t="s">
        <v>496</v>
      </c>
      <c r="E46" s="4" t="s">
        <v>3</v>
      </c>
      <c r="F46" s="23">
        <v>510689</v>
      </c>
      <c r="G46" s="35">
        <v>2015</v>
      </c>
      <c r="H46">
        <f>Table_8[[#This Row],[Listing Price (USD)]]/10000</f>
        <v>51.068899999999999</v>
      </c>
      <c r="I46">
        <f>Table_8[[#This Row],[Length 
(ft)]]</f>
        <v>44.6</v>
      </c>
      <c r="J46" s="37">
        <f>2020-Table_8[[#This Row],[Year]]</f>
        <v>5</v>
      </c>
      <c r="K46">
        <v>2639008701648.2598</v>
      </c>
      <c r="L46">
        <v>39055.282928075401</v>
      </c>
      <c r="M46">
        <v>0.47649885272508302</v>
      </c>
      <c r="N46">
        <v>-7.7845864916787102</v>
      </c>
      <c r="O46" s="39">
        <v>42.65</v>
      </c>
      <c r="P46" s="39">
        <v>1625.35</v>
      </c>
      <c r="Q46" s="39">
        <v>211</v>
      </c>
      <c r="R46" s="39">
        <v>24.34</v>
      </c>
    </row>
    <row r="47" spans="1:18" x14ac:dyDescent="0.25">
      <c r="A47" s="1" t="s">
        <v>397</v>
      </c>
      <c r="B47" s="2">
        <v>4.5</v>
      </c>
      <c r="C47" s="19">
        <v>44.6</v>
      </c>
      <c r="D47" s="3" t="s">
        <v>496</v>
      </c>
      <c r="E47" s="4" t="s">
        <v>31</v>
      </c>
      <c r="F47" s="23">
        <v>558597</v>
      </c>
      <c r="G47" s="35">
        <v>2019</v>
      </c>
      <c r="H47">
        <f>Table_8[[#This Row],[Listing Price (USD)]]/10000</f>
        <v>55.859699999999997</v>
      </c>
      <c r="I47">
        <f>Table_8[[#This Row],[Length 
(ft)]]</f>
        <v>44.6</v>
      </c>
      <c r="J47" s="37">
        <f>2020-Table_8[[#This Row],[Year]]</f>
        <v>1</v>
      </c>
      <c r="K47">
        <v>57472012426.685303</v>
      </c>
      <c r="L47">
        <v>14198.753959474399</v>
      </c>
      <c r="M47">
        <v>0.15481137456202801</v>
      </c>
      <c r="N47">
        <v>-8.5803430210621805</v>
      </c>
      <c r="O47" s="39">
        <v>42.65</v>
      </c>
      <c r="P47" s="39">
        <v>1625.3520000000001</v>
      </c>
      <c r="Q47" s="39">
        <v>211</v>
      </c>
      <c r="R47" s="39">
        <v>24.34</v>
      </c>
    </row>
    <row r="48" spans="1:18" x14ac:dyDescent="0.25">
      <c r="A48" s="1" t="s">
        <v>397</v>
      </c>
      <c r="B48" s="2">
        <v>4.5</v>
      </c>
      <c r="C48" s="19">
        <v>44.6</v>
      </c>
      <c r="D48" s="3" t="s">
        <v>496</v>
      </c>
      <c r="E48" s="4" t="s">
        <v>31</v>
      </c>
      <c r="F48" s="23">
        <v>583054</v>
      </c>
      <c r="G48" s="35">
        <v>2019</v>
      </c>
      <c r="H48">
        <f>Table_8[[#This Row],[Listing Price (USD)]]/10000</f>
        <v>58.305399999999999</v>
      </c>
      <c r="I48">
        <f>Table_8[[#This Row],[Length 
(ft)]]</f>
        <v>44.6</v>
      </c>
      <c r="J48" s="37">
        <f>2020-Table_8[[#This Row],[Year]]</f>
        <v>1</v>
      </c>
      <c r="K48">
        <v>57472012426.685303</v>
      </c>
      <c r="L48">
        <v>14198.753959474399</v>
      </c>
      <c r="M48">
        <v>0.15481137456202801</v>
      </c>
      <c r="N48">
        <v>-8.5803430210621805</v>
      </c>
      <c r="O48" s="39">
        <v>42.65</v>
      </c>
      <c r="P48" s="39">
        <v>1625.3520000000001</v>
      </c>
      <c r="Q48" s="39">
        <v>211</v>
      </c>
      <c r="R48" s="39">
        <v>24.34</v>
      </c>
    </row>
    <row r="49" spans="1:18" x14ac:dyDescent="0.25">
      <c r="A49" s="1" t="s">
        <v>397</v>
      </c>
      <c r="B49" s="2">
        <v>4.5</v>
      </c>
      <c r="C49" s="19">
        <v>44.6</v>
      </c>
      <c r="D49" s="3" t="s">
        <v>496</v>
      </c>
      <c r="E49" s="4" t="s">
        <v>31</v>
      </c>
      <c r="F49" s="23">
        <v>583645</v>
      </c>
      <c r="G49" s="35">
        <v>2019</v>
      </c>
      <c r="H49">
        <f>Table_8[[#This Row],[Listing Price (USD)]]/10000</f>
        <v>58.3645</v>
      </c>
      <c r="I49">
        <f>Table_8[[#This Row],[Length 
(ft)]]</f>
        <v>44.6</v>
      </c>
      <c r="J49" s="37">
        <f>2020-Table_8[[#This Row],[Year]]</f>
        <v>1</v>
      </c>
      <c r="K49">
        <v>57472012426.685303</v>
      </c>
      <c r="L49">
        <v>14198.753959474399</v>
      </c>
      <c r="M49">
        <v>0.15481137456202801</v>
      </c>
      <c r="N49">
        <v>-8.5803430210621805</v>
      </c>
      <c r="O49" s="39">
        <v>42.65</v>
      </c>
      <c r="P49" s="39">
        <v>1625.3520000000001</v>
      </c>
      <c r="Q49" s="39">
        <v>211</v>
      </c>
      <c r="R49" s="39">
        <v>24.34</v>
      </c>
    </row>
    <row r="50" spans="1:18" x14ac:dyDescent="0.25">
      <c r="A50" s="1" t="s">
        <v>397</v>
      </c>
      <c r="B50" s="2">
        <v>4.5</v>
      </c>
      <c r="C50" s="19">
        <v>44.6</v>
      </c>
      <c r="D50" s="3" t="s">
        <v>496</v>
      </c>
      <c r="E50" s="4" t="s">
        <v>24</v>
      </c>
      <c r="F50" s="23">
        <v>601275</v>
      </c>
      <c r="G50" s="35">
        <v>2017</v>
      </c>
      <c r="H50">
        <f>Table_8[[#This Row],[Listing Price (USD)]]/10000</f>
        <v>60.127499999999998</v>
      </c>
      <c r="I50">
        <f>Table_8[[#This Row],[Length 
(ft)]]</f>
        <v>44.6</v>
      </c>
      <c r="J50" s="37">
        <f>2020-Table_8[[#This Row],[Year]]</f>
        <v>3</v>
      </c>
      <c r="K50">
        <v>1896755301518.1399</v>
      </c>
      <c r="L50">
        <v>31911.0357890017</v>
      </c>
      <c r="M50">
        <v>-0.13770757391656999</v>
      </c>
      <c r="N50">
        <v>-9.0399534112288507</v>
      </c>
      <c r="O50" s="39">
        <v>42.65</v>
      </c>
      <c r="P50" s="39">
        <v>1625.3520000000001</v>
      </c>
      <c r="Q50" s="39">
        <v>211</v>
      </c>
      <c r="R50" s="39">
        <v>24.34</v>
      </c>
    </row>
    <row r="51" spans="1:18" x14ac:dyDescent="0.25">
      <c r="A51" s="1" t="s">
        <v>397</v>
      </c>
      <c r="B51" s="2">
        <v>4.5</v>
      </c>
      <c r="C51" s="19">
        <v>44.6</v>
      </c>
      <c r="D51" s="3" t="s">
        <v>496</v>
      </c>
      <c r="E51" s="4" t="s">
        <v>24</v>
      </c>
      <c r="F51" s="23">
        <v>601884</v>
      </c>
      <c r="G51" s="35">
        <v>2017</v>
      </c>
      <c r="H51">
        <f>Table_8[[#This Row],[Listing Price (USD)]]/10000</f>
        <v>60.188400000000001</v>
      </c>
      <c r="I51">
        <f>Table_8[[#This Row],[Length 
(ft)]]</f>
        <v>44.6</v>
      </c>
      <c r="J51" s="37">
        <f>2020-Table_8[[#This Row],[Year]]</f>
        <v>3</v>
      </c>
      <c r="K51">
        <v>1896755301518.1399</v>
      </c>
      <c r="L51">
        <v>31911.0357890017</v>
      </c>
      <c r="M51">
        <v>-0.13770757391656999</v>
      </c>
      <c r="N51">
        <v>-9.0399534112288507</v>
      </c>
      <c r="O51" s="39">
        <v>42.65</v>
      </c>
      <c r="P51" s="39">
        <v>1625.3520000000001</v>
      </c>
      <c r="Q51" s="39">
        <v>211</v>
      </c>
      <c r="R51" s="39">
        <v>24.34</v>
      </c>
    </row>
    <row r="52" spans="1:18" x14ac:dyDescent="0.25">
      <c r="A52" s="1" t="s">
        <v>397</v>
      </c>
      <c r="B52" s="2" t="s">
        <v>400</v>
      </c>
      <c r="C52" s="19">
        <v>46.85</v>
      </c>
      <c r="D52" s="3" t="s">
        <v>496</v>
      </c>
      <c r="E52" s="4" t="s">
        <v>9</v>
      </c>
      <c r="F52" s="23">
        <v>314051</v>
      </c>
      <c r="G52" s="35">
        <v>2017</v>
      </c>
      <c r="H52">
        <f>Table_8[[#This Row],[Listing Price (USD)]]/10000</f>
        <v>31.405100000000001</v>
      </c>
      <c r="I52">
        <f>Table_8[[#This Row],[Length 
(ft)]]</f>
        <v>46.85</v>
      </c>
      <c r="J52" s="37">
        <f>2020-Table_8[[#This Row],[Year]]</f>
        <v>3</v>
      </c>
      <c r="K52">
        <v>1276962685648.25</v>
      </c>
      <c r="L52">
        <v>26959.675436732599</v>
      </c>
      <c r="M52">
        <v>-0.32275301729970501</v>
      </c>
      <c r="N52">
        <v>-11.3254383222864</v>
      </c>
      <c r="O52" s="39">
        <v>44.42</v>
      </c>
      <c r="P52" s="39">
        <v>1722.232</v>
      </c>
      <c r="Q52" s="39">
        <v>211</v>
      </c>
      <c r="R52" s="39">
        <v>25.13</v>
      </c>
    </row>
    <row r="53" spans="1:18" x14ac:dyDescent="0.25">
      <c r="A53" s="1" t="s">
        <v>401</v>
      </c>
      <c r="B53" s="2">
        <v>5.4</v>
      </c>
      <c r="C53" s="19">
        <v>55.5</v>
      </c>
      <c r="D53" s="3" t="s">
        <v>496</v>
      </c>
      <c r="E53" s="4" t="s">
        <v>24</v>
      </c>
      <c r="F53" s="23">
        <v>811143</v>
      </c>
      <c r="G53" s="35">
        <v>2019</v>
      </c>
      <c r="H53">
        <f>Table_8[[#This Row],[Listing Price (USD)]]/10000</f>
        <v>81.1143</v>
      </c>
      <c r="I53">
        <f>Table_8[[#This Row],[Length 
(ft)]]</f>
        <v>55.5</v>
      </c>
      <c r="J53" s="37">
        <f>2020-Table_8[[#This Row],[Year]]</f>
        <v>1</v>
      </c>
      <c r="K53">
        <v>1896755301518.1399</v>
      </c>
      <c r="L53">
        <v>31911.0357890017</v>
      </c>
      <c r="M53">
        <v>-0.13770757391656999</v>
      </c>
      <c r="N53">
        <v>-9.0399534112288507</v>
      </c>
      <c r="O53" s="39">
        <v>53.15</v>
      </c>
      <c r="P53" s="39">
        <v>2195.84</v>
      </c>
      <c r="Q53" s="39">
        <v>317</v>
      </c>
      <c r="R53" s="39">
        <v>28.67</v>
      </c>
    </row>
    <row r="54" spans="1:18" x14ac:dyDescent="0.25">
      <c r="A54" s="1" t="s">
        <v>401</v>
      </c>
      <c r="B54" s="2">
        <v>5.4</v>
      </c>
      <c r="C54" s="19">
        <v>55.5</v>
      </c>
      <c r="D54" s="3" t="s">
        <v>496</v>
      </c>
      <c r="E54" s="4" t="s">
        <v>18</v>
      </c>
      <c r="F54" s="23">
        <v>1246325</v>
      </c>
      <c r="G54" s="35">
        <v>2019</v>
      </c>
      <c r="H54">
        <f>Table_8[[#This Row],[Listing Price (USD)]]/10000</f>
        <v>124.63249999999999</v>
      </c>
      <c r="I54">
        <f>Table_8[[#This Row],[Length 
(ft)]]</f>
        <v>55.5</v>
      </c>
      <c r="J54" s="37">
        <f>2020-Table_8[[#This Row],[Year]]</f>
        <v>1</v>
      </c>
      <c r="K54">
        <v>188925995936.80701</v>
      </c>
      <c r="L54">
        <v>17658.947301119199</v>
      </c>
      <c r="M54">
        <v>-1.2479835558140799</v>
      </c>
      <c r="N54">
        <v>-9.0040436420214593</v>
      </c>
      <c r="O54" s="39">
        <v>53.15</v>
      </c>
      <c r="P54" s="39">
        <v>2195.84</v>
      </c>
      <c r="Q54" s="39">
        <v>317</v>
      </c>
      <c r="R54" s="39">
        <v>28.67</v>
      </c>
    </row>
    <row r="55" spans="1:18" x14ac:dyDescent="0.25">
      <c r="A55" s="1" t="s">
        <v>442</v>
      </c>
      <c r="B55" s="2" t="s">
        <v>485</v>
      </c>
      <c r="C55" s="19">
        <v>37.5</v>
      </c>
      <c r="D55" s="3" t="s">
        <v>497</v>
      </c>
      <c r="E55" s="3" t="s">
        <v>370</v>
      </c>
      <c r="F55" s="23">
        <v>185000</v>
      </c>
      <c r="G55" s="35">
        <v>2010</v>
      </c>
      <c r="H55">
        <f>Table_8[[#This Row],[Listing Price (USD)]]/10000</f>
        <v>18.5</v>
      </c>
      <c r="I55">
        <f>Table_8[[#This Row],[Length 
(ft)]]</f>
        <v>37.5</v>
      </c>
      <c r="J55" s="37">
        <f>2020-Table_8[[#This Row],[Year]]</f>
        <v>10</v>
      </c>
      <c r="K55">
        <v>500000000</v>
      </c>
      <c r="L55">
        <v>34200</v>
      </c>
      <c r="M55">
        <v>1.1000000000000001</v>
      </c>
      <c r="N55">
        <v>2</v>
      </c>
      <c r="O55" s="39">
        <v>38</v>
      </c>
      <c r="P55" s="39">
        <v>990.28200000000004</v>
      </c>
      <c r="Q55" s="39">
        <v>137</v>
      </c>
      <c r="R55" s="39">
        <v>22.97</v>
      </c>
    </row>
    <row r="56" spans="1:18" x14ac:dyDescent="0.25">
      <c r="A56" s="1" t="s">
        <v>442</v>
      </c>
      <c r="B56" s="2" t="s">
        <v>430</v>
      </c>
      <c r="C56" s="19">
        <v>37.5</v>
      </c>
      <c r="D56" s="3" t="s">
        <v>497</v>
      </c>
      <c r="E56" s="3" t="s">
        <v>370</v>
      </c>
      <c r="F56" s="23">
        <v>105000</v>
      </c>
      <c r="G56" s="35">
        <v>2014</v>
      </c>
      <c r="H56">
        <f>Table_8[[#This Row],[Listing Price (USD)]]/10000</f>
        <v>10.5</v>
      </c>
      <c r="I56">
        <f>Table_8[[#This Row],[Length 
(ft)]]</f>
        <v>37.5</v>
      </c>
      <c r="J56" s="37">
        <f>2020-Table_8[[#This Row],[Year]]</f>
        <v>6</v>
      </c>
      <c r="K56">
        <v>500000000</v>
      </c>
      <c r="L56">
        <v>34200</v>
      </c>
      <c r="M56">
        <v>1.1000000000000001</v>
      </c>
      <c r="N56">
        <v>2</v>
      </c>
      <c r="O56" s="39">
        <v>38</v>
      </c>
      <c r="P56" s="39">
        <v>914.00199999999995</v>
      </c>
      <c r="Q56" s="39">
        <v>40</v>
      </c>
      <c r="R56" s="39">
        <v>20.67</v>
      </c>
    </row>
    <row r="57" spans="1:18" x14ac:dyDescent="0.25">
      <c r="A57" s="1" t="s">
        <v>442</v>
      </c>
      <c r="B57" s="2" t="s">
        <v>430</v>
      </c>
      <c r="C57" s="19">
        <v>37.5</v>
      </c>
      <c r="D57" s="3" t="s">
        <v>497</v>
      </c>
      <c r="E57" s="3" t="s">
        <v>370</v>
      </c>
      <c r="F57" s="23">
        <v>110000</v>
      </c>
      <c r="G57" s="35">
        <v>2014</v>
      </c>
      <c r="H57">
        <f>Table_8[[#This Row],[Listing Price (USD)]]/10000</f>
        <v>11</v>
      </c>
      <c r="I57">
        <f>Table_8[[#This Row],[Length 
(ft)]]</f>
        <v>37.5</v>
      </c>
      <c r="J57" s="37">
        <f>2020-Table_8[[#This Row],[Year]]</f>
        <v>6</v>
      </c>
      <c r="K57">
        <v>500000000</v>
      </c>
      <c r="L57">
        <v>34200</v>
      </c>
      <c r="M57">
        <v>1.1000000000000001</v>
      </c>
      <c r="N57">
        <v>2</v>
      </c>
      <c r="O57" s="39">
        <v>38</v>
      </c>
      <c r="P57" s="39">
        <v>914.00199999999995</v>
      </c>
      <c r="Q57" s="39">
        <v>40</v>
      </c>
      <c r="R57" s="39">
        <v>20.67</v>
      </c>
    </row>
    <row r="58" spans="1:18" x14ac:dyDescent="0.25">
      <c r="A58" s="1" t="s">
        <v>427</v>
      </c>
      <c r="B58" s="2" t="s">
        <v>430</v>
      </c>
      <c r="C58" s="19">
        <v>38.4</v>
      </c>
      <c r="D58" s="3" t="s">
        <v>496</v>
      </c>
      <c r="E58" s="4" t="s">
        <v>9</v>
      </c>
      <c r="F58" s="23">
        <v>241536</v>
      </c>
      <c r="G58" s="35">
        <v>2014</v>
      </c>
      <c r="H58">
        <f>Table_8[[#This Row],[Listing Price (USD)]]/10000</f>
        <v>24.153600000000001</v>
      </c>
      <c r="I58">
        <f>Table_8[[#This Row],[Length 
(ft)]]</f>
        <v>38.4</v>
      </c>
      <c r="J58" s="37">
        <f>2020-Table_8[[#This Row],[Year]]</f>
        <v>6</v>
      </c>
      <c r="K58">
        <v>1276962685648.25</v>
      </c>
      <c r="L58">
        <v>26959.675436732599</v>
      </c>
      <c r="M58">
        <v>-0.32275301729970501</v>
      </c>
      <c r="N58">
        <v>-11.3254383222864</v>
      </c>
      <c r="O58" s="39">
        <v>34.78</v>
      </c>
      <c r="P58" s="39">
        <v>691.00199999999995</v>
      </c>
      <c r="Q58" s="39">
        <v>95</v>
      </c>
      <c r="R58" s="39">
        <v>12.47</v>
      </c>
    </row>
    <row r="59" spans="1:18" x14ac:dyDescent="0.25">
      <c r="A59" s="1" t="s">
        <v>442</v>
      </c>
      <c r="B59" s="2" t="s">
        <v>430</v>
      </c>
      <c r="C59" s="19">
        <v>37.5</v>
      </c>
      <c r="D59" s="3" t="s">
        <v>497</v>
      </c>
      <c r="E59" s="3" t="s">
        <v>511</v>
      </c>
      <c r="F59" s="23">
        <v>245000</v>
      </c>
      <c r="G59" s="35">
        <v>2014</v>
      </c>
      <c r="H59">
        <f>Table_8[[#This Row],[Listing Price (USD)]]/10000</f>
        <v>24.5</v>
      </c>
      <c r="I59">
        <f>Table_8[[#This Row],[Length 
(ft)]]</f>
        <v>37.5</v>
      </c>
      <c r="J59" s="37">
        <f>2020-Table_8[[#This Row],[Year]]</f>
        <v>6</v>
      </c>
      <c r="K59">
        <v>681973374534.10596</v>
      </c>
      <c r="L59">
        <v>27575.495000325591</v>
      </c>
      <c r="M59">
        <v>0.8848420113691905</v>
      </c>
      <c r="N59">
        <v>-6.3525291034127971</v>
      </c>
      <c r="O59" s="39">
        <v>38</v>
      </c>
      <c r="P59" s="39">
        <v>914.00199999999995</v>
      </c>
      <c r="Q59" s="39">
        <v>40</v>
      </c>
      <c r="R59" s="39">
        <v>20.67</v>
      </c>
    </row>
    <row r="60" spans="1:18" x14ac:dyDescent="0.25">
      <c r="A60" s="1" t="s">
        <v>427</v>
      </c>
      <c r="B60" s="2" t="s">
        <v>430</v>
      </c>
      <c r="C60" s="19">
        <v>38.4</v>
      </c>
      <c r="D60" s="3" t="s">
        <v>496</v>
      </c>
      <c r="E60" s="4" t="s">
        <v>31</v>
      </c>
      <c r="F60" s="23">
        <v>260208</v>
      </c>
      <c r="G60" s="35">
        <v>2014</v>
      </c>
      <c r="H60">
        <f>Table_8[[#This Row],[Listing Price (USD)]]/10000</f>
        <v>26.020800000000001</v>
      </c>
      <c r="I60">
        <f>Table_8[[#This Row],[Length 
(ft)]]</f>
        <v>38.4</v>
      </c>
      <c r="J60" s="37">
        <f>2020-Table_8[[#This Row],[Year]]</f>
        <v>6</v>
      </c>
      <c r="K60">
        <v>57472012426.685303</v>
      </c>
      <c r="L60">
        <v>14198.753959474399</v>
      </c>
      <c r="M60">
        <v>0.15481137456202801</v>
      </c>
      <c r="N60">
        <v>-8.5803430210621805</v>
      </c>
      <c r="O60" s="39">
        <v>34.78</v>
      </c>
      <c r="P60" s="39">
        <v>691.00199999999995</v>
      </c>
      <c r="Q60" s="39">
        <v>95</v>
      </c>
      <c r="R60" s="39">
        <v>12.47</v>
      </c>
    </row>
    <row r="61" spans="1:18" x14ac:dyDescent="0.25">
      <c r="A61" s="1" t="s">
        <v>441</v>
      </c>
      <c r="B61" s="2">
        <v>39</v>
      </c>
      <c r="C61" s="19">
        <v>38</v>
      </c>
      <c r="D61" s="3" t="s">
        <v>495</v>
      </c>
      <c r="E61" s="3" t="s">
        <v>333</v>
      </c>
      <c r="F61" s="23">
        <v>264000</v>
      </c>
      <c r="G61" s="35">
        <v>2014</v>
      </c>
      <c r="H61">
        <f>Table_8[[#This Row],[Listing Price (USD)]]/10000</f>
        <v>26.4</v>
      </c>
      <c r="I61">
        <f>Table_8[[#This Row],[Length 
(ft)]]</f>
        <v>38</v>
      </c>
      <c r="J61" s="37">
        <f>2020-Table_8[[#This Row],[Year]]</f>
        <v>6</v>
      </c>
      <c r="K61">
        <v>1106036000000</v>
      </c>
      <c r="L61">
        <v>51276.72</v>
      </c>
      <c r="M61">
        <v>1.23</v>
      </c>
      <c r="N61">
        <v>2.9</v>
      </c>
      <c r="O61" s="39">
        <v>38</v>
      </c>
      <c r="P61" s="39">
        <v>914.00199999999995</v>
      </c>
      <c r="Q61" s="39">
        <v>40</v>
      </c>
      <c r="R61" s="39">
        <v>20.67</v>
      </c>
    </row>
    <row r="62" spans="1:18" x14ac:dyDescent="0.25">
      <c r="A62" s="1" t="s">
        <v>442</v>
      </c>
      <c r="B62" s="2" t="s">
        <v>430</v>
      </c>
      <c r="C62" s="19">
        <v>37.5</v>
      </c>
      <c r="D62" s="3" t="s">
        <v>496</v>
      </c>
      <c r="E62" s="4" t="s">
        <v>31</v>
      </c>
      <c r="F62" s="23">
        <v>265549</v>
      </c>
      <c r="G62" s="35">
        <v>2015</v>
      </c>
      <c r="H62">
        <f>Table_8[[#This Row],[Listing Price (USD)]]/10000</f>
        <v>26.5549</v>
      </c>
      <c r="I62">
        <f>Table_8[[#This Row],[Length 
(ft)]]</f>
        <v>37.5</v>
      </c>
      <c r="J62" s="37">
        <f>2020-Table_8[[#This Row],[Year]]</f>
        <v>5</v>
      </c>
      <c r="K62">
        <v>57472012426.685303</v>
      </c>
      <c r="L62">
        <v>14198.753959474399</v>
      </c>
      <c r="M62">
        <v>0.15481137456202801</v>
      </c>
      <c r="N62">
        <v>-8.5803430210621805</v>
      </c>
      <c r="O62" s="39">
        <v>38</v>
      </c>
      <c r="P62" s="39">
        <v>914.00199999999995</v>
      </c>
      <c r="Q62" s="39">
        <v>40</v>
      </c>
      <c r="R62" s="39">
        <v>20.67</v>
      </c>
    </row>
    <row r="63" spans="1:18" x14ac:dyDescent="0.25">
      <c r="A63" s="1" t="s">
        <v>427</v>
      </c>
      <c r="B63" s="2" t="s">
        <v>430</v>
      </c>
      <c r="C63" s="19">
        <v>38.4</v>
      </c>
      <c r="D63" s="3" t="s">
        <v>497</v>
      </c>
      <c r="E63" s="3" t="s">
        <v>377</v>
      </c>
      <c r="F63" s="23">
        <v>265811</v>
      </c>
      <c r="G63" s="35">
        <v>2015</v>
      </c>
      <c r="H63">
        <f>Table_8[[#This Row],[Listing Price (USD)]]/10000</f>
        <v>26.581099999999999</v>
      </c>
      <c r="I63">
        <f>Table_8[[#This Row],[Length 
(ft)]]</f>
        <v>38.4</v>
      </c>
      <c r="J63" s="37">
        <f>2020-Table_8[[#This Row],[Year]]</f>
        <v>5</v>
      </c>
      <c r="K63">
        <v>681973374534.10596</v>
      </c>
      <c r="L63">
        <v>27575.495000325591</v>
      </c>
      <c r="M63">
        <v>0.8848420113691905</v>
      </c>
      <c r="N63">
        <v>-6.3525291034127971</v>
      </c>
      <c r="O63" s="39">
        <v>34.78</v>
      </c>
      <c r="P63" s="39">
        <v>691.00199999999995</v>
      </c>
      <c r="Q63" s="39">
        <v>95</v>
      </c>
      <c r="R63" s="39">
        <v>12.47</v>
      </c>
    </row>
    <row r="64" spans="1:18" x14ac:dyDescent="0.25">
      <c r="A64" s="1" t="s">
        <v>427</v>
      </c>
      <c r="B64" s="2" t="s">
        <v>430</v>
      </c>
      <c r="C64" s="19">
        <v>38.4</v>
      </c>
      <c r="D64" s="3" t="s">
        <v>497</v>
      </c>
      <c r="E64" s="3" t="s">
        <v>483</v>
      </c>
      <c r="F64" s="23">
        <v>267025</v>
      </c>
      <c r="G64" s="35">
        <v>2015</v>
      </c>
      <c r="H64">
        <f>Table_8[[#This Row],[Listing Price (USD)]]/10000</f>
        <v>26.702500000000001</v>
      </c>
      <c r="I64">
        <f>Table_8[[#This Row],[Length 
(ft)]]</f>
        <v>38.4</v>
      </c>
      <c r="J64" s="37">
        <f>2020-Table_8[[#This Row],[Year]]</f>
        <v>5</v>
      </c>
      <c r="K64">
        <v>4200000000</v>
      </c>
      <c r="L64">
        <v>39553.199999999997</v>
      </c>
      <c r="M64">
        <v>2.5</v>
      </c>
      <c r="N64">
        <v>-2.1</v>
      </c>
      <c r="O64" s="39">
        <v>34.78</v>
      </c>
      <c r="P64" s="39">
        <v>691.00199999999995</v>
      </c>
      <c r="Q64" s="39">
        <v>95</v>
      </c>
      <c r="R64" s="39">
        <v>12.47</v>
      </c>
    </row>
    <row r="65" spans="1:18" x14ac:dyDescent="0.25">
      <c r="A65" s="1" t="s">
        <v>427</v>
      </c>
      <c r="B65" s="3">
        <v>39</v>
      </c>
      <c r="C65" s="19">
        <v>38.4</v>
      </c>
      <c r="D65" s="3" t="s">
        <v>497</v>
      </c>
      <c r="E65" s="3" t="s">
        <v>483</v>
      </c>
      <c r="F65" s="23">
        <v>267331</v>
      </c>
      <c r="G65" s="35">
        <v>2016</v>
      </c>
      <c r="H65">
        <f>Table_8[[#This Row],[Listing Price (USD)]]/10000</f>
        <v>26.7331</v>
      </c>
      <c r="I65">
        <f>Table_8[[#This Row],[Length 
(ft)]]</f>
        <v>38.4</v>
      </c>
      <c r="J65" s="37">
        <f>2020-Table_8[[#This Row],[Year]]</f>
        <v>4</v>
      </c>
      <c r="K65">
        <v>4200000000</v>
      </c>
      <c r="L65">
        <v>39553.199999999997</v>
      </c>
      <c r="M65">
        <v>2.5</v>
      </c>
      <c r="N65">
        <v>-2.1</v>
      </c>
      <c r="O65" s="39">
        <v>34.78</v>
      </c>
      <c r="P65" s="39">
        <v>691.00199999999995</v>
      </c>
      <c r="Q65" s="39">
        <v>95</v>
      </c>
      <c r="R65" s="39">
        <v>12.47</v>
      </c>
    </row>
    <row r="66" spans="1:18" x14ac:dyDescent="0.25">
      <c r="A66" s="1" t="s">
        <v>427</v>
      </c>
      <c r="B66" s="2" t="s">
        <v>430</v>
      </c>
      <c r="C66" s="19">
        <v>38.4</v>
      </c>
      <c r="D66" s="3" t="s">
        <v>496</v>
      </c>
      <c r="E66" s="4" t="s">
        <v>3</v>
      </c>
      <c r="F66" s="23">
        <v>279162</v>
      </c>
      <c r="G66" s="35">
        <v>2015</v>
      </c>
      <c r="H66">
        <f>Table_8[[#This Row],[Listing Price (USD)]]/10000</f>
        <v>27.9162</v>
      </c>
      <c r="I66">
        <f>Table_8[[#This Row],[Length 
(ft)]]</f>
        <v>38.4</v>
      </c>
      <c r="J66" s="37">
        <f>2020-Table_8[[#This Row],[Year]]</f>
        <v>5</v>
      </c>
      <c r="K66">
        <v>2639008701648.2598</v>
      </c>
      <c r="L66">
        <v>39055.282928075401</v>
      </c>
      <c r="M66">
        <v>0.47649885272508302</v>
      </c>
      <c r="N66">
        <v>-7.7845864916787102</v>
      </c>
      <c r="O66" s="39">
        <v>34.78</v>
      </c>
      <c r="P66" s="39">
        <v>691.00199999999995</v>
      </c>
      <c r="Q66" s="39">
        <v>95</v>
      </c>
      <c r="R66" s="39">
        <v>12.47</v>
      </c>
    </row>
    <row r="67" spans="1:18" x14ac:dyDescent="0.25">
      <c r="A67" s="1" t="s">
        <v>427</v>
      </c>
      <c r="B67" s="2">
        <v>39</v>
      </c>
      <c r="C67" s="19">
        <v>38.4</v>
      </c>
      <c r="D67" s="3" t="s">
        <v>496</v>
      </c>
      <c r="E67" s="4" t="s">
        <v>3</v>
      </c>
      <c r="F67" s="23">
        <v>279380</v>
      </c>
      <c r="G67" s="35">
        <v>2015</v>
      </c>
      <c r="H67">
        <f>Table_8[[#This Row],[Listing Price (USD)]]/10000</f>
        <v>27.937999999999999</v>
      </c>
      <c r="I67">
        <f>Table_8[[#This Row],[Length 
(ft)]]</f>
        <v>38.4</v>
      </c>
      <c r="J67" s="37">
        <f>2020-Table_8[[#This Row],[Year]]</f>
        <v>5</v>
      </c>
      <c r="K67">
        <v>2639008701648.2598</v>
      </c>
      <c r="L67">
        <v>39055.282928075401</v>
      </c>
      <c r="M67">
        <v>0.47649885272508302</v>
      </c>
      <c r="N67">
        <v>-7.7845864916787102</v>
      </c>
      <c r="O67" s="39">
        <v>34.78</v>
      </c>
      <c r="P67" s="39">
        <v>691.00199999999995</v>
      </c>
      <c r="Q67" s="39">
        <v>95</v>
      </c>
      <c r="R67" s="39">
        <v>12.47</v>
      </c>
    </row>
    <row r="68" spans="1:18" x14ac:dyDescent="0.25">
      <c r="A68" s="1" t="s">
        <v>427</v>
      </c>
      <c r="B68" s="2" t="s">
        <v>430</v>
      </c>
      <c r="C68" s="19">
        <v>38.4</v>
      </c>
      <c r="D68" s="3" t="s">
        <v>496</v>
      </c>
      <c r="E68" s="4" t="s">
        <v>63</v>
      </c>
      <c r="F68" s="23">
        <v>279663</v>
      </c>
      <c r="G68" s="35">
        <v>2015</v>
      </c>
      <c r="H68">
        <f>Table_8[[#This Row],[Listing Price (USD)]]/10000</f>
        <v>27.9663</v>
      </c>
      <c r="I68">
        <f>Table_8[[#This Row],[Length 
(ft)]]</f>
        <v>38.4</v>
      </c>
      <c r="J68" s="37">
        <f>2020-Table_8[[#This Row],[Year]]</f>
        <v>5</v>
      </c>
      <c r="K68">
        <v>720290000000</v>
      </c>
      <c r="L68">
        <v>13341.6</v>
      </c>
      <c r="M68">
        <v>13</v>
      </c>
      <c r="N68">
        <v>-3</v>
      </c>
      <c r="O68" s="39">
        <v>34.78</v>
      </c>
      <c r="P68" s="39">
        <v>691.00199999999995</v>
      </c>
      <c r="Q68" s="39">
        <v>95</v>
      </c>
      <c r="R68" s="39">
        <v>12.47</v>
      </c>
    </row>
    <row r="69" spans="1:18" x14ac:dyDescent="0.25">
      <c r="A69" s="1" t="s">
        <v>427</v>
      </c>
      <c r="B69" s="2" t="s">
        <v>430</v>
      </c>
      <c r="C69" s="19">
        <v>38.4</v>
      </c>
      <c r="D69" s="3" t="s">
        <v>496</v>
      </c>
      <c r="E69" s="4" t="s">
        <v>24</v>
      </c>
      <c r="F69" s="23">
        <v>297369</v>
      </c>
      <c r="G69" s="35">
        <v>2013</v>
      </c>
      <c r="H69">
        <f>Table_8[[#This Row],[Listing Price (USD)]]/10000</f>
        <v>29.736899999999999</v>
      </c>
      <c r="I69">
        <f>Table_8[[#This Row],[Length 
(ft)]]</f>
        <v>38.4</v>
      </c>
      <c r="J69" s="37">
        <f>2020-Table_8[[#This Row],[Year]]</f>
        <v>7</v>
      </c>
      <c r="K69">
        <v>1896755301518.1399</v>
      </c>
      <c r="L69">
        <v>31911.0357890017</v>
      </c>
      <c r="M69">
        <v>-0.13770757391656999</v>
      </c>
      <c r="N69">
        <v>-9.0399534112288507</v>
      </c>
      <c r="O69" s="39">
        <v>34.78</v>
      </c>
      <c r="P69" s="39">
        <v>691.00199999999995</v>
      </c>
      <c r="Q69" s="39">
        <v>95</v>
      </c>
      <c r="R69" s="39">
        <v>12.47</v>
      </c>
    </row>
    <row r="70" spans="1:18" x14ac:dyDescent="0.25">
      <c r="A70" s="1" t="s">
        <v>427</v>
      </c>
      <c r="B70" s="2" t="s">
        <v>430</v>
      </c>
      <c r="C70" s="19">
        <v>38.4</v>
      </c>
      <c r="D70" s="3" t="s">
        <v>496</v>
      </c>
      <c r="E70" s="4" t="s">
        <v>24</v>
      </c>
      <c r="F70" s="23">
        <v>297369</v>
      </c>
      <c r="G70" s="35">
        <v>2017</v>
      </c>
      <c r="H70">
        <f>Table_8[[#This Row],[Listing Price (USD)]]/10000</f>
        <v>29.736899999999999</v>
      </c>
      <c r="I70">
        <f>Table_8[[#This Row],[Length 
(ft)]]</f>
        <v>38.4</v>
      </c>
      <c r="J70" s="37">
        <f>2020-Table_8[[#This Row],[Year]]</f>
        <v>3</v>
      </c>
      <c r="K70">
        <v>1896755301518.1399</v>
      </c>
      <c r="L70">
        <v>31911.0357890017</v>
      </c>
      <c r="M70">
        <v>-0.13770757391656999</v>
      </c>
      <c r="N70">
        <v>-9.0399534112288507</v>
      </c>
      <c r="O70" s="39">
        <v>34.78</v>
      </c>
      <c r="P70" s="39">
        <v>691.00199999999995</v>
      </c>
      <c r="Q70" s="39">
        <v>95</v>
      </c>
      <c r="R70" s="39">
        <v>12.47</v>
      </c>
    </row>
    <row r="71" spans="1:18" x14ac:dyDescent="0.25">
      <c r="A71" s="1" t="s">
        <v>427</v>
      </c>
      <c r="B71" s="2" t="s">
        <v>430</v>
      </c>
      <c r="C71" s="19">
        <v>38.4</v>
      </c>
      <c r="D71" s="3" t="s">
        <v>496</v>
      </c>
      <c r="E71" s="4" t="s">
        <v>176</v>
      </c>
      <c r="F71" s="23">
        <v>303437</v>
      </c>
      <c r="G71" s="35">
        <v>2013</v>
      </c>
      <c r="H71">
        <f>Table_8[[#This Row],[Listing Price (USD)]]/10000</f>
        <v>30.343699999999998</v>
      </c>
      <c r="I71">
        <f>Table_8[[#This Row],[Length 
(ft)]]</f>
        <v>38.4</v>
      </c>
      <c r="J71" s="37">
        <f>2020-Table_8[[#This Row],[Year]]</f>
        <v>7</v>
      </c>
      <c r="K71">
        <v>25008448886.3507</v>
      </c>
      <c r="L71">
        <v>28036.189453125</v>
      </c>
      <c r="M71">
        <v>-0.638422797978907</v>
      </c>
      <c r="N71">
        <v>-4.3724741857521501</v>
      </c>
      <c r="O71" s="39">
        <v>34.78</v>
      </c>
      <c r="P71" s="39">
        <v>691.00199999999995</v>
      </c>
      <c r="Q71" s="39">
        <v>95</v>
      </c>
      <c r="R71" s="39">
        <v>12.47</v>
      </c>
    </row>
    <row r="72" spans="1:18" x14ac:dyDescent="0.25">
      <c r="A72" s="1" t="s">
        <v>427</v>
      </c>
      <c r="B72" s="2" t="s">
        <v>430</v>
      </c>
      <c r="C72" s="19">
        <v>38.4</v>
      </c>
      <c r="D72" s="3" t="s">
        <v>496</v>
      </c>
      <c r="E72" s="4" t="s">
        <v>3</v>
      </c>
      <c r="F72" s="23">
        <v>303437</v>
      </c>
      <c r="G72" s="35">
        <v>2015</v>
      </c>
      <c r="H72">
        <f>Table_8[[#This Row],[Listing Price (USD)]]/10000</f>
        <v>30.343699999999998</v>
      </c>
      <c r="I72">
        <f>Table_8[[#This Row],[Length 
(ft)]]</f>
        <v>38.4</v>
      </c>
      <c r="J72" s="37">
        <f>2020-Table_8[[#This Row],[Year]]</f>
        <v>5</v>
      </c>
      <c r="K72">
        <v>2639008701648.2598</v>
      </c>
      <c r="L72">
        <v>39055.282928075401</v>
      </c>
      <c r="M72">
        <v>0.47649885272508302</v>
      </c>
      <c r="N72">
        <v>-7.7845864916787102</v>
      </c>
      <c r="O72" s="39">
        <v>34.78</v>
      </c>
      <c r="P72" s="39">
        <v>691.00199999999995</v>
      </c>
      <c r="Q72" s="39">
        <v>95</v>
      </c>
      <c r="R72" s="39">
        <v>12.47</v>
      </c>
    </row>
    <row r="73" spans="1:18" x14ac:dyDescent="0.25">
      <c r="A73" s="1" t="s">
        <v>427</v>
      </c>
      <c r="B73" s="2" t="s">
        <v>430</v>
      </c>
      <c r="C73" s="19">
        <v>38.4</v>
      </c>
      <c r="D73" s="3" t="s">
        <v>496</v>
      </c>
      <c r="E73" s="4" t="s">
        <v>176</v>
      </c>
      <c r="F73" s="23">
        <v>303982</v>
      </c>
      <c r="G73" s="35">
        <v>2013</v>
      </c>
      <c r="H73">
        <f>Table_8[[#This Row],[Listing Price (USD)]]/10000</f>
        <v>30.398199999999999</v>
      </c>
      <c r="I73">
        <f>Table_8[[#This Row],[Length 
(ft)]]</f>
        <v>38.4</v>
      </c>
      <c r="J73" s="37">
        <f>2020-Table_8[[#This Row],[Year]]</f>
        <v>7</v>
      </c>
      <c r="K73">
        <v>25008448886.3507</v>
      </c>
      <c r="L73">
        <v>28036.189453125</v>
      </c>
      <c r="M73">
        <v>-0.638422797978907</v>
      </c>
      <c r="N73">
        <v>-4.3724741857521501</v>
      </c>
      <c r="O73" s="39">
        <v>34.78</v>
      </c>
      <c r="P73" s="39">
        <v>691.00199999999995</v>
      </c>
      <c r="Q73" s="39">
        <v>95</v>
      </c>
      <c r="R73" s="39">
        <v>12.47</v>
      </c>
    </row>
    <row r="74" spans="1:18" x14ac:dyDescent="0.25">
      <c r="A74" s="1" t="s">
        <v>427</v>
      </c>
      <c r="B74" s="2" t="s">
        <v>430</v>
      </c>
      <c r="C74" s="19">
        <v>38.4</v>
      </c>
      <c r="D74" s="3" t="s">
        <v>496</v>
      </c>
      <c r="E74" s="4" t="s">
        <v>3</v>
      </c>
      <c r="F74" s="23">
        <v>303982</v>
      </c>
      <c r="G74" s="35">
        <v>2015</v>
      </c>
      <c r="H74">
        <f>Table_8[[#This Row],[Listing Price (USD)]]/10000</f>
        <v>30.398199999999999</v>
      </c>
      <c r="I74">
        <f>Table_8[[#This Row],[Length 
(ft)]]</f>
        <v>38.4</v>
      </c>
      <c r="J74" s="37">
        <f>2020-Table_8[[#This Row],[Year]]</f>
        <v>5</v>
      </c>
      <c r="K74">
        <v>2639008701648.2598</v>
      </c>
      <c r="L74">
        <v>39055.282928075401</v>
      </c>
      <c r="M74">
        <v>0.47649885272508302</v>
      </c>
      <c r="N74">
        <v>-7.7845864916787102</v>
      </c>
      <c r="O74" s="39">
        <v>34.78</v>
      </c>
      <c r="P74" s="39">
        <v>691.00199999999995</v>
      </c>
      <c r="Q74" s="39">
        <v>95</v>
      </c>
      <c r="R74" s="39">
        <v>12.47</v>
      </c>
    </row>
    <row r="75" spans="1:18" x14ac:dyDescent="0.25">
      <c r="A75" s="1" t="s">
        <v>427</v>
      </c>
      <c r="B75" s="2" t="s">
        <v>430</v>
      </c>
      <c r="C75" s="19">
        <v>38.4</v>
      </c>
      <c r="D75" s="3" t="s">
        <v>496</v>
      </c>
      <c r="E75" s="4" t="s">
        <v>18</v>
      </c>
      <c r="F75" s="23">
        <v>303982</v>
      </c>
      <c r="G75" s="35">
        <v>2015</v>
      </c>
      <c r="H75">
        <f>Table_8[[#This Row],[Listing Price (USD)]]/10000</f>
        <v>30.398199999999999</v>
      </c>
      <c r="I75">
        <f>Table_8[[#This Row],[Length 
(ft)]]</f>
        <v>38.4</v>
      </c>
      <c r="J75" s="37">
        <f>2020-Table_8[[#This Row],[Year]]</f>
        <v>5</v>
      </c>
      <c r="K75">
        <v>188925995936.80701</v>
      </c>
      <c r="L75">
        <v>17658.947301119199</v>
      </c>
      <c r="M75">
        <v>-1.2479835558140799</v>
      </c>
      <c r="N75">
        <v>-9.0040436420214593</v>
      </c>
      <c r="O75" s="39">
        <v>34.78</v>
      </c>
      <c r="P75" s="39">
        <v>691.00199999999995</v>
      </c>
      <c r="Q75" s="39">
        <v>95</v>
      </c>
      <c r="R75" s="39">
        <v>12.47</v>
      </c>
    </row>
    <row r="76" spans="1:18" x14ac:dyDescent="0.25">
      <c r="A76" s="1" t="s">
        <v>427</v>
      </c>
      <c r="B76" s="2" t="s">
        <v>430</v>
      </c>
      <c r="C76" s="19">
        <v>38.4</v>
      </c>
      <c r="D76" s="3" t="s">
        <v>496</v>
      </c>
      <c r="E76" s="4" t="s">
        <v>24</v>
      </c>
      <c r="F76" s="23">
        <v>310061</v>
      </c>
      <c r="G76" s="35">
        <v>2012</v>
      </c>
      <c r="H76">
        <f>Table_8[[#This Row],[Listing Price (USD)]]/10000</f>
        <v>31.0061</v>
      </c>
      <c r="I76">
        <f>Table_8[[#This Row],[Length 
(ft)]]</f>
        <v>38.4</v>
      </c>
      <c r="J76" s="37">
        <f>2020-Table_8[[#This Row],[Year]]</f>
        <v>8</v>
      </c>
      <c r="K76">
        <v>1896755301518.1399</v>
      </c>
      <c r="L76">
        <v>31911.0357890017</v>
      </c>
      <c r="M76">
        <v>-0.13770757391656999</v>
      </c>
      <c r="N76">
        <v>-9.0399534112288507</v>
      </c>
      <c r="O76" s="39">
        <v>34.78</v>
      </c>
      <c r="P76" s="39">
        <v>691.00199999999995</v>
      </c>
      <c r="Q76" s="39">
        <v>95</v>
      </c>
      <c r="R76" s="39">
        <v>12.47</v>
      </c>
    </row>
    <row r="77" spans="1:18" x14ac:dyDescent="0.25">
      <c r="A77" s="1" t="s">
        <v>427</v>
      </c>
      <c r="B77" s="2" t="s">
        <v>430</v>
      </c>
      <c r="C77" s="19">
        <v>38.4</v>
      </c>
      <c r="D77" s="3" t="s">
        <v>496</v>
      </c>
      <c r="E77" s="4" t="s">
        <v>18</v>
      </c>
      <c r="F77" s="23">
        <v>312493</v>
      </c>
      <c r="G77" s="35">
        <v>2016</v>
      </c>
      <c r="H77">
        <f>Table_8[[#This Row],[Listing Price (USD)]]/10000</f>
        <v>31.249300000000002</v>
      </c>
      <c r="I77">
        <f>Table_8[[#This Row],[Length 
(ft)]]</f>
        <v>38.4</v>
      </c>
      <c r="J77" s="37">
        <f>2020-Table_8[[#This Row],[Year]]</f>
        <v>4</v>
      </c>
      <c r="K77">
        <v>188925995936.80701</v>
      </c>
      <c r="L77">
        <v>17658.947301119199</v>
      </c>
      <c r="M77">
        <v>-1.2479835558140799</v>
      </c>
      <c r="N77">
        <v>-9.0040436420214593</v>
      </c>
      <c r="O77" s="39">
        <v>34.78</v>
      </c>
      <c r="P77" s="39">
        <v>691.00199999999995</v>
      </c>
      <c r="Q77" s="39">
        <v>95</v>
      </c>
      <c r="R77" s="39">
        <v>12.47</v>
      </c>
    </row>
    <row r="78" spans="1:18" x14ac:dyDescent="0.25">
      <c r="A78" s="1" t="s">
        <v>427</v>
      </c>
      <c r="B78" s="2" t="s">
        <v>430</v>
      </c>
      <c r="C78" s="19">
        <v>38.4</v>
      </c>
      <c r="D78" s="3" t="s">
        <v>496</v>
      </c>
      <c r="E78" s="4" t="s">
        <v>63</v>
      </c>
      <c r="F78" s="23">
        <v>315263</v>
      </c>
      <c r="G78" s="35">
        <v>2014</v>
      </c>
      <c r="H78">
        <f>Table_8[[#This Row],[Listing Price (USD)]]/10000</f>
        <v>31.526299999999999</v>
      </c>
      <c r="I78">
        <f>Table_8[[#This Row],[Length 
(ft)]]</f>
        <v>38.4</v>
      </c>
      <c r="J78" s="37">
        <f>2020-Table_8[[#This Row],[Year]]</f>
        <v>6</v>
      </c>
      <c r="K78">
        <v>720290000000</v>
      </c>
      <c r="L78">
        <v>13341.6</v>
      </c>
      <c r="M78">
        <v>13</v>
      </c>
      <c r="N78">
        <v>-3</v>
      </c>
      <c r="O78" s="39">
        <v>34.78</v>
      </c>
      <c r="P78" s="39">
        <v>691.00199999999995</v>
      </c>
      <c r="Q78" s="39">
        <v>95</v>
      </c>
      <c r="R78" s="39">
        <v>12.47</v>
      </c>
    </row>
    <row r="79" spans="1:18" x14ac:dyDescent="0.25">
      <c r="A79" s="1" t="s">
        <v>427</v>
      </c>
      <c r="B79" s="2" t="s">
        <v>430</v>
      </c>
      <c r="C79" s="19">
        <v>38.4</v>
      </c>
      <c r="D79" s="3" t="s">
        <v>496</v>
      </c>
      <c r="E79" s="4" t="s">
        <v>3</v>
      </c>
      <c r="F79" s="23">
        <v>327389</v>
      </c>
      <c r="G79" s="35">
        <v>2015</v>
      </c>
      <c r="H79">
        <f>Table_8[[#This Row],[Listing Price (USD)]]/10000</f>
        <v>32.738900000000001</v>
      </c>
      <c r="I79">
        <f>Table_8[[#This Row],[Length 
(ft)]]</f>
        <v>38.4</v>
      </c>
      <c r="J79" s="37">
        <f>2020-Table_8[[#This Row],[Year]]</f>
        <v>5</v>
      </c>
      <c r="K79">
        <v>2639008701648.2598</v>
      </c>
      <c r="L79">
        <v>39055.282928075401</v>
      </c>
      <c r="M79">
        <v>0.47649885272508302</v>
      </c>
      <c r="N79">
        <v>-7.7845864916787102</v>
      </c>
      <c r="O79" s="39">
        <v>34.78</v>
      </c>
      <c r="P79" s="39">
        <v>691.00199999999995</v>
      </c>
      <c r="Q79" s="39">
        <v>95</v>
      </c>
      <c r="R79" s="39">
        <v>12.47</v>
      </c>
    </row>
    <row r="80" spans="1:18" x14ac:dyDescent="0.25">
      <c r="A80" s="1" t="s">
        <v>427</v>
      </c>
      <c r="B80" s="2" t="s">
        <v>430</v>
      </c>
      <c r="C80" s="19">
        <v>38.4</v>
      </c>
      <c r="D80" s="3" t="s">
        <v>497</v>
      </c>
      <c r="E80" s="3" t="s">
        <v>483</v>
      </c>
      <c r="F80" s="23">
        <v>327591</v>
      </c>
      <c r="G80" s="35">
        <v>2016</v>
      </c>
      <c r="H80">
        <f>Table_8[[#This Row],[Listing Price (USD)]]/10000</f>
        <v>32.759099999999997</v>
      </c>
      <c r="I80">
        <f>Table_8[[#This Row],[Length 
(ft)]]</f>
        <v>38.4</v>
      </c>
      <c r="J80" s="37">
        <f>2020-Table_8[[#This Row],[Year]]</f>
        <v>4</v>
      </c>
      <c r="K80">
        <v>4200000000</v>
      </c>
      <c r="L80">
        <v>39553.199999999997</v>
      </c>
      <c r="M80">
        <v>2.5</v>
      </c>
      <c r="N80">
        <v>-2.1</v>
      </c>
      <c r="O80" s="39">
        <v>34.78</v>
      </c>
      <c r="P80" s="39">
        <v>691.00199999999995</v>
      </c>
      <c r="Q80" s="39">
        <v>95</v>
      </c>
      <c r="R80" s="39">
        <v>12.47</v>
      </c>
    </row>
    <row r="81" spans="1:18" x14ac:dyDescent="0.25">
      <c r="A81" s="1" t="s">
        <v>427</v>
      </c>
      <c r="B81" s="2" t="s">
        <v>430</v>
      </c>
      <c r="C81" s="19">
        <v>38.4</v>
      </c>
      <c r="D81" s="3" t="s">
        <v>496</v>
      </c>
      <c r="E81" s="4" t="s">
        <v>237</v>
      </c>
      <c r="F81" s="23">
        <v>327712</v>
      </c>
      <c r="G81" s="35">
        <v>2014</v>
      </c>
      <c r="H81">
        <f>Table_8[[#This Row],[Listing Price (USD)]]/10000</f>
        <v>32.7712</v>
      </c>
      <c r="I81">
        <f>Table_8[[#This Row],[Length 
(ft)]]</f>
        <v>38.4</v>
      </c>
      <c r="J81" s="37">
        <f>2020-Table_8[[#This Row],[Year]]</f>
        <v>6</v>
      </c>
      <c r="K81">
        <v>229031860520.77701</v>
      </c>
      <c r="L81">
        <v>22242.406417972001</v>
      </c>
      <c r="M81">
        <v>-1.2438329957616699E-2</v>
      </c>
      <c r="N81">
        <v>-8.3005160422115107</v>
      </c>
      <c r="O81" s="39">
        <v>34.78</v>
      </c>
      <c r="P81" s="39">
        <v>691.00199999999995</v>
      </c>
      <c r="Q81" s="39">
        <v>95</v>
      </c>
      <c r="R81" s="39">
        <v>12.47</v>
      </c>
    </row>
    <row r="82" spans="1:18" x14ac:dyDescent="0.25">
      <c r="A82" s="1" t="s">
        <v>427</v>
      </c>
      <c r="B82" s="2">
        <v>39</v>
      </c>
      <c r="C82" s="19">
        <v>38.4</v>
      </c>
      <c r="D82" s="3" t="s">
        <v>496</v>
      </c>
      <c r="E82" s="4" t="s">
        <v>237</v>
      </c>
      <c r="F82" s="23">
        <v>327968</v>
      </c>
      <c r="G82" s="35">
        <v>2014</v>
      </c>
      <c r="H82">
        <f>Table_8[[#This Row],[Listing Price (USD)]]/10000</f>
        <v>32.796799999999998</v>
      </c>
      <c r="I82">
        <f>Table_8[[#This Row],[Length 
(ft)]]</f>
        <v>38.4</v>
      </c>
      <c r="J82" s="37">
        <f>2020-Table_8[[#This Row],[Year]]</f>
        <v>6</v>
      </c>
      <c r="K82">
        <v>229031860520.77701</v>
      </c>
      <c r="L82">
        <v>22242.406417972001</v>
      </c>
      <c r="M82">
        <v>-1.2438329957616699E-2</v>
      </c>
      <c r="N82">
        <v>-8.3005160422115107</v>
      </c>
      <c r="O82" s="39">
        <v>34.78</v>
      </c>
      <c r="P82" s="39">
        <v>691.00199999999995</v>
      </c>
      <c r="Q82" s="39">
        <v>95</v>
      </c>
      <c r="R82" s="39">
        <v>12.47</v>
      </c>
    </row>
    <row r="83" spans="1:18" x14ac:dyDescent="0.25">
      <c r="A83" s="1" t="s">
        <v>427</v>
      </c>
      <c r="B83" s="2" t="s">
        <v>430</v>
      </c>
      <c r="C83" s="19">
        <v>38.4</v>
      </c>
      <c r="D83" s="3" t="s">
        <v>497</v>
      </c>
      <c r="E83" s="3" t="s">
        <v>483</v>
      </c>
      <c r="F83" s="23">
        <v>333174</v>
      </c>
      <c r="G83" s="35">
        <v>2015</v>
      </c>
      <c r="H83">
        <f>Table_8[[#This Row],[Listing Price (USD)]]/10000</f>
        <v>33.317399999999999</v>
      </c>
      <c r="I83">
        <f>Table_8[[#This Row],[Length 
(ft)]]</f>
        <v>38.4</v>
      </c>
      <c r="J83" s="37">
        <f>2020-Table_8[[#This Row],[Year]]</f>
        <v>5</v>
      </c>
      <c r="K83">
        <v>4200000000</v>
      </c>
      <c r="L83">
        <v>39553.199999999997</v>
      </c>
      <c r="M83">
        <v>2.5</v>
      </c>
      <c r="N83">
        <v>-2.1</v>
      </c>
      <c r="O83" s="39">
        <v>34.78</v>
      </c>
      <c r="P83" s="39">
        <v>691.00199999999995</v>
      </c>
      <c r="Q83" s="39">
        <v>95</v>
      </c>
      <c r="R83" s="39">
        <v>12.47</v>
      </c>
    </row>
    <row r="84" spans="1:18" x14ac:dyDescent="0.25">
      <c r="A84" s="1" t="s">
        <v>427</v>
      </c>
      <c r="B84" s="3">
        <v>39</v>
      </c>
      <c r="C84" s="19">
        <v>38.4</v>
      </c>
      <c r="D84" s="3" t="s">
        <v>497</v>
      </c>
      <c r="E84" s="3" t="s">
        <v>483</v>
      </c>
      <c r="F84" s="23">
        <v>333556</v>
      </c>
      <c r="G84" s="35">
        <v>2015</v>
      </c>
      <c r="H84">
        <f>Table_8[[#This Row],[Listing Price (USD)]]/10000</f>
        <v>33.355600000000003</v>
      </c>
      <c r="I84">
        <f>Table_8[[#This Row],[Length 
(ft)]]</f>
        <v>38.4</v>
      </c>
      <c r="J84" s="37">
        <f>2020-Table_8[[#This Row],[Year]]</f>
        <v>5</v>
      </c>
      <c r="K84">
        <v>4200000000</v>
      </c>
      <c r="L84">
        <v>39553.199999999997</v>
      </c>
      <c r="M84">
        <v>2.5</v>
      </c>
      <c r="N84">
        <v>-2.1</v>
      </c>
      <c r="O84" s="39">
        <v>34.78</v>
      </c>
      <c r="P84" s="39">
        <v>691.00199999999995</v>
      </c>
      <c r="Q84" s="39">
        <v>95</v>
      </c>
      <c r="R84" s="39">
        <v>12.47</v>
      </c>
    </row>
    <row r="85" spans="1:18" x14ac:dyDescent="0.25">
      <c r="A85" s="1" t="s">
        <v>427</v>
      </c>
      <c r="B85" s="2" t="s">
        <v>430</v>
      </c>
      <c r="C85" s="19">
        <v>38.4</v>
      </c>
      <c r="D85" s="3" t="s">
        <v>496</v>
      </c>
      <c r="E85" s="4" t="s">
        <v>31</v>
      </c>
      <c r="F85" s="23">
        <v>333781</v>
      </c>
      <c r="G85" s="35">
        <v>2017</v>
      </c>
      <c r="H85">
        <f>Table_8[[#This Row],[Listing Price (USD)]]/10000</f>
        <v>33.378100000000003</v>
      </c>
      <c r="I85">
        <f>Table_8[[#This Row],[Length 
(ft)]]</f>
        <v>38.4</v>
      </c>
      <c r="J85" s="37">
        <f>2020-Table_8[[#This Row],[Year]]</f>
        <v>3</v>
      </c>
      <c r="K85">
        <v>57472012426.685303</v>
      </c>
      <c r="L85">
        <v>14198.753959474399</v>
      </c>
      <c r="M85">
        <v>0.15481137456202801</v>
      </c>
      <c r="N85">
        <v>-8.5803430210621805</v>
      </c>
      <c r="O85" s="39">
        <v>34.78</v>
      </c>
      <c r="P85" s="39">
        <v>691.00199999999995</v>
      </c>
      <c r="Q85" s="39">
        <v>95</v>
      </c>
      <c r="R85" s="39">
        <v>12.47</v>
      </c>
    </row>
    <row r="86" spans="1:18" x14ac:dyDescent="0.25">
      <c r="A86" s="1" t="s">
        <v>427</v>
      </c>
      <c r="B86" s="2">
        <v>39</v>
      </c>
      <c r="C86" s="19">
        <v>38.4</v>
      </c>
      <c r="D86" s="3" t="s">
        <v>496</v>
      </c>
      <c r="E86" s="3" t="s">
        <v>3</v>
      </c>
      <c r="F86" s="23">
        <v>334042</v>
      </c>
      <c r="G86" s="35">
        <v>2014</v>
      </c>
      <c r="H86">
        <f>Table_8[[#This Row],[Listing Price (USD)]]/10000</f>
        <v>33.404200000000003</v>
      </c>
      <c r="I86">
        <f>Table_8[[#This Row],[Length 
(ft)]]</f>
        <v>38.4</v>
      </c>
      <c r="J86" s="37">
        <f>2020-Table_8[[#This Row],[Year]]</f>
        <v>6</v>
      </c>
      <c r="K86">
        <v>2639008701648.2598</v>
      </c>
      <c r="L86">
        <v>39055.282928075401</v>
      </c>
      <c r="M86">
        <v>0.47649885272508302</v>
      </c>
      <c r="N86">
        <v>-7.7845864916787102</v>
      </c>
      <c r="O86" s="39">
        <v>34.78</v>
      </c>
      <c r="P86" s="39">
        <v>691.00199999999995</v>
      </c>
      <c r="Q86" s="39">
        <v>95</v>
      </c>
      <c r="R86" s="39">
        <v>12.47</v>
      </c>
    </row>
    <row r="87" spans="1:18" x14ac:dyDescent="0.25">
      <c r="A87" s="1" t="s">
        <v>427</v>
      </c>
      <c r="B87" s="2" t="s">
        <v>430</v>
      </c>
      <c r="C87" s="19">
        <v>38.4</v>
      </c>
      <c r="D87" s="3" t="s">
        <v>496</v>
      </c>
      <c r="E87" s="4" t="s">
        <v>9</v>
      </c>
      <c r="F87" s="23">
        <v>334380</v>
      </c>
      <c r="G87" s="35">
        <v>2015</v>
      </c>
      <c r="H87">
        <f>Table_8[[#This Row],[Listing Price (USD)]]/10000</f>
        <v>33.438000000000002</v>
      </c>
      <c r="I87">
        <f>Table_8[[#This Row],[Length 
(ft)]]</f>
        <v>38.4</v>
      </c>
      <c r="J87" s="37">
        <f>2020-Table_8[[#This Row],[Year]]</f>
        <v>5</v>
      </c>
      <c r="K87">
        <v>1276962685648.25</v>
      </c>
      <c r="L87">
        <v>26959.675436732599</v>
      </c>
      <c r="M87">
        <v>-0.32275301729970501</v>
      </c>
      <c r="N87">
        <v>-11.3254383222864</v>
      </c>
      <c r="O87" s="39">
        <v>34.78</v>
      </c>
      <c r="P87" s="39">
        <v>691.00199999999995</v>
      </c>
      <c r="Q87" s="39">
        <v>95</v>
      </c>
      <c r="R87" s="39">
        <v>12.47</v>
      </c>
    </row>
    <row r="88" spans="1:18" x14ac:dyDescent="0.25">
      <c r="A88" s="1" t="s">
        <v>441</v>
      </c>
      <c r="B88" s="2">
        <v>39</v>
      </c>
      <c r="C88" s="19">
        <v>38</v>
      </c>
      <c r="D88" s="3" t="s">
        <v>495</v>
      </c>
      <c r="E88" s="3" t="s">
        <v>333</v>
      </c>
      <c r="F88" s="23">
        <v>335000</v>
      </c>
      <c r="G88" s="35">
        <v>2016</v>
      </c>
      <c r="H88">
        <f>Table_8[[#This Row],[Listing Price (USD)]]/10000</f>
        <v>33.5</v>
      </c>
      <c r="I88">
        <f>Table_8[[#This Row],[Length 
(ft)]]</f>
        <v>38</v>
      </c>
      <c r="J88" s="37">
        <f>2020-Table_8[[#This Row],[Year]]</f>
        <v>4</v>
      </c>
      <c r="K88">
        <v>1106036000000</v>
      </c>
      <c r="L88">
        <v>51276.72</v>
      </c>
      <c r="M88">
        <v>1.23</v>
      </c>
      <c r="N88">
        <v>2.9</v>
      </c>
      <c r="O88" s="39">
        <v>38</v>
      </c>
      <c r="P88" s="39">
        <v>914.00199999999995</v>
      </c>
      <c r="Q88" s="39">
        <v>40</v>
      </c>
      <c r="R88" s="39">
        <v>20.67</v>
      </c>
    </row>
    <row r="89" spans="1:18" x14ac:dyDescent="0.25">
      <c r="A89" s="1" t="s">
        <v>442</v>
      </c>
      <c r="B89" s="2">
        <v>39</v>
      </c>
      <c r="C89" s="19">
        <v>37.5</v>
      </c>
      <c r="D89" s="3" t="s">
        <v>495</v>
      </c>
      <c r="E89" s="3" t="s">
        <v>333</v>
      </c>
      <c r="F89" s="23">
        <v>339000</v>
      </c>
      <c r="G89" s="35">
        <v>2011</v>
      </c>
      <c r="H89">
        <f>Table_8[[#This Row],[Listing Price (USD)]]/10000</f>
        <v>33.9</v>
      </c>
      <c r="I89">
        <f>Table_8[[#This Row],[Length 
(ft)]]</f>
        <v>37.5</v>
      </c>
      <c r="J89" s="37">
        <f>2020-Table_8[[#This Row],[Year]]</f>
        <v>9</v>
      </c>
      <c r="K89">
        <v>1106036000000</v>
      </c>
      <c r="L89">
        <v>51276.72</v>
      </c>
      <c r="M89">
        <v>1.23</v>
      </c>
      <c r="N89">
        <v>2.9</v>
      </c>
      <c r="O89" s="39">
        <v>38</v>
      </c>
      <c r="P89" s="39">
        <v>91.001999999999995</v>
      </c>
      <c r="Q89" s="39">
        <v>137</v>
      </c>
      <c r="R89" s="39">
        <v>22.97</v>
      </c>
    </row>
    <row r="90" spans="1:18" x14ac:dyDescent="0.25">
      <c r="A90" s="1" t="s">
        <v>443</v>
      </c>
      <c r="B90" s="2">
        <v>39</v>
      </c>
      <c r="C90" s="19">
        <v>37.5</v>
      </c>
      <c r="D90" s="3" t="s">
        <v>495</v>
      </c>
      <c r="E90" s="3" t="s">
        <v>333</v>
      </c>
      <c r="F90" s="23">
        <v>339000</v>
      </c>
      <c r="G90" s="35">
        <v>2011</v>
      </c>
      <c r="H90">
        <f>Table_8[[#This Row],[Listing Price (USD)]]/10000</f>
        <v>33.9</v>
      </c>
      <c r="I90">
        <f>Table_8[[#This Row],[Length 
(ft)]]</f>
        <v>37.5</v>
      </c>
      <c r="J90" s="37">
        <f>2020-Table_8[[#This Row],[Year]]</f>
        <v>9</v>
      </c>
      <c r="K90">
        <v>1106036000000</v>
      </c>
      <c r="L90">
        <v>51276.72</v>
      </c>
      <c r="M90">
        <v>1.23</v>
      </c>
      <c r="N90">
        <v>2.9</v>
      </c>
      <c r="O90" s="39">
        <v>38</v>
      </c>
      <c r="P90" s="39">
        <v>990.28200000000004</v>
      </c>
      <c r="Q90" s="39">
        <v>137</v>
      </c>
      <c r="R90" s="39">
        <v>22.97</v>
      </c>
    </row>
    <row r="91" spans="1:18" x14ac:dyDescent="0.25">
      <c r="A91" s="1" t="s">
        <v>427</v>
      </c>
      <c r="B91" s="2" t="s">
        <v>430</v>
      </c>
      <c r="C91" s="19">
        <v>38.4</v>
      </c>
      <c r="D91" s="3" t="s">
        <v>496</v>
      </c>
      <c r="E91" s="4" t="s">
        <v>18</v>
      </c>
      <c r="F91" s="23">
        <v>357702</v>
      </c>
      <c r="G91" s="35">
        <v>2017</v>
      </c>
      <c r="H91">
        <f>Table_8[[#This Row],[Listing Price (USD)]]/10000</f>
        <v>35.770200000000003</v>
      </c>
      <c r="I91">
        <f>Table_8[[#This Row],[Length 
(ft)]]</f>
        <v>38.4</v>
      </c>
      <c r="J91" s="37">
        <f>2020-Table_8[[#This Row],[Year]]</f>
        <v>3</v>
      </c>
      <c r="K91">
        <v>188925995936.80701</v>
      </c>
      <c r="L91">
        <v>17658.947301119199</v>
      </c>
      <c r="M91">
        <v>-1.2479835558140799</v>
      </c>
      <c r="N91">
        <v>-9.0040436420214593</v>
      </c>
      <c r="O91" s="39">
        <v>34.78</v>
      </c>
      <c r="P91" s="39">
        <v>691.00199999999995</v>
      </c>
      <c r="Q91" s="39">
        <v>95</v>
      </c>
      <c r="R91" s="39">
        <v>12.47</v>
      </c>
    </row>
    <row r="92" spans="1:18" x14ac:dyDescent="0.25">
      <c r="A92" s="1" t="s">
        <v>427</v>
      </c>
      <c r="B92" s="2">
        <v>39</v>
      </c>
      <c r="C92" s="19">
        <v>38.4</v>
      </c>
      <c r="D92" s="3" t="s">
        <v>496</v>
      </c>
      <c r="E92" s="3" t="s">
        <v>18</v>
      </c>
      <c r="F92" s="23">
        <v>358335</v>
      </c>
      <c r="G92" s="35">
        <v>2017</v>
      </c>
      <c r="H92">
        <f>Table_8[[#This Row],[Listing Price (USD)]]/10000</f>
        <v>35.833500000000001</v>
      </c>
      <c r="I92">
        <f>Table_8[[#This Row],[Length 
(ft)]]</f>
        <v>38.4</v>
      </c>
      <c r="J92" s="37">
        <f>2020-Table_8[[#This Row],[Year]]</f>
        <v>3</v>
      </c>
      <c r="K92">
        <v>188925995936.80701</v>
      </c>
      <c r="L92">
        <v>17658.947301119199</v>
      </c>
      <c r="M92">
        <v>-1.2479835558140799</v>
      </c>
      <c r="N92">
        <v>-9.0040436420214593</v>
      </c>
      <c r="O92" s="39">
        <v>34.78</v>
      </c>
      <c r="P92" s="39">
        <v>691.00199999999995</v>
      </c>
      <c r="Q92" s="39">
        <v>95</v>
      </c>
      <c r="R92" s="39">
        <v>12.47</v>
      </c>
    </row>
    <row r="93" spans="1:18" x14ac:dyDescent="0.25">
      <c r="A93" s="1" t="s">
        <v>442</v>
      </c>
      <c r="B93" s="2">
        <v>39</v>
      </c>
      <c r="C93" s="19">
        <v>37.5</v>
      </c>
      <c r="D93" s="3" t="s">
        <v>496</v>
      </c>
      <c r="E93" s="4" t="s">
        <v>63</v>
      </c>
      <c r="F93" s="23">
        <v>364125</v>
      </c>
      <c r="G93" s="35">
        <v>2013</v>
      </c>
      <c r="H93">
        <f>Table_8[[#This Row],[Listing Price (USD)]]/10000</f>
        <v>36.412500000000001</v>
      </c>
      <c r="I93">
        <f>Table_8[[#This Row],[Length 
(ft)]]</f>
        <v>37.5</v>
      </c>
      <c r="J93" s="37">
        <f>2020-Table_8[[#This Row],[Year]]</f>
        <v>7</v>
      </c>
      <c r="K93">
        <v>720290000000</v>
      </c>
      <c r="L93">
        <v>13341.6</v>
      </c>
      <c r="M93">
        <v>13</v>
      </c>
      <c r="N93">
        <v>-3</v>
      </c>
      <c r="O93" s="39">
        <v>38</v>
      </c>
      <c r="P93" s="39">
        <v>990.28200000000004</v>
      </c>
      <c r="Q93" s="39">
        <v>137</v>
      </c>
      <c r="R93" s="39">
        <v>22.97</v>
      </c>
    </row>
    <row r="94" spans="1:18" x14ac:dyDescent="0.25">
      <c r="A94" s="1" t="s">
        <v>442</v>
      </c>
      <c r="B94" s="2">
        <v>39</v>
      </c>
      <c r="C94" s="19">
        <v>37.5</v>
      </c>
      <c r="D94" s="3" t="s">
        <v>496</v>
      </c>
      <c r="E94" s="4" t="s">
        <v>63</v>
      </c>
      <c r="F94" s="23">
        <v>364424</v>
      </c>
      <c r="G94" s="35">
        <v>2013</v>
      </c>
      <c r="H94">
        <f>Table_8[[#This Row],[Listing Price (USD)]]/10000</f>
        <v>36.442399999999999</v>
      </c>
      <c r="I94">
        <f>Table_8[[#This Row],[Length 
(ft)]]</f>
        <v>37.5</v>
      </c>
      <c r="J94" s="37">
        <f>2020-Table_8[[#This Row],[Year]]</f>
        <v>7</v>
      </c>
      <c r="K94">
        <v>720290000000</v>
      </c>
      <c r="L94">
        <v>13341.6</v>
      </c>
      <c r="M94">
        <v>13</v>
      </c>
      <c r="N94">
        <v>-3</v>
      </c>
      <c r="O94" s="39">
        <v>38</v>
      </c>
      <c r="P94" s="39">
        <v>990.28200000000004</v>
      </c>
      <c r="Q94" s="39">
        <v>137</v>
      </c>
      <c r="R94" s="39">
        <v>22.97</v>
      </c>
    </row>
    <row r="95" spans="1:18" x14ac:dyDescent="0.25">
      <c r="A95" s="1" t="s">
        <v>427</v>
      </c>
      <c r="B95" s="2" t="s">
        <v>430</v>
      </c>
      <c r="C95" s="19">
        <v>38.4</v>
      </c>
      <c r="D95" s="3" t="s">
        <v>496</v>
      </c>
      <c r="E95" s="4" t="s">
        <v>18</v>
      </c>
      <c r="F95" s="23">
        <v>388554</v>
      </c>
      <c r="G95" s="35">
        <v>2014</v>
      </c>
      <c r="H95">
        <f>Table_8[[#This Row],[Listing Price (USD)]]/10000</f>
        <v>38.855400000000003</v>
      </c>
      <c r="I95">
        <f>Table_8[[#This Row],[Length 
(ft)]]</f>
        <v>38.4</v>
      </c>
      <c r="J95" s="37">
        <f>2020-Table_8[[#This Row],[Year]]</f>
        <v>6</v>
      </c>
      <c r="K95">
        <v>188925995936.80701</v>
      </c>
      <c r="L95">
        <v>17658.947301119199</v>
      </c>
      <c r="M95">
        <v>-1.2479835558140799</v>
      </c>
      <c r="N95">
        <v>-9.0040436420214593</v>
      </c>
      <c r="O95" s="39">
        <v>34.78</v>
      </c>
      <c r="P95" s="39">
        <v>691.00199999999995</v>
      </c>
      <c r="Q95" s="39">
        <v>95</v>
      </c>
      <c r="R95" s="39">
        <v>12.47</v>
      </c>
    </row>
    <row r="96" spans="1:18" x14ac:dyDescent="0.25">
      <c r="A96" s="1" t="s">
        <v>427</v>
      </c>
      <c r="B96" s="2" t="s">
        <v>430</v>
      </c>
      <c r="C96" s="19">
        <v>38.4</v>
      </c>
      <c r="D96" s="3" t="s">
        <v>497</v>
      </c>
      <c r="E96" s="3" t="s">
        <v>498</v>
      </c>
      <c r="F96" s="23">
        <v>399000</v>
      </c>
      <c r="G96" s="35">
        <v>2016</v>
      </c>
      <c r="H96">
        <f>Table_8[[#This Row],[Listing Price (USD)]]/10000</f>
        <v>39.9</v>
      </c>
      <c r="I96">
        <f>Table_8[[#This Row],[Length 
(ft)]]</f>
        <v>38.4</v>
      </c>
      <c r="J96" s="37">
        <f>2020-Table_8[[#This Row],[Year]]</f>
        <v>4</v>
      </c>
      <c r="K96">
        <v>1090515389749.41</v>
      </c>
      <c r="L96">
        <v>8655.0006820680301</v>
      </c>
      <c r="M96">
        <v>3.3968341556999899</v>
      </c>
      <c r="N96">
        <v>-7.9879123401474903</v>
      </c>
      <c r="O96" s="39">
        <v>34.78</v>
      </c>
      <c r="P96" s="39">
        <v>691.00199999999995</v>
      </c>
      <c r="Q96" s="39">
        <v>95</v>
      </c>
      <c r="R96" s="39">
        <v>12.47</v>
      </c>
    </row>
    <row r="97" spans="1:18" x14ac:dyDescent="0.25">
      <c r="A97" s="1" t="s">
        <v>427</v>
      </c>
      <c r="B97" s="2" t="s">
        <v>430</v>
      </c>
      <c r="C97" s="19">
        <v>38.4</v>
      </c>
      <c r="D97" s="3" t="s">
        <v>496</v>
      </c>
      <c r="E97" s="4" t="s">
        <v>63</v>
      </c>
      <c r="F97" s="23">
        <v>401256</v>
      </c>
      <c r="G97" s="35">
        <v>2015</v>
      </c>
      <c r="H97">
        <f>Table_8[[#This Row],[Listing Price (USD)]]/10000</f>
        <v>40.125599999999999</v>
      </c>
      <c r="I97">
        <f>Table_8[[#This Row],[Length 
(ft)]]</f>
        <v>38.4</v>
      </c>
      <c r="J97" s="37">
        <f>2020-Table_8[[#This Row],[Year]]</f>
        <v>5</v>
      </c>
      <c r="K97">
        <v>720290000000</v>
      </c>
      <c r="L97">
        <v>13341.6</v>
      </c>
      <c r="M97">
        <v>13</v>
      </c>
      <c r="N97">
        <v>-3</v>
      </c>
      <c r="O97" s="39">
        <v>34.78</v>
      </c>
      <c r="P97" s="39">
        <v>691.00199999999995</v>
      </c>
      <c r="Q97" s="39">
        <v>95</v>
      </c>
      <c r="R97" s="39">
        <v>12.47</v>
      </c>
    </row>
    <row r="98" spans="1:18" x14ac:dyDescent="0.25">
      <c r="A98" s="1" t="s">
        <v>444</v>
      </c>
      <c r="B98" s="2" t="s">
        <v>125</v>
      </c>
      <c r="C98" s="19">
        <v>39.5</v>
      </c>
      <c r="D98" s="3" t="s">
        <v>496</v>
      </c>
      <c r="E98" s="4" t="s">
        <v>31</v>
      </c>
      <c r="F98" s="23">
        <v>188131</v>
      </c>
      <c r="G98" s="35">
        <v>2005</v>
      </c>
      <c r="H98">
        <f>Table_8[[#This Row],[Listing Price (USD)]]/10000</f>
        <v>18.813099999999999</v>
      </c>
      <c r="I98">
        <f>Table_8[[#This Row],[Length 
(ft)]]</f>
        <v>39.5</v>
      </c>
      <c r="J98" s="37">
        <f>2020-Table_8[[#This Row],[Year]]</f>
        <v>15</v>
      </c>
      <c r="K98">
        <v>57472012426.685303</v>
      </c>
      <c r="L98">
        <v>14198.753959474399</v>
      </c>
      <c r="M98">
        <v>0.15481137456202801</v>
      </c>
      <c r="N98">
        <v>-8.5803430210621805</v>
      </c>
      <c r="O98" s="39">
        <v>39.17</v>
      </c>
      <c r="P98" s="39">
        <v>979.00199999999995</v>
      </c>
      <c r="Q98" s="39">
        <v>114</v>
      </c>
      <c r="R98" s="39">
        <v>22.67</v>
      </c>
    </row>
    <row r="99" spans="1:18" x14ac:dyDescent="0.25">
      <c r="A99" s="1" t="s">
        <v>444</v>
      </c>
      <c r="B99" s="2">
        <v>40</v>
      </c>
      <c r="C99" s="19">
        <v>39.5</v>
      </c>
      <c r="D99" s="3" t="s">
        <v>496</v>
      </c>
      <c r="E99" s="4" t="s">
        <v>31</v>
      </c>
      <c r="F99" s="23">
        <v>188252</v>
      </c>
      <c r="G99" s="35">
        <v>2005</v>
      </c>
      <c r="H99">
        <f>Table_8[[#This Row],[Listing Price (USD)]]/10000</f>
        <v>18.825199999999999</v>
      </c>
      <c r="I99">
        <f>Table_8[[#This Row],[Length 
(ft)]]</f>
        <v>39.5</v>
      </c>
      <c r="J99" s="37">
        <f>2020-Table_8[[#This Row],[Year]]</f>
        <v>15</v>
      </c>
      <c r="K99">
        <v>57472012426.685303</v>
      </c>
      <c r="L99">
        <v>14198.753959474399</v>
      </c>
      <c r="M99">
        <v>0.15481137456202801</v>
      </c>
      <c r="N99">
        <v>-8.5803430210621805</v>
      </c>
      <c r="O99" s="39">
        <v>39.17</v>
      </c>
      <c r="P99" s="39">
        <v>979.00199999999995</v>
      </c>
      <c r="Q99" s="39">
        <v>114</v>
      </c>
      <c r="R99" s="39">
        <v>22.67</v>
      </c>
    </row>
    <row r="100" spans="1:18" x14ac:dyDescent="0.25">
      <c r="A100" s="1" t="s">
        <v>444</v>
      </c>
      <c r="B100" s="2">
        <v>40</v>
      </c>
      <c r="C100" s="19">
        <v>39.5</v>
      </c>
      <c r="D100" s="3" t="s">
        <v>496</v>
      </c>
      <c r="E100" s="4" t="s">
        <v>18</v>
      </c>
      <c r="F100" s="23">
        <v>191772</v>
      </c>
      <c r="G100" s="35">
        <v>2006</v>
      </c>
      <c r="H100">
        <f>Table_8[[#This Row],[Listing Price (USD)]]/10000</f>
        <v>19.177199999999999</v>
      </c>
      <c r="I100">
        <f>Table_8[[#This Row],[Length 
(ft)]]</f>
        <v>39.5</v>
      </c>
      <c r="J100" s="37">
        <f>2020-Table_8[[#This Row],[Year]]</f>
        <v>14</v>
      </c>
      <c r="K100">
        <v>188925995936.80701</v>
      </c>
      <c r="L100">
        <v>17658.947301119199</v>
      </c>
      <c r="M100">
        <v>-1.2479835558140799</v>
      </c>
      <c r="N100">
        <v>-9.0040436420214593</v>
      </c>
      <c r="O100" s="39">
        <v>39.17</v>
      </c>
      <c r="P100" s="39">
        <v>979.00199999999995</v>
      </c>
      <c r="Q100" s="39">
        <v>114</v>
      </c>
      <c r="R100" s="39">
        <v>22.67</v>
      </c>
    </row>
    <row r="101" spans="1:18" x14ac:dyDescent="0.25">
      <c r="A101" s="1" t="s">
        <v>444</v>
      </c>
      <c r="B101" s="2" t="s">
        <v>125</v>
      </c>
      <c r="C101" s="19">
        <v>39.5</v>
      </c>
      <c r="D101" s="3" t="s">
        <v>496</v>
      </c>
      <c r="E101" s="4" t="s">
        <v>31</v>
      </c>
      <c r="F101" s="23">
        <v>191772</v>
      </c>
      <c r="G101" s="35">
        <v>2008</v>
      </c>
      <c r="H101">
        <f>Table_8[[#This Row],[Listing Price (USD)]]/10000</f>
        <v>19.177199999999999</v>
      </c>
      <c r="I101">
        <f>Table_8[[#This Row],[Length 
(ft)]]</f>
        <v>39.5</v>
      </c>
      <c r="J101" s="37">
        <f>2020-Table_8[[#This Row],[Year]]</f>
        <v>12</v>
      </c>
      <c r="K101">
        <v>57472012426.685303</v>
      </c>
      <c r="L101">
        <v>14198.753959474399</v>
      </c>
      <c r="M101">
        <v>0.15481137456202801</v>
      </c>
      <c r="N101">
        <v>-8.5803430210621805</v>
      </c>
      <c r="O101" s="39">
        <v>39.17</v>
      </c>
      <c r="P101" s="39">
        <v>979.00199999999995</v>
      </c>
      <c r="Q101" s="39">
        <v>114</v>
      </c>
      <c r="R101" s="39">
        <v>22.67</v>
      </c>
    </row>
    <row r="102" spans="1:18" x14ac:dyDescent="0.25">
      <c r="A102" s="1" t="s">
        <v>444</v>
      </c>
      <c r="B102" s="2">
        <v>40</v>
      </c>
      <c r="C102" s="19">
        <v>39.5</v>
      </c>
      <c r="D102" s="3" t="s">
        <v>496</v>
      </c>
      <c r="E102" s="4" t="s">
        <v>18</v>
      </c>
      <c r="F102" s="23">
        <v>192796</v>
      </c>
      <c r="G102" s="35">
        <v>2006</v>
      </c>
      <c r="H102">
        <f>Table_8[[#This Row],[Listing Price (USD)]]/10000</f>
        <v>19.279599999999999</v>
      </c>
      <c r="I102">
        <f>Table_8[[#This Row],[Length 
(ft)]]</f>
        <v>39.5</v>
      </c>
      <c r="J102" s="37">
        <f>2020-Table_8[[#This Row],[Year]]</f>
        <v>14</v>
      </c>
      <c r="K102">
        <v>188925995936.80701</v>
      </c>
      <c r="L102">
        <v>17658.947301119199</v>
      </c>
      <c r="M102">
        <v>-1.2479835558140799</v>
      </c>
      <c r="N102">
        <v>-9.0040436420214593</v>
      </c>
      <c r="O102" s="39">
        <v>39.17</v>
      </c>
      <c r="P102" s="39">
        <v>979.00199999999995</v>
      </c>
      <c r="Q102" s="39">
        <v>114</v>
      </c>
      <c r="R102" s="39">
        <v>22.67</v>
      </c>
    </row>
    <row r="103" spans="1:18" x14ac:dyDescent="0.25">
      <c r="A103" s="1" t="s">
        <v>442</v>
      </c>
      <c r="B103" s="3">
        <v>40</v>
      </c>
      <c r="C103" s="19">
        <v>39</v>
      </c>
      <c r="D103" s="3" t="s">
        <v>497</v>
      </c>
      <c r="E103" s="3" t="s">
        <v>481</v>
      </c>
      <c r="F103" s="23">
        <v>200000</v>
      </c>
      <c r="G103" s="35">
        <v>2005</v>
      </c>
      <c r="H103">
        <f>Table_8[[#This Row],[Listing Price (USD)]]/10000</f>
        <v>20</v>
      </c>
      <c r="I103">
        <f>Table_8[[#This Row],[Length 
(ft)]]</f>
        <v>39</v>
      </c>
      <c r="J103" s="37">
        <f>2020-Table_8[[#This Row],[Year]]</f>
        <v>15</v>
      </c>
      <c r="K103">
        <v>53977000000</v>
      </c>
      <c r="L103">
        <v>12569.1715435651</v>
      </c>
      <c r="M103">
        <v>-1.55027540803759</v>
      </c>
      <c r="N103">
        <v>-17.944893597249301</v>
      </c>
      <c r="O103" s="39">
        <v>32.549999999999997</v>
      </c>
      <c r="P103" s="39">
        <v>861.11199999999997</v>
      </c>
      <c r="Q103" s="39">
        <v>40</v>
      </c>
      <c r="R103" s="39">
        <v>13.19</v>
      </c>
    </row>
    <row r="104" spans="1:18" x14ac:dyDescent="0.25">
      <c r="A104" s="1" t="s">
        <v>444</v>
      </c>
      <c r="B104" s="2" t="s">
        <v>125</v>
      </c>
      <c r="C104" s="19">
        <v>39.5</v>
      </c>
      <c r="D104" s="3" t="s">
        <v>496</v>
      </c>
      <c r="E104" s="4" t="s">
        <v>18</v>
      </c>
      <c r="F104" s="23">
        <v>206337</v>
      </c>
      <c r="G104" s="35">
        <v>2006</v>
      </c>
      <c r="H104">
        <f>Table_8[[#This Row],[Listing Price (USD)]]/10000</f>
        <v>20.633700000000001</v>
      </c>
      <c r="I104">
        <f>Table_8[[#This Row],[Length 
(ft)]]</f>
        <v>39.5</v>
      </c>
      <c r="J104" s="37">
        <f>2020-Table_8[[#This Row],[Year]]</f>
        <v>14</v>
      </c>
      <c r="K104">
        <v>188925995936.80701</v>
      </c>
      <c r="L104">
        <v>17658.947301119199</v>
      </c>
      <c r="M104">
        <v>-1.2479835558140799</v>
      </c>
      <c r="N104">
        <v>-9.0040436420214593</v>
      </c>
      <c r="O104" s="39">
        <v>39.17</v>
      </c>
      <c r="P104" s="39">
        <v>979.00199999999995</v>
      </c>
      <c r="Q104" s="39">
        <v>114</v>
      </c>
      <c r="R104" s="39">
        <v>22.67</v>
      </c>
    </row>
    <row r="105" spans="1:18" x14ac:dyDescent="0.25">
      <c r="A105" s="1" t="s">
        <v>444</v>
      </c>
      <c r="B105" s="2">
        <v>40</v>
      </c>
      <c r="C105" s="19">
        <v>39.5</v>
      </c>
      <c r="D105" s="3" t="s">
        <v>496</v>
      </c>
      <c r="E105" s="4" t="s">
        <v>18</v>
      </c>
      <c r="F105" s="23">
        <v>206551</v>
      </c>
      <c r="G105" s="35">
        <v>2006</v>
      </c>
      <c r="H105">
        <f>Table_8[[#This Row],[Listing Price (USD)]]/10000</f>
        <v>20.655100000000001</v>
      </c>
      <c r="I105">
        <f>Table_8[[#This Row],[Length 
(ft)]]</f>
        <v>39.5</v>
      </c>
      <c r="J105" s="37">
        <f>2020-Table_8[[#This Row],[Year]]</f>
        <v>14</v>
      </c>
      <c r="K105">
        <v>188925995936.80701</v>
      </c>
      <c r="L105">
        <v>17658.947301119199</v>
      </c>
      <c r="M105">
        <v>-1.2479835558140799</v>
      </c>
      <c r="N105">
        <v>-9.0040436420214593</v>
      </c>
      <c r="O105" s="39">
        <v>39.17</v>
      </c>
      <c r="P105" s="39">
        <v>979.00199999999995</v>
      </c>
      <c r="Q105" s="39">
        <v>114</v>
      </c>
      <c r="R105" s="39">
        <v>22.67</v>
      </c>
    </row>
    <row r="106" spans="1:18" x14ac:dyDescent="0.25">
      <c r="A106" s="1" t="s">
        <v>444</v>
      </c>
      <c r="B106" s="2" t="s">
        <v>125</v>
      </c>
      <c r="C106" s="19">
        <v>39.5</v>
      </c>
      <c r="D106" s="3" t="s">
        <v>496</v>
      </c>
      <c r="E106" s="4" t="s">
        <v>24</v>
      </c>
      <c r="F106" s="23">
        <v>206722</v>
      </c>
      <c r="G106" s="35">
        <v>2006</v>
      </c>
      <c r="H106">
        <f>Table_8[[#This Row],[Listing Price (USD)]]/10000</f>
        <v>20.6722</v>
      </c>
      <c r="I106">
        <f>Table_8[[#This Row],[Length 
(ft)]]</f>
        <v>39.5</v>
      </c>
      <c r="J106" s="37">
        <f>2020-Table_8[[#This Row],[Year]]</f>
        <v>14</v>
      </c>
      <c r="K106">
        <v>1896755301518.1399</v>
      </c>
      <c r="L106">
        <v>31911.0357890017</v>
      </c>
      <c r="M106">
        <v>-0.13770757391656999</v>
      </c>
      <c r="N106">
        <v>-9.0399534112288507</v>
      </c>
      <c r="O106" s="39">
        <v>39.17</v>
      </c>
      <c r="P106" s="39">
        <v>979.00199999999995</v>
      </c>
      <c r="Q106" s="39">
        <v>114</v>
      </c>
      <c r="R106" s="39">
        <v>22.67</v>
      </c>
    </row>
    <row r="107" spans="1:18" x14ac:dyDescent="0.25">
      <c r="A107" s="1" t="s">
        <v>442</v>
      </c>
      <c r="B107" s="3">
        <v>40</v>
      </c>
      <c r="C107" s="19">
        <v>39</v>
      </c>
      <c r="D107" s="3" t="s">
        <v>497</v>
      </c>
      <c r="E107" s="3" t="s">
        <v>508</v>
      </c>
      <c r="F107" s="23">
        <v>209999</v>
      </c>
      <c r="G107" s="35">
        <v>2017</v>
      </c>
      <c r="H107">
        <f>Table_8[[#This Row],[Listing Price (USD)]]/10000</f>
        <v>20.9999</v>
      </c>
      <c r="I107">
        <f>Table_8[[#This Row],[Length 
(ft)]]</f>
        <v>39</v>
      </c>
      <c r="J107" s="37">
        <f>2020-Table_8[[#This Row],[Year]]</f>
        <v>3</v>
      </c>
      <c r="K107">
        <v>9700000000</v>
      </c>
      <c r="L107">
        <v>26659</v>
      </c>
      <c r="M107">
        <v>-3.5</v>
      </c>
      <c r="N107">
        <v>-24.2</v>
      </c>
      <c r="O107" s="39">
        <v>39.1</v>
      </c>
      <c r="P107" s="39">
        <v>969.00199999999995</v>
      </c>
      <c r="Q107" s="39">
        <v>66</v>
      </c>
      <c r="R107" s="39">
        <v>21.4</v>
      </c>
    </row>
    <row r="108" spans="1:18" x14ac:dyDescent="0.25">
      <c r="A108" s="1" t="s">
        <v>443</v>
      </c>
      <c r="B108" s="2">
        <v>40</v>
      </c>
      <c r="C108" s="19">
        <v>39</v>
      </c>
      <c r="D108" s="3" t="s">
        <v>495</v>
      </c>
      <c r="E108" s="3" t="s">
        <v>333</v>
      </c>
      <c r="F108" s="23">
        <v>215500</v>
      </c>
      <c r="G108" s="35">
        <v>2006</v>
      </c>
      <c r="H108">
        <f>Table_8[[#This Row],[Listing Price (USD)]]/10000</f>
        <v>21.55</v>
      </c>
      <c r="I108">
        <f>Table_8[[#This Row],[Length 
(ft)]]</f>
        <v>39</v>
      </c>
      <c r="J108" s="37">
        <f>2020-Table_8[[#This Row],[Year]]</f>
        <v>14</v>
      </c>
      <c r="K108">
        <v>1106036000000</v>
      </c>
      <c r="L108">
        <v>51276.72</v>
      </c>
      <c r="M108">
        <v>1.23</v>
      </c>
      <c r="N108">
        <v>2.9</v>
      </c>
      <c r="O108" s="39">
        <v>38.479999999999997</v>
      </c>
      <c r="P108" s="39">
        <v>624.00199999999995</v>
      </c>
      <c r="Q108" s="39">
        <v>40</v>
      </c>
      <c r="R108" s="39">
        <v>12.53</v>
      </c>
    </row>
    <row r="109" spans="1:18" x14ac:dyDescent="0.25">
      <c r="A109" s="1" t="s">
        <v>444</v>
      </c>
      <c r="B109" s="2" t="s">
        <v>125</v>
      </c>
      <c r="C109" s="19">
        <v>39.5</v>
      </c>
      <c r="D109" s="3" t="s">
        <v>496</v>
      </c>
      <c r="E109" s="4" t="s">
        <v>18</v>
      </c>
      <c r="F109" s="23">
        <v>217047</v>
      </c>
      <c r="G109" s="35">
        <v>2006</v>
      </c>
      <c r="H109">
        <f>Table_8[[#This Row],[Listing Price (USD)]]/10000</f>
        <v>21.704699999999999</v>
      </c>
      <c r="I109">
        <f>Table_8[[#This Row],[Length 
(ft)]]</f>
        <v>39.5</v>
      </c>
      <c r="J109" s="37">
        <f>2020-Table_8[[#This Row],[Year]]</f>
        <v>14</v>
      </c>
      <c r="K109">
        <v>188925995936.80701</v>
      </c>
      <c r="L109">
        <v>17658.947301119199</v>
      </c>
      <c r="M109">
        <v>-1.2479835558140799</v>
      </c>
      <c r="N109">
        <v>-9.0040436420214593</v>
      </c>
      <c r="O109" s="39">
        <v>39.17</v>
      </c>
      <c r="P109" s="39">
        <v>979.00199999999995</v>
      </c>
      <c r="Q109" s="39">
        <v>114</v>
      </c>
      <c r="R109" s="39">
        <v>22.67</v>
      </c>
    </row>
    <row r="110" spans="1:18" x14ac:dyDescent="0.25">
      <c r="A110" s="1" t="s">
        <v>444</v>
      </c>
      <c r="B110" s="2">
        <v>40</v>
      </c>
      <c r="C110" s="19">
        <v>39.5</v>
      </c>
      <c r="D110" s="3" t="s">
        <v>496</v>
      </c>
      <c r="E110" s="4" t="s">
        <v>18</v>
      </c>
      <c r="F110" s="23">
        <v>217401</v>
      </c>
      <c r="G110" s="35">
        <v>2006</v>
      </c>
      <c r="H110">
        <f>Table_8[[#This Row],[Listing Price (USD)]]/10000</f>
        <v>21.740100000000002</v>
      </c>
      <c r="I110">
        <f>Table_8[[#This Row],[Length 
(ft)]]</f>
        <v>39.5</v>
      </c>
      <c r="J110" s="37">
        <f>2020-Table_8[[#This Row],[Year]]</f>
        <v>14</v>
      </c>
      <c r="K110">
        <v>188925995936.80701</v>
      </c>
      <c r="L110">
        <v>17658.947301119199</v>
      </c>
      <c r="M110">
        <v>-1.2479835558140799</v>
      </c>
      <c r="N110">
        <v>-9.0040436420214593</v>
      </c>
      <c r="O110" s="39">
        <v>39.17</v>
      </c>
      <c r="P110" s="39">
        <v>979.00199999999995</v>
      </c>
      <c r="Q110" s="39">
        <v>114</v>
      </c>
      <c r="R110" s="39">
        <v>22.67</v>
      </c>
    </row>
    <row r="111" spans="1:18" x14ac:dyDescent="0.25">
      <c r="A111" s="1" t="s">
        <v>443</v>
      </c>
      <c r="B111" s="2">
        <v>40</v>
      </c>
      <c r="C111" s="19">
        <v>39</v>
      </c>
      <c r="D111" s="3" t="s">
        <v>495</v>
      </c>
      <c r="E111" s="3" t="s">
        <v>526</v>
      </c>
      <c r="F111" s="23">
        <v>239000</v>
      </c>
      <c r="G111" s="35">
        <v>2006</v>
      </c>
      <c r="H111">
        <f>Table_8[[#This Row],[Listing Price (USD)]]/10000</f>
        <v>23.9</v>
      </c>
      <c r="I111">
        <f>Table_8[[#This Row],[Length 
(ft)]]</f>
        <v>39</v>
      </c>
      <c r="J111" s="37">
        <f>2020-Table_8[[#This Row],[Year]]</f>
        <v>14</v>
      </c>
      <c r="K111">
        <v>4200000000</v>
      </c>
      <c r="L111">
        <v>39553.199999999997</v>
      </c>
      <c r="M111">
        <v>4.0999999999999996</v>
      </c>
      <c r="N111">
        <v>-2.1</v>
      </c>
      <c r="O111" s="39">
        <v>38.479999999999997</v>
      </c>
      <c r="P111" s="39">
        <v>624.00199999999995</v>
      </c>
      <c r="Q111" s="39">
        <v>40</v>
      </c>
      <c r="R111" s="39">
        <v>12.53</v>
      </c>
    </row>
    <row r="112" spans="1:18" x14ac:dyDescent="0.25">
      <c r="A112" s="1" t="s">
        <v>442</v>
      </c>
      <c r="B112" s="2" t="s">
        <v>125</v>
      </c>
      <c r="C112" s="19">
        <v>39</v>
      </c>
      <c r="D112" s="3" t="s">
        <v>496</v>
      </c>
      <c r="E112" s="4" t="s">
        <v>3</v>
      </c>
      <c r="F112" s="23">
        <v>273094</v>
      </c>
      <c r="G112" s="35">
        <v>2008</v>
      </c>
      <c r="H112">
        <f>Table_8[[#This Row],[Listing Price (USD)]]/10000</f>
        <v>27.3094</v>
      </c>
      <c r="I112">
        <f>Table_8[[#This Row],[Length 
(ft)]]</f>
        <v>39</v>
      </c>
      <c r="J112" s="37">
        <f>2020-Table_8[[#This Row],[Year]]</f>
        <v>12</v>
      </c>
      <c r="K112">
        <v>2639008701648.2598</v>
      </c>
      <c r="L112">
        <v>39055.282928075401</v>
      </c>
      <c r="M112">
        <v>0.47649885272508302</v>
      </c>
      <c r="N112">
        <v>-7.7845864916787102</v>
      </c>
      <c r="O112" s="39">
        <v>12.9</v>
      </c>
      <c r="P112" s="39">
        <v>85.902000000000001</v>
      </c>
      <c r="Q112" s="39">
        <v>95</v>
      </c>
      <c r="R112" s="39">
        <v>21.33</v>
      </c>
    </row>
    <row r="113" spans="1:18" x14ac:dyDescent="0.25">
      <c r="A113" s="1" t="s">
        <v>442</v>
      </c>
      <c r="B113" s="3">
        <v>40</v>
      </c>
      <c r="C113" s="19">
        <v>39</v>
      </c>
      <c r="D113" s="3" t="s">
        <v>497</v>
      </c>
      <c r="E113" s="3" t="s">
        <v>522</v>
      </c>
      <c r="F113" s="23">
        <v>319000</v>
      </c>
      <c r="G113" s="35">
        <v>2016</v>
      </c>
      <c r="H113">
        <f>Table_8[[#This Row],[Listing Price (USD)]]/10000</f>
        <v>31.9</v>
      </c>
      <c r="I113">
        <f>Table_8[[#This Row],[Length 
(ft)]]</f>
        <v>39</v>
      </c>
      <c r="J113" s="37">
        <f>2020-Table_8[[#This Row],[Year]]</f>
        <v>4</v>
      </c>
      <c r="K113">
        <v>209000000</v>
      </c>
      <c r="L113">
        <v>11726.7698</v>
      </c>
      <c r="M113">
        <v>3</v>
      </c>
      <c r="N113">
        <v>-0.7</v>
      </c>
      <c r="O113" s="39">
        <v>32.549999999999997</v>
      </c>
      <c r="P113" s="39">
        <v>861.11199999999997</v>
      </c>
      <c r="Q113" s="39">
        <v>40</v>
      </c>
      <c r="R113" s="39">
        <v>13.19</v>
      </c>
    </row>
    <row r="114" spans="1:18" x14ac:dyDescent="0.25">
      <c r="A114" s="1" t="s">
        <v>442</v>
      </c>
      <c r="B114" s="2">
        <v>40</v>
      </c>
      <c r="C114" s="19">
        <v>39</v>
      </c>
      <c r="D114" s="3" t="s">
        <v>497</v>
      </c>
      <c r="E114" s="3" t="s">
        <v>511</v>
      </c>
      <c r="F114" s="23">
        <v>329000</v>
      </c>
      <c r="G114" s="35">
        <v>2016</v>
      </c>
      <c r="H114">
        <f>Table_8[[#This Row],[Listing Price (USD)]]/10000</f>
        <v>32.9</v>
      </c>
      <c r="I114">
        <f>Table_8[[#This Row],[Length 
(ft)]]</f>
        <v>39</v>
      </c>
      <c r="J114" s="37">
        <f>2020-Table_8[[#This Row],[Year]]</f>
        <v>4</v>
      </c>
      <c r="K114">
        <v>681973374534.10596</v>
      </c>
      <c r="L114">
        <v>27575.495000325591</v>
      </c>
      <c r="M114">
        <v>0.8848420113691905</v>
      </c>
      <c r="N114">
        <v>-6.3525291034127971</v>
      </c>
      <c r="O114" s="39">
        <v>32.549999999999997</v>
      </c>
      <c r="P114" s="39">
        <v>861.11199999999997</v>
      </c>
      <c r="Q114" s="39">
        <v>40</v>
      </c>
      <c r="R114" s="39">
        <v>13.19</v>
      </c>
    </row>
    <row r="115" spans="1:18" x14ac:dyDescent="0.25">
      <c r="A115" s="1" t="s">
        <v>442</v>
      </c>
      <c r="B115" s="3">
        <v>40</v>
      </c>
      <c r="C115" s="19">
        <v>39</v>
      </c>
      <c r="D115" s="3" t="s">
        <v>497</v>
      </c>
      <c r="E115" s="3" t="s">
        <v>511</v>
      </c>
      <c r="F115" s="23">
        <v>329000</v>
      </c>
      <c r="G115" s="35">
        <v>2016</v>
      </c>
      <c r="H115">
        <f>Table_8[[#This Row],[Listing Price (USD)]]/10000</f>
        <v>32.9</v>
      </c>
      <c r="I115">
        <f>Table_8[[#This Row],[Length 
(ft)]]</f>
        <v>39</v>
      </c>
      <c r="J115" s="37">
        <f>2020-Table_8[[#This Row],[Year]]</f>
        <v>4</v>
      </c>
      <c r="K115">
        <v>681973374534.10596</v>
      </c>
      <c r="L115">
        <v>27575.495000325591</v>
      </c>
      <c r="M115">
        <v>0.8848420113691905</v>
      </c>
      <c r="N115">
        <v>-6.3525291034127971</v>
      </c>
      <c r="O115" s="39">
        <v>32.549999999999997</v>
      </c>
      <c r="P115" s="39">
        <v>861.11199999999997</v>
      </c>
      <c r="Q115" s="39">
        <v>40</v>
      </c>
      <c r="R115" s="39">
        <v>13.19</v>
      </c>
    </row>
    <row r="116" spans="1:18" x14ac:dyDescent="0.25">
      <c r="A116" s="1" t="s">
        <v>444</v>
      </c>
      <c r="B116" s="2" t="s">
        <v>125</v>
      </c>
      <c r="C116" s="19">
        <v>39.5</v>
      </c>
      <c r="D116" s="3" t="s">
        <v>496</v>
      </c>
      <c r="E116" s="4" t="s">
        <v>31</v>
      </c>
      <c r="F116" s="23">
        <v>345919</v>
      </c>
      <c r="G116" s="35">
        <v>2016</v>
      </c>
      <c r="H116">
        <f>Table_8[[#This Row],[Listing Price (USD)]]/10000</f>
        <v>34.591900000000003</v>
      </c>
      <c r="I116">
        <f>Table_8[[#This Row],[Length 
(ft)]]</f>
        <v>39.5</v>
      </c>
      <c r="J116" s="37">
        <f>2020-Table_8[[#This Row],[Year]]</f>
        <v>4</v>
      </c>
      <c r="K116">
        <v>57472012426.685303</v>
      </c>
      <c r="L116">
        <v>14198.753959474399</v>
      </c>
      <c r="M116">
        <v>0.15481137456202801</v>
      </c>
      <c r="N116">
        <v>-8.5803430210621805</v>
      </c>
      <c r="O116" s="39">
        <v>12.9</v>
      </c>
      <c r="P116" s="39">
        <v>85.902000000000001</v>
      </c>
      <c r="Q116" s="39">
        <v>0</v>
      </c>
      <c r="R116" s="39">
        <v>4.53</v>
      </c>
    </row>
    <row r="117" spans="1:18" x14ac:dyDescent="0.25">
      <c r="A117" s="1" t="s">
        <v>442</v>
      </c>
      <c r="B117" s="3">
        <v>40</v>
      </c>
      <c r="C117" s="19">
        <v>39</v>
      </c>
      <c r="D117" s="3" t="s">
        <v>497</v>
      </c>
      <c r="E117" s="3" t="s">
        <v>392</v>
      </c>
      <c r="F117" s="23">
        <v>365000</v>
      </c>
      <c r="G117" s="35">
        <v>2016</v>
      </c>
      <c r="H117">
        <f>Table_8[[#This Row],[Listing Price (USD)]]/10000</f>
        <v>36.5</v>
      </c>
      <c r="I117">
        <f>Table_8[[#This Row],[Length 
(ft)]]</f>
        <v>39</v>
      </c>
      <c r="J117" s="37">
        <f>2020-Table_8[[#This Row],[Year]]</f>
        <v>4</v>
      </c>
      <c r="K117">
        <v>1043414814.81481</v>
      </c>
      <c r="L117">
        <v>8437.5667322870595</v>
      </c>
      <c r="M117">
        <v>-0.74073259704550098</v>
      </c>
      <c r="N117">
        <v>-13.7559294530644</v>
      </c>
      <c r="O117" s="39">
        <v>32.549999999999997</v>
      </c>
      <c r="P117" s="39">
        <v>861.11199999999997</v>
      </c>
      <c r="Q117" s="39">
        <v>40</v>
      </c>
      <c r="R117" s="39">
        <v>13.19</v>
      </c>
    </row>
    <row r="118" spans="1:18" x14ac:dyDescent="0.25">
      <c r="A118" s="1" t="s">
        <v>427</v>
      </c>
      <c r="B118" s="2">
        <v>40</v>
      </c>
      <c r="C118" s="19">
        <v>38.5</v>
      </c>
      <c r="D118" s="3" t="s">
        <v>496</v>
      </c>
      <c r="E118" s="4" t="s">
        <v>9</v>
      </c>
      <c r="F118" s="23">
        <v>382331</v>
      </c>
      <c r="G118" s="35">
        <v>2017</v>
      </c>
      <c r="H118">
        <f>Table_8[[#This Row],[Listing Price (USD)]]/10000</f>
        <v>38.2331</v>
      </c>
      <c r="I118">
        <f>Table_8[[#This Row],[Length 
(ft)]]</f>
        <v>38.5</v>
      </c>
      <c r="J118" s="37">
        <f>2020-Table_8[[#This Row],[Year]]</f>
        <v>3</v>
      </c>
      <c r="K118">
        <v>1276962685648.25</v>
      </c>
      <c r="L118">
        <v>26959.675436732599</v>
      </c>
      <c r="M118">
        <v>-0.32275301729970501</v>
      </c>
      <c r="N118">
        <v>-11.3254383222864</v>
      </c>
      <c r="O118" s="39">
        <v>34.78</v>
      </c>
      <c r="P118" s="39">
        <v>691.00199999999995</v>
      </c>
      <c r="Q118" s="39">
        <v>95</v>
      </c>
      <c r="R118" s="39">
        <v>12.47</v>
      </c>
    </row>
    <row r="119" spans="1:18" x14ac:dyDescent="0.25">
      <c r="A119" s="1" t="s">
        <v>427</v>
      </c>
      <c r="B119" s="2" t="s">
        <v>125</v>
      </c>
      <c r="C119" s="19">
        <v>38.5</v>
      </c>
      <c r="D119" s="3" t="s">
        <v>496</v>
      </c>
      <c r="E119" s="4" t="s">
        <v>9</v>
      </c>
      <c r="F119" s="23">
        <v>385427</v>
      </c>
      <c r="G119" s="35">
        <v>2018</v>
      </c>
      <c r="H119">
        <f>Table_8[[#This Row],[Listing Price (USD)]]/10000</f>
        <v>38.542700000000004</v>
      </c>
      <c r="I119">
        <f>Table_8[[#This Row],[Length 
(ft)]]</f>
        <v>38.5</v>
      </c>
      <c r="J119" s="37">
        <f>2020-Table_8[[#This Row],[Year]]</f>
        <v>2</v>
      </c>
      <c r="K119">
        <v>1276962685648.25</v>
      </c>
      <c r="L119">
        <v>26959.675436732599</v>
      </c>
      <c r="M119">
        <v>-0.32275301729970501</v>
      </c>
      <c r="N119">
        <v>-11.3254383222864</v>
      </c>
      <c r="O119" s="39">
        <v>34.78</v>
      </c>
      <c r="P119" s="39">
        <v>691.00199999999995</v>
      </c>
      <c r="Q119" s="39">
        <v>95</v>
      </c>
      <c r="R119" s="39">
        <v>12.47</v>
      </c>
    </row>
    <row r="120" spans="1:18" x14ac:dyDescent="0.25">
      <c r="A120" s="1" t="s">
        <v>427</v>
      </c>
      <c r="B120" s="2" t="s">
        <v>125</v>
      </c>
      <c r="C120" s="19">
        <v>38.5</v>
      </c>
      <c r="D120" s="3" t="s">
        <v>496</v>
      </c>
      <c r="E120" s="4" t="s">
        <v>9</v>
      </c>
      <c r="F120" s="23">
        <v>411055</v>
      </c>
      <c r="G120" s="35">
        <v>2018</v>
      </c>
      <c r="H120">
        <f>Table_8[[#This Row],[Listing Price (USD)]]/10000</f>
        <v>41.105499999999999</v>
      </c>
      <c r="I120">
        <f>Table_8[[#This Row],[Length 
(ft)]]</f>
        <v>38.5</v>
      </c>
      <c r="J120" s="37">
        <f>2020-Table_8[[#This Row],[Year]]</f>
        <v>2</v>
      </c>
      <c r="K120">
        <v>1276962685648.25</v>
      </c>
      <c r="L120">
        <v>26959.675436732599</v>
      </c>
      <c r="M120">
        <v>-0.32275301729970501</v>
      </c>
      <c r="N120">
        <v>-11.3254383222864</v>
      </c>
      <c r="O120" s="39">
        <v>34.78</v>
      </c>
      <c r="P120" s="39">
        <v>691.00199999999995</v>
      </c>
      <c r="Q120" s="39">
        <v>95</v>
      </c>
      <c r="R120" s="39">
        <v>12.47</v>
      </c>
    </row>
    <row r="121" spans="1:18" x14ac:dyDescent="0.25">
      <c r="A121" s="1" t="s">
        <v>427</v>
      </c>
      <c r="B121" s="2">
        <v>40</v>
      </c>
      <c r="C121" s="19">
        <v>38.5</v>
      </c>
      <c r="D121" s="3" t="s">
        <v>496</v>
      </c>
      <c r="E121" s="4" t="s">
        <v>9</v>
      </c>
      <c r="F121" s="23">
        <v>411782</v>
      </c>
      <c r="G121" s="35">
        <v>2018</v>
      </c>
      <c r="H121">
        <f>Table_8[[#This Row],[Listing Price (USD)]]/10000</f>
        <v>41.178199999999997</v>
      </c>
      <c r="I121">
        <f>Table_8[[#This Row],[Length 
(ft)]]</f>
        <v>38.5</v>
      </c>
      <c r="J121" s="37">
        <f>2020-Table_8[[#This Row],[Year]]</f>
        <v>2</v>
      </c>
      <c r="K121">
        <v>1276962685648.25</v>
      </c>
      <c r="L121">
        <v>26959.675436732599</v>
      </c>
      <c r="M121">
        <v>-0.32275301729970501</v>
      </c>
      <c r="N121">
        <v>-11.3254383222864</v>
      </c>
      <c r="O121" s="39">
        <v>34.78</v>
      </c>
      <c r="P121" s="39">
        <v>691.00199999999995</v>
      </c>
      <c r="Q121" s="39">
        <v>95</v>
      </c>
      <c r="R121" s="39">
        <v>12.47</v>
      </c>
    </row>
    <row r="122" spans="1:18" x14ac:dyDescent="0.25">
      <c r="A122" s="1" t="s">
        <v>427</v>
      </c>
      <c r="B122" s="2">
        <v>40</v>
      </c>
      <c r="C122" s="19">
        <v>38.5</v>
      </c>
      <c r="D122" s="3" t="s">
        <v>496</v>
      </c>
      <c r="E122" s="4" t="s">
        <v>31</v>
      </c>
      <c r="F122" s="23">
        <v>418744</v>
      </c>
      <c r="G122" s="35">
        <v>2019</v>
      </c>
      <c r="H122">
        <f>Table_8[[#This Row],[Listing Price (USD)]]/10000</f>
        <v>41.874400000000001</v>
      </c>
      <c r="I122">
        <f>Table_8[[#This Row],[Length 
(ft)]]</f>
        <v>38.5</v>
      </c>
      <c r="J122" s="37">
        <f>2020-Table_8[[#This Row],[Year]]</f>
        <v>1</v>
      </c>
      <c r="K122">
        <v>57472012426.685303</v>
      </c>
      <c r="L122">
        <v>14198.753959474399</v>
      </c>
      <c r="M122">
        <v>0.15481137456202801</v>
      </c>
      <c r="N122">
        <v>-8.5803430210621805</v>
      </c>
      <c r="O122" s="39">
        <v>34.78</v>
      </c>
      <c r="P122" s="39">
        <v>691.00199999999995</v>
      </c>
      <c r="Q122" s="39">
        <v>95</v>
      </c>
      <c r="R122" s="39">
        <v>12.47</v>
      </c>
    </row>
    <row r="123" spans="1:18" x14ac:dyDescent="0.25">
      <c r="A123" s="1" t="s">
        <v>427</v>
      </c>
      <c r="B123" s="2">
        <v>40</v>
      </c>
      <c r="C123" s="19">
        <v>38.5</v>
      </c>
      <c r="D123" s="3" t="s">
        <v>496</v>
      </c>
      <c r="E123" s="4" t="s">
        <v>31</v>
      </c>
      <c r="F123" s="23">
        <v>419070</v>
      </c>
      <c r="G123" s="35">
        <v>2019</v>
      </c>
      <c r="H123">
        <f>Table_8[[#This Row],[Listing Price (USD)]]/10000</f>
        <v>41.906999999999996</v>
      </c>
      <c r="I123">
        <f>Table_8[[#This Row],[Length 
(ft)]]</f>
        <v>38.5</v>
      </c>
      <c r="J123" s="37">
        <f>2020-Table_8[[#This Row],[Year]]</f>
        <v>1</v>
      </c>
      <c r="K123">
        <v>57472012426.685303</v>
      </c>
      <c r="L123">
        <v>14198.753959474399</v>
      </c>
      <c r="M123">
        <v>0.15481137456202801</v>
      </c>
      <c r="N123">
        <v>-8.5803430210621805</v>
      </c>
      <c r="O123" s="39">
        <v>34.78</v>
      </c>
      <c r="P123" s="39">
        <v>691.00199999999995</v>
      </c>
      <c r="Q123" s="39">
        <v>95</v>
      </c>
      <c r="R123" s="39">
        <v>12.47</v>
      </c>
    </row>
    <row r="124" spans="1:18" x14ac:dyDescent="0.25">
      <c r="A124" s="1" t="s">
        <v>427</v>
      </c>
      <c r="B124" s="2">
        <v>40</v>
      </c>
      <c r="C124" s="19">
        <v>38.5</v>
      </c>
      <c r="D124" s="3" t="s">
        <v>496</v>
      </c>
      <c r="E124" s="4" t="s">
        <v>31</v>
      </c>
      <c r="F124" s="23">
        <v>431217</v>
      </c>
      <c r="G124" s="35">
        <v>2018</v>
      </c>
      <c r="H124">
        <f>Table_8[[#This Row],[Listing Price (USD)]]/10000</f>
        <v>43.121699999999997</v>
      </c>
      <c r="I124">
        <f>Table_8[[#This Row],[Length 
(ft)]]</f>
        <v>38.5</v>
      </c>
      <c r="J124" s="37">
        <f>2020-Table_8[[#This Row],[Year]]</f>
        <v>2</v>
      </c>
      <c r="K124">
        <v>57472012426.685303</v>
      </c>
      <c r="L124">
        <v>14198.753959474399</v>
      </c>
      <c r="M124">
        <v>0.15481137456202801</v>
      </c>
      <c r="N124">
        <v>-8.5803430210621805</v>
      </c>
      <c r="O124" s="39">
        <v>34.78</v>
      </c>
      <c r="P124" s="39">
        <v>691.00199999999995</v>
      </c>
      <c r="Q124" s="39">
        <v>95</v>
      </c>
      <c r="R124" s="39">
        <v>12.47</v>
      </c>
    </row>
    <row r="125" spans="1:18" x14ac:dyDescent="0.25">
      <c r="A125" s="1" t="s">
        <v>427</v>
      </c>
      <c r="B125" s="2" t="s">
        <v>125</v>
      </c>
      <c r="C125" s="19">
        <v>38.5</v>
      </c>
      <c r="D125" s="3" t="s">
        <v>496</v>
      </c>
      <c r="E125" s="4" t="s">
        <v>31</v>
      </c>
      <c r="F125" s="23">
        <v>431654</v>
      </c>
      <c r="G125" s="35">
        <v>2018</v>
      </c>
      <c r="H125">
        <f>Table_8[[#This Row],[Listing Price (USD)]]/10000</f>
        <v>43.165399999999998</v>
      </c>
      <c r="I125">
        <f>Table_8[[#This Row],[Length 
(ft)]]</f>
        <v>38.5</v>
      </c>
      <c r="J125" s="37">
        <f>2020-Table_8[[#This Row],[Year]]</f>
        <v>2</v>
      </c>
      <c r="K125">
        <v>57472012426.685303</v>
      </c>
      <c r="L125">
        <v>14198.753959474399</v>
      </c>
      <c r="M125">
        <v>0.15481137456202801</v>
      </c>
      <c r="N125">
        <v>-8.5803430210621805</v>
      </c>
      <c r="O125" s="39">
        <v>34.78</v>
      </c>
      <c r="P125" s="39">
        <v>691.00199999999995</v>
      </c>
      <c r="Q125" s="39">
        <v>95</v>
      </c>
      <c r="R125" s="39">
        <v>12.47</v>
      </c>
    </row>
    <row r="126" spans="1:18" x14ac:dyDescent="0.25">
      <c r="A126" s="1" t="s">
        <v>444</v>
      </c>
      <c r="B126" s="2" t="s">
        <v>125</v>
      </c>
      <c r="C126" s="19">
        <v>39.5</v>
      </c>
      <c r="D126" s="3" t="s">
        <v>496</v>
      </c>
      <c r="E126" s="4" t="s">
        <v>3</v>
      </c>
      <c r="F126" s="23">
        <v>443019</v>
      </c>
      <c r="G126" s="35">
        <v>2018</v>
      </c>
      <c r="H126">
        <f>Table_8[[#This Row],[Listing Price (USD)]]/10000</f>
        <v>44.301900000000003</v>
      </c>
      <c r="I126">
        <f>Table_8[[#This Row],[Length 
(ft)]]</f>
        <v>39.5</v>
      </c>
      <c r="J126" s="37">
        <f>2020-Table_8[[#This Row],[Year]]</f>
        <v>2</v>
      </c>
      <c r="K126">
        <v>2639008701648.2598</v>
      </c>
      <c r="L126">
        <v>39055.282928075401</v>
      </c>
      <c r="M126">
        <v>0.47649885272508302</v>
      </c>
      <c r="N126">
        <v>-7.7845864916787102</v>
      </c>
      <c r="O126" s="39">
        <v>39.17</v>
      </c>
      <c r="P126" s="39">
        <v>979.00199999999995</v>
      </c>
      <c r="Q126" s="39">
        <v>114</v>
      </c>
      <c r="R126" s="39">
        <v>22.67</v>
      </c>
    </row>
    <row r="127" spans="1:18" x14ac:dyDescent="0.25">
      <c r="A127" s="1" t="s">
        <v>427</v>
      </c>
      <c r="B127" s="2" t="s">
        <v>125</v>
      </c>
      <c r="C127" s="19">
        <v>38.5</v>
      </c>
      <c r="D127" s="3" t="s">
        <v>496</v>
      </c>
      <c r="E127" s="4" t="s">
        <v>3</v>
      </c>
      <c r="F127" s="23">
        <v>451515</v>
      </c>
      <c r="G127" s="35">
        <v>2018</v>
      </c>
      <c r="H127">
        <f>Table_8[[#This Row],[Listing Price (USD)]]/10000</f>
        <v>45.151499999999999</v>
      </c>
      <c r="I127">
        <f>Table_8[[#This Row],[Length 
(ft)]]</f>
        <v>38.5</v>
      </c>
      <c r="J127" s="37">
        <f>2020-Table_8[[#This Row],[Year]]</f>
        <v>2</v>
      </c>
      <c r="K127">
        <v>2639008701648.2598</v>
      </c>
      <c r="L127">
        <v>39055.282928075401</v>
      </c>
      <c r="M127">
        <v>0.47649885272508302</v>
      </c>
      <c r="N127">
        <v>-7.7845864916787102</v>
      </c>
      <c r="O127" s="39">
        <v>34.78</v>
      </c>
      <c r="P127" s="39">
        <v>691.00199999999995</v>
      </c>
      <c r="Q127" s="39">
        <v>95</v>
      </c>
      <c r="R127" s="39">
        <v>12.47</v>
      </c>
    </row>
    <row r="128" spans="1:18" x14ac:dyDescent="0.25">
      <c r="A128" s="1" t="s">
        <v>427</v>
      </c>
      <c r="B128" s="2" t="s">
        <v>125</v>
      </c>
      <c r="C128" s="19">
        <v>38.5</v>
      </c>
      <c r="D128" s="3" t="s">
        <v>496</v>
      </c>
      <c r="E128" s="4" t="s">
        <v>3</v>
      </c>
      <c r="F128" s="23">
        <v>455973</v>
      </c>
      <c r="G128" s="35">
        <v>2019</v>
      </c>
      <c r="H128">
        <f>Table_8[[#This Row],[Listing Price (USD)]]/10000</f>
        <v>45.597299999999997</v>
      </c>
      <c r="I128">
        <f>Table_8[[#This Row],[Length 
(ft)]]</f>
        <v>38.5</v>
      </c>
      <c r="J128" s="37">
        <f>2020-Table_8[[#This Row],[Year]]</f>
        <v>1</v>
      </c>
      <c r="K128">
        <v>2639008701648.2598</v>
      </c>
      <c r="L128">
        <v>39055.282928075401</v>
      </c>
      <c r="M128">
        <v>0.47649885272508302</v>
      </c>
      <c r="N128">
        <v>-7.7845864916787102</v>
      </c>
      <c r="O128" s="39">
        <v>34.78</v>
      </c>
      <c r="P128" s="39">
        <v>691.00199999999995</v>
      </c>
      <c r="Q128" s="39">
        <v>95</v>
      </c>
      <c r="R128" s="39">
        <v>12.47</v>
      </c>
    </row>
    <row r="129" spans="1:18" x14ac:dyDescent="0.25">
      <c r="A129" s="1" t="s">
        <v>442</v>
      </c>
      <c r="B129" s="2" t="s">
        <v>125</v>
      </c>
      <c r="C129" s="19">
        <v>39</v>
      </c>
      <c r="D129" s="3" t="s">
        <v>496</v>
      </c>
      <c r="E129" s="4" t="s">
        <v>24</v>
      </c>
      <c r="F129" s="23">
        <v>460769</v>
      </c>
      <c r="G129" s="35">
        <v>2016</v>
      </c>
      <c r="H129">
        <f>Table_8[[#This Row],[Listing Price (USD)]]/10000</f>
        <v>46.076900000000002</v>
      </c>
      <c r="I129">
        <f>Table_8[[#This Row],[Length 
(ft)]]</f>
        <v>39</v>
      </c>
      <c r="J129" s="37">
        <f>2020-Table_8[[#This Row],[Year]]</f>
        <v>4</v>
      </c>
      <c r="K129">
        <v>1896755301518.1399</v>
      </c>
      <c r="L129">
        <v>31911.0357890017</v>
      </c>
      <c r="M129">
        <v>-0.13770757391656999</v>
      </c>
      <c r="N129">
        <v>-9.0399534112288507</v>
      </c>
      <c r="O129" s="39">
        <v>12.9</v>
      </c>
      <c r="P129" s="39">
        <v>85.902000000000001</v>
      </c>
      <c r="Q129" s="39">
        <v>95</v>
      </c>
      <c r="R129" s="39">
        <v>21.33</v>
      </c>
    </row>
    <row r="130" spans="1:18" x14ac:dyDescent="0.25">
      <c r="A130" s="1" t="s">
        <v>427</v>
      </c>
      <c r="B130" s="2" t="s">
        <v>125</v>
      </c>
      <c r="C130" s="19">
        <v>38.5</v>
      </c>
      <c r="D130" s="3" t="s">
        <v>496</v>
      </c>
      <c r="E130" s="4" t="s">
        <v>3</v>
      </c>
      <c r="F130" s="23">
        <v>460836</v>
      </c>
      <c r="G130" s="35">
        <v>2019</v>
      </c>
      <c r="H130">
        <f>Table_8[[#This Row],[Listing Price (USD)]]/10000</f>
        <v>46.083599999999997</v>
      </c>
      <c r="I130">
        <f>Table_8[[#This Row],[Length 
(ft)]]</f>
        <v>38.5</v>
      </c>
      <c r="J130" s="37">
        <f>2020-Table_8[[#This Row],[Year]]</f>
        <v>1</v>
      </c>
      <c r="K130">
        <v>2639008701648.2598</v>
      </c>
      <c r="L130">
        <v>39055.282928075401</v>
      </c>
      <c r="M130">
        <v>0.47649885272508302</v>
      </c>
      <c r="N130">
        <v>-7.7845864916787102</v>
      </c>
      <c r="O130" s="39">
        <v>34.78</v>
      </c>
      <c r="P130" s="39">
        <v>691.00199999999995</v>
      </c>
      <c r="Q130" s="39">
        <v>95</v>
      </c>
      <c r="R130" s="39">
        <v>12.47</v>
      </c>
    </row>
    <row r="131" spans="1:18" x14ac:dyDescent="0.25">
      <c r="A131" s="1" t="s">
        <v>427</v>
      </c>
      <c r="B131" s="2">
        <v>40</v>
      </c>
      <c r="C131" s="19">
        <v>38.5</v>
      </c>
      <c r="D131" s="3" t="s">
        <v>496</v>
      </c>
      <c r="E131" s="4" t="s">
        <v>31</v>
      </c>
      <c r="F131" s="23">
        <v>467658</v>
      </c>
      <c r="G131" s="35">
        <v>2019</v>
      </c>
      <c r="H131">
        <f>Table_8[[#This Row],[Listing Price (USD)]]/10000</f>
        <v>46.765799999999999</v>
      </c>
      <c r="I131">
        <f>Table_8[[#This Row],[Length 
(ft)]]</f>
        <v>38.5</v>
      </c>
      <c r="J131" s="37">
        <f>2020-Table_8[[#This Row],[Year]]</f>
        <v>1</v>
      </c>
      <c r="K131">
        <v>57472012426.685303</v>
      </c>
      <c r="L131">
        <v>14198.753959474399</v>
      </c>
      <c r="M131">
        <v>0.15481137456202801</v>
      </c>
      <c r="N131">
        <v>-8.5803430210621805</v>
      </c>
      <c r="O131" s="39">
        <v>34.78</v>
      </c>
      <c r="P131" s="39">
        <v>691.00199999999995</v>
      </c>
      <c r="Q131" s="39">
        <v>95</v>
      </c>
      <c r="R131" s="39">
        <v>12.47</v>
      </c>
    </row>
    <row r="132" spans="1:18" x14ac:dyDescent="0.25">
      <c r="A132" s="1" t="s">
        <v>427</v>
      </c>
      <c r="B132" s="2" t="s">
        <v>125</v>
      </c>
      <c r="C132" s="19">
        <v>38.5</v>
      </c>
      <c r="D132" s="3" t="s">
        <v>496</v>
      </c>
      <c r="E132" s="4" t="s">
        <v>31</v>
      </c>
      <c r="F132" s="23">
        <v>468132</v>
      </c>
      <c r="G132" s="35">
        <v>2019</v>
      </c>
      <c r="H132">
        <f>Table_8[[#This Row],[Listing Price (USD)]]/10000</f>
        <v>46.813200000000002</v>
      </c>
      <c r="I132">
        <f>Table_8[[#This Row],[Length 
(ft)]]</f>
        <v>38.5</v>
      </c>
      <c r="J132" s="37">
        <f>2020-Table_8[[#This Row],[Year]]</f>
        <v>1</v>
      </c>
      <c r="K132">
        <v>57472012426.685303</v>
      </c>
      <c r="L132">
        <v>14198.753959474399</v>
      </c>
      <c r="M132">
        <v>0.15481137456202801</v>
      </c>
      <c r="N132">
        <v>-8.5803430210621805</v>
      </c>
      <c r="O132" s="39">
        <v>34.78</v>
      </c>
      <c r="P132" s="39">
        <v>691.00199999999995</v>
      </c>
      <c r="Q132" s="39">
        <v>95</v>
      </c>
      <c r="R132" s="39">
        <v>12.47</v>
      </c>
    </row>
    <row r="133" spans="1:18" x14ac:dyDescent="0.25">
      <c r="A133" s="1" t="s">
        <v>427</v>
      </c>
      <c r="B133" s="2">
        <v>40</v>
      </c>
      <c r="C133" s="19">
        <v>38.5</v>
      </c>
      <c r="D133" s="3" t="s">
        <v>496</v>
      </c>
      <c r="E133" s="3" t="s">
        <v>124</v>
      </c>
      <c r="F133" s="23">
        <v>474278</v>
      </c>
      <c r="G133" s="35">
        <v>2019</v>
      </c>
      <c r="H133">
        <f>Table_8[[#This Row],[Listing Price (USD)]]/10000</f>
        <v>47.427799999999998</v>
      </c>
      <c r="I133">
        <f>Table_8[[#This Row],[Length 
(ft)]]</f>
        <v>38.5</v>
      </c>
      <c r="J133" s="37">
        <f>2020-Table_8[[#This Row],[Year]]</f>
        <v>1</v>
      </c>
      <c r="K133">
        <v>547054174235.87598</v>
      </c>
      <c r="L133">
        <v>52837.903977814902</v>
      </c>
      <c r="M133">
        <v>0.497367318853562</v>
      </c>
      <c r="N133">
        <v>-2.1702131788587198</v>
      </c>
      <c r="O133" s="39">
        <v>34.78</v>
      </c>
      <c r="P133" s="39">
        <v>691.00199999999995</v>
      </c>
      <c r="Q133" s="39">
        <v>95</v>
      </c>
      <c r="R133" s="39">
        <v>12.47</v>
      </c>
    </row>
    <row r="134" spans="1:18" x14ac:dyDescent="0.25">
      <c r="A134" s="1" t="s">
        <v>427</v>
      </c>
      <c r="B134" s="2" t="s">
        <v>125</v>
      </c>
      <c r="C134" s="19">
        <v>38.5</v>
      </c>
      <c r="D134" s="3" t="s">
        <v>496</v>
      </c>
      <c r="E134" s="5" t="s">
        <v>124</v>
      </c>
      <c r="F134" s="23">
        <v>474302</v>
      </c>
      <c r="G134" s="35">
        <v>2019</v>
      </c>
      <c r="H134">
        <f>Table_8[[#This Row],[Listing Price (USD)]]/10000</f>
        <v>47.430199999999999</v>
      </c>
      <c r="I134">
        <f>Table_8[[#This Row],[Length 
(ft)]]</f>
        <v>38.5</v>
      </c>
      <c r="J134" s="37">
        <f>2020-Table_8[[#This Row],[Year]]</f>
        <v>1</v>
      </c>
      <c r="K134">
        <v>547054174235.87598</v>
      </c>
      <c r="L134">
        <v>52837.903977814902</v>
      </c>
      <c r="M134">
        <v>0.497367318853562</v>
      </c>
      <c r="N134">
        <v>-2.1702131788587198</v>
      </c>
      <c r="O134" s="39">
        <v>34.78</v>
      </c>
      <c r="P134" s="39">
        <v>691.00199999999995</v>
      </c>
      <c r="Q134" s="39">
        <v>95</v>
      </c>
      <c r="R134" s="39">
        <v>12.47</v>
      </c>
    </row>
    <row r="135" spans="1:18" x14ac:dyDescent="0.25">
      <c r="A135" s="1" t="s">
        <v>442</v>
      </c>
      <c r="B135" s="3">
        <v>40</v>
      </c>
      <c r="C135" s="19">
        <v>39</v>
      </c>
      <c r="D135" s="3" t="s">
        <v>497</v>
      </c>
      <c r="E135" s="3" t="s">
        <v>525</v>
      </c>
      <c r="F135" s="23">
        <v>489000</v>
      </c>
      <c r="G135" s="35">
        <v>2018</v>
      </c>
      <c r="H135">
        <f>Table_8[[#This Row],[Listing Price (USD)]]/10000</f>
        <v>48.9</v>
      </c>
      <c r="I135">
        <f>Table_8[[#This Row],[Length 
(ft)]]</f>
        <v>39</v>
      </c>
      <c r="J135" s="37">
        <f>2020-Table_8[[#This Row],[Year]]</f>
        <v>2</v>
      </c>
      <c r="K135">
        <v>4200000000</v>
      </c>
      <c r="L135">
        <v>39553.199999999997</v>
      </c>
      <c r="M135">
        <v>4.0999999999999996</v>
      </c>
      <c r="N135">
        <v>-2.1</v>
      </c>
      <c r="O135" s="39">
        <v>12.9</v>
      </c>
      <c r="P135" s="39">
        <v>85.902000000000001</v>
      </c>
      <c r="Q135" s="39">
        <v>0</v>
      </c>
      <c r="R135" s="39">
        <v>4.53</v>
      </c>
    </row>
    <row r="136" spans="1:18" x14ac:dyDescent="0.25">
      <c r="A136" s="1" t="s">
        <v>427</v>
      </c>
      <c r="B136" s="2">
        <v>40</v>
      </c>
      <c r="C136" s="19">
        <v>38.5</v>
      </c>
      <c r="D136" s="3" t="s">
        <v>496</v>
      </c>
      <c r="E136" s="4" t="s">
        <v>9</v>
      </c>
      <c r="F136" s="23">
        <v>498026</v>
      </c>
      <c r="G136" s="35">
        <v>2018</v>
      </c>
      <c r="H136">
        <f>Table_8[[#This Row],[Listing Price (USD)]]/10000</f>
        <v>49.802599999999998</v>
      </c>
      <c r="I136">
        <f>Table_8[[#This Row],[Length 
(ft)]]</f>
        <v>38.5</v>
      </c>
      <c r="J136" s="37">
        <f>2020-Table_8[[#This Row],[Year]]</f>
        <v>2</v>
      </c>
      <c r="K136">
        <v>1276962685648.25</v>
      </c>
      <c r="L136">
        <v>26959.675436732599</v>
      </c>
      <c r="M136">
        <v>-0.32275301729970501</v>
      </c>
      <c r="N136">
        <v>-11.3254383222864</v>
      </c>
      <c r="O136" s="39">
        <v>34.78</v>
      </c>
      <c r="P136" s="39">
        <v>691.00199999999995</v>
      </c>
      <c r="Q136" s="39">
        <v>95</v>
      </c>
      <c r="R136" s="39">
        <v>12.47</v>
      </c>
    </row>
    <row r="137" spans="1:18" x14ac:dyDescent="0.25">
      <c r="A137" s="1" t="s">
        <v>427</v>
      </c>
      <c r="B137" s="2" t="s">
        <v>125</v>
      </c>
      <c r="C137" s="19">
        <v>38.5</v>
      </c>
      <c r="D137" s="3" t="s">
        <v>496</v>
      </c>
      <c r="E137" s="4" t="s">
        <v>9</v>
      </c>
      <c r="F137" s="23">
        <v>498530</v>
      </c>
      <c r="G137" s="35">
        <v>2018</v>
      </c>
      <c r="H137">
        <f>Table_8[[#This Row],[Listing Price (USD)]]/10000</f>
        <v>49.853000000000002</v>
      </c>
      <c r="I137">
        <f>Table_8[[#This Row],[Length 
(ft)]]</f>
        <v>38.5</v>
      </c>
      <c r="J137" s="37">
        <f>2020-Table_8[[#This Row],[Year]]</f>
        <v>2</v>
      </c>
      <c r="K137">
        <v>1276962685648.25</v>
      </c>
      <c r="L137">
        <v>26959.675436732599</v>
      </c>
      <c r="M137">
        <v>-0.32275301729970501</v>
      </c>
      <c r="N137">
        <v>-11.3254383222864</v>
      </c>
      <c r="O137" s="39">
        <v>34.78</v>
      </c>
      <c r="P137" s="39">
        <v>691.00199999999995</v>
      </c>
      <c r="Q137" s="39">
        <v>95</v>
      </c>
      <c r="R137" s="39">
        <v>12.47</v>
      </c>
    </row>
    <row r="138" spans="1:18" x14ac:dyDescent="0.25">
      <c r="A138" s="1" t="s">
        <v>444</v>
      </c>
      <c r="B138" s="2" t="s">
        <v>489</v>
      </c>
      <c r="C138" s="19">
        <v>39</v>
      </c>
      <c r="D138" s="3" t="s">
        <v>497</v>
      </c>
      <c r="E138" s="3" t="s">
        <v>483</v>
      </c>
      <c r="F138" s="23">
        <v>194200</v>
      </c>
      <c r="G138" s="35">
        <v>2009</v>
      </c>
      <c r="H138">
        <f>Table_8[[#This Row],[Listing Price (USD)]]/10000</f>
        <v>19.420000000000002</v>
      </c>
      <c r="I138">
        <f>Table_8[[#This Row],[Length 
(ft)]]</f>
        <v>39</v>
      </c>
      <c r="J138" s="37">
        <f>2020-Table_8[[#This Row],[Year]]</f>
        <v>11</v>
      </c>
      <c r="K138">
        <v>4200000000</v>
      </c>
      <c r="L138">
        <v>39553.199999999997</v>
      </c>
      <c r="M138">
        <v>2.5</v>
      </c>
      <c r="N138">
        <v>-2.1</v>
      </c>
      <c r="O138" s="39">
        <v>28.83</v>
      </c>
      <c r="P138" s="39">
        <v>657.00199999999995</v>
      </c>
      <c r="Q138" s="39">
        <v>95</v>
      </c>
      <c r="R138" s="39">
        <v>21.33</v>
      </c>
    </row>
    <row r="139" spans="1:18" x14ac:dyDescent="0.25">
      <c r="A139" s="1" t="s">
        <v>444</v>
      </c>
      <c r="B139" s="3">
        <v>40.200000000000003</v>
      </c>
      <c r="C139" s="19">
        <v>39</v>
      </c>
      <c r="D139" s="3" t="s">
        <v>497</v>
      </c>
      <c r="E139" s="3" t="s">
        <v>483</v>
      </c>
      <c r="F139" s="23">
        <v>194422</v>
      </c>
      <c r="G139" s="35">
        <v>2009</v>
      </c>
      <c r="H139">
        <f>Table_8[[#This Row],[Listing Price (USD)]]/10000</f>
        <v>19.4422</v>
      </c>
      <c r="I139">
        <f>Table_8[[#This Row],[Length 
(ft)]]</f>
        <v>39</v>
      </c>
      <c r="J139" s="37">
        <f>2020-Table_8[[#This Row],[Year]]</f>
        <v>11</v>
      </c>
      <c r="K139">
        <v>4200000000</v>
      </c>
      <c r="L139">
        <v>39553.199999999997</v>
      </c>
      <c r="M139">
        <v>2.5</v>
      </c>
      <c r="N139">
        <v>-2.1</v>
      </c>
      <c r="O139" s="39">
        <v>38.479999999999997</v>
      </c>
      <c r="P139" s="39">
        <v>624.00199999999995</v>
      </c>
      <c r="Q139" s="39">
        <v>40</v>
      </c>
      <c r="R139" s="39">
        <v>12.53</v>
      </c>
    </row>
    <row r="140" spans="1:18" x14ac:dyDescent="0.25">
      <c r="A140" s="1" t="s">
        <v>444</v>
      </c>
      <c r="B140" s="2" t="s">
        <v>489</v>
      </c>
      <c r="C140" s="19">
        <v>39</v>
      </c>
      <c r="D140" s="3" t="s">
        <v>497</v>
      </c>
      <c r="E140" s="3" t="s">
        <v>483</v>
      </c>
      <c r="F140" s="23">
        <v>216047</v>
      </c>
      <c r="G140" s="35">
        <v>2008</v>
      </c>
      <c r="H140">
        <f>Table_8[[#This Row],[Listing Price (USD)]]/10000</f>
        <v>21.604700000000001</v>
      </c>
      <c r="I140">
        <f>Table_8[[#This Row],[Length 
(ft)]]</f>
        <v>39</v>
      </c>
      <c r="J140" s="37">
        <f>2020-Table_8[[#This Row],[Year]]</f>
        <v>12</v>
      </c>
      <c r="K140">
        <v>4200000000</v>
      </c>
      <c r="L140">
        <v>39553.199999999997</v>
      </c>
      <c r="M140">
        <v>2.5</v>
      </c>
      <c r="N140">
        <v>-2.1</v>
      </c>
      <c r="O140" s="39">
        <v>28.83</v>
      </c>
      <c r="P140" s="39">
        <v>657.00199999999995</v>
      </c>
      <c r="Q140" s="39">
        <v>95</v>
      </c>
      <c r="R140" s="39">
        <v>21.33</v>
      </c>
    </row>
    <row r="141" spans="1:18" x14ac:dyDescent="0.25">
      <c r="A141" s="1" t="s">
        <v>464</v>
      </c>
      <c r="B141" s="2">
        <v>41</v>
      </c>
      <c r="C141" s="19">
        <v>41.6</v>
      </c>
      <c r="D141" s="3" t="s">
        <v>495</v>
      </c>
      <c r="E141" s="3" t="s">
        <v>518</v>
      </c>
      <c r="F141" s="23">
        <v>349000</v>
      </c>
      <c r="G141" s="35">
        <v>2006</v>
      </c>
      <c r="H141">
        <f>Table_8[[#This Row],[Listing Price (USD)]]/10000</f>
        <v>34.9</v>
      </c>
      <c r="I141">
        <f>Table_8[[#This Row],[Length 
(ft)]]</f>
        <v>41.6</v>
      </c>
      <c r="J141" s="37">
        <f>2020-Table_8[[#This Row],[Year]]</f>
        <v>14</v>
      </c>
      <c r="K141">
        <v>1724759000000</v>
      </c>
      <c r="L141">
        <v>85575.039999999994</v>
      </c>
      <c r="M141">
        <v>1.23</v>
      </c>
      <c r="N141">
        <v>3.8</v>
      </c>
      <c r="O141" s="39">
        <v>40.5</v>
      </c>
      <c r="P141" s="39">
        <v>996</v>
      </c>
      <c r="Q141" s="39">
        <v>92</v>
      </c>
      <c r="R141" s="39">
        <v>23</v>
      </c>
    </row>
    <row r="142" spans="1:18" x14ac:dyDescent="0.25">
      <c r="A142" s="1" t="s">
        <v>464</v>
      </c>
      <c r="B142" s="2">
        <v>41</v>
      </c>
      <c r="C142" s="19">
        <v>41.6</v>
      </c>
      <c r="D142" s="3" t="s">
        <v>495</v>
      </c>
      <c r="E142" s="3" t="s">
        <v>333</v>
      </c>
      <c r="F142" s="23">
        <v>499900</v>
      </c>
      <c r="G142" s="35">
        <v>2016</v>
      </c>
      <c r="H142">
        <f>Table_8[[#This Row],[Listing Price (USD)]]/10000</f>
        <v>49.99</v>
      </c>
      <c r="I142">
        <f>Table_8[[#This Row],[Length 
(ft)]]</f>
        <v>41.6</v>
      </c>
      <c r="J142" s="37">
        <f>2020-Table_8[[#This Row],[Year]]</f>
        <v>4</v>
      </c>
      <c r="K142">
        <v>1106036000000</v>
      </c>
      <c r="L142">
        <v>51276.72</v>
      </c>
      <c r="M142">
        <v>1.23</v>
      </c>
      <c r="N142">
        <v>2.9</v>
      </c>
      <c r="O142" s="39">
        <v>40.5</v>
      </c>
      <c r="P142" s="39">
        <v>996</v>
      </c>
      <c r="Q142" s="39">
        <v>92</v>
      </c>
      <c r="R142" s="39">
        <v>23</v>
      </c>
    </row>
    <row r="143" spans="1:18" x14ac:dyDescent="0.25">
      <c r="A143" s="1" t="s">
        <v>427</v>
      </c>
      <c r="B143" s="2">
        <v>42</v>
      </c>
      <c r="C143" s="19">
        <v>42.5</v>
      </c>
      <c r="D143" s="3" t="s">
        <v>496</v>
      </c>
      <c r="E143" s="4" t="s">
        <v>31</v>
      </c>
      <c r="F143" s="23">
        <v>359017</v>
      </c>
      <c r="G143" s="35">
        <v>2019</v>
      </c>
      <c r="H143">
        <f>Table_8[[#This Row],[Listing Price (USD)]]/10000</f>
        <v>35.901699999999998</v>
      </c>
      <c r="I143">
        <f>Table_8[[#This Row],[Length 
(ft)]]</f>
        <v>42.5</v>
      </c>
      <c r="J143" s="37">
        <f>2020-Table_8[[#This Row],[Year]]</f>
        <v>1</v>
      </c>
      <c r="K143">
        <v>57472012426.685303</v>
      </c>
      <c r="L143">
        <v>14198.753959474399</v>
      </c>
      <c r="M143">
        <v>0.15481137456202801</v>
      </c>
      <c r="N143">
        <v>-8.5803430210621805</v>
      </c>
      <c r="O143" s="39">
        <v>38.75</v>
      </c>
      <c r="P143" s="39">
        <v>1119</v>
      </c>
      <c r="Q143" s="39">
        <v>80</v>
      </c>
      <c r="R143" s="39">
        <v>22.67</v>
      </c>
    </row>
    <row r="144" spans="1:18" x14ac:dyDescent="0.25">
      <c r="A144" s="1" t="s">
        <v>427</v>
      </c>
      <c r="B144" s="2">
        <v>42</v>
      </c>
      <c r="C144" s="19">
        <v>42.5</v>
      </c>
      <c r="D144" s="3" t="s">
        <v>496</v>
      </c>
      <c r="E144" s="4" t="s">
        <v>18</v>
      </c>
      <c r="F144" s="23">
        <v>381953</v>
      </c>
      <c r="G144" s="35">
        <v>2017</v>
      </c>
      <c r="H144">
        <f>Table_8[[#This Row],[Listing Price (USD)]]/10000</f>
        <v>38.195300000000003</v>
      </c>
      <c r="I144">
        <f>Table_8[[#This Row],[Length 
(ft)]]</f>
        <v>42.5</v>
      </c>
      <c r="J144" s="37">
        <f>2020-Table_8[[#This Row],[Year]]</f>
        <v>3</v>
      </c>
      <c r="K144">
        <v>188925995936.80701</v>
      </c>
      <c r="L144">
        <v>17658.947301119199</v>
      </c>
      <c r="M144">
        <v>-1.2479835558140799</v>
      </c>
      <c r="N144">
        <v>-9.0040436420214593</v>
      </c>
      <c r="O144" s="39">
        <v>38.75</v>
      </c>
      <c r="P144" s="39">
        <v>1119</v>
      </c>
      <c r="Q144" s="39">
        <v>80</v>
      </c>
      <c r="R144" s="39">
        <v>22.67</v>
      </c>
    </row>
    <row r="145" spans="1:18" x14ac:dyDescent="0.25">
      <c r="A145" s="1" t="s">
        <v>427</v>
      </c>
      <c r="B145" s="2">
        <v>42</v>
      </c>
      <c r="C145" s="19">
        <v>42.5</v>
      </c>
      <c r="D145" s="3" t="s">
        <v>496</v>
      </c>
      <c r="E145" s="4" t="s">
        <v>18</v>
      </c>
      <c r="F145" s="23">
        <v>389097</v>
      </c>
      <c r="G145" s="35">
        <v>2017</v>
      </c>
      <c r="H145">
        <f>Table_8[[#This Row],[Listing Price (USD)]]/10000</f>
        <v>38.909700000000001</v>
      </c>
      <c r="I145">
        <f>Table_8[[#This Row],[Length 
(ft)]]</f>
        <v>42.5</v>
      </c>
      <c r="J145" s="37">
        <f>2020-Table_8[[#This Row],[Year]]</f>
        <v>3</v>
      </c>
      <c r="K145">
        <v>188925995936.80701</v>
      </c>
      <c r="L145">
        <v>17658.947301119199</v>
      </c>
      <c r="M145">
        <v>-1.2479835558140799</v>
      </c>
      <c r="N145">
        <v>-9.0040436420214593</v>
      </c>
      <c r="O145" s="39">
        <v>38.75</v>
      </c>
      <c r="P145" s="39">
        <v>1119</v>
      </c>
      <c r="Q145" s="39">
        <v>80</v>
      </c>
      <c r="R145" s="39">
        <v>22.67</v>
      </c>
    </row>
    <row r="146" spans="1:18" x14ac:dyDescent="0.25">
      <c r="A146" s="1" t="s">
        <v>427</v>
      </c>
      <c r="B146" s="2">
        <v>42</v>
      </c>
      <c r="C146" s="19">
        <v>42.5</v>
      </c>
      <c r="D146" s="3" t="s">
        <v>496</v>
      </c>
      <c r="E146" s="4" t="s">
        <v>18</v>
      </c>
      <c r="F146" s="23">
        <v>394079</v>
      </c>
      <c r="G146" s="35">
        <v>2017</v>
      </c>
      <c r="H146">
        <f>Table_8[[#This Row],[Listing Price (USD)]]/10000</f>
        <v>39.407899999999998</v>
      </c>
      <c r="I146">
        <f>Table_8[[#This Row],[Length 
(ft)]]</f>
        <v>42.5</v>
      </c>
      <c r="J146" s="37">
        <f>2020-Table_8[[#This Row],[Year]]</f>
        <v>3</v>
      </c>
      <c r="K146">
        <v>188925995936.80701</v>
      </c>
      <c r="L146">
        <v>17658.947301119199</v>
      </c>
      <c r="M146">
        <v>-1.2479835558140799</v>
      </c>
      <c r="N146">
        <v>-9.0040436420214593</v>
      </c>
      <c r="O146" s="39">
        <v>38.75</v>
      </c>
      <c r="P146" s="39">
        <v>1119</v>
      </c>
      <c r="Q146" s="39">
        <v>80</v>
      </c>
      <c r="R146" s="39">
        <v>22.67</v>
      </c>
    </row>
    <row r="147" spans="1:18" x14ac:dyDescent="0.25">
      <c r="A147" s="1" t="s">
        <v>427</v>
      </c>
      <c r="B147" s="2">
        <v>42</v>
      </c>
      <c r="C147" s="19">
        <v>42.5</v>
      </c>
      <c r="D147" s="3" t="s">
        <v>496</v>
      </c>
      <c r="E147" s="4" t="s">
        <v>18</v>
      </c>
      <c r="F147" s="23">
        <v>394469</v>
      </c>
      <c r="G147" s="35">
        <v>2017</v>
      </c>
      <c r="H147">
        <f>Table_8[[#This Row],[Listing Price (USD)]]/10000</f>
        <v>39.446899999999999</v>
      </c>
      <c r="I147">
        <f>Table_8[[#This Row],[Length 
(ft)]]</f>
        <v>42.5</v>
      </c>
      <c r="J147" s="37">
        <f>2020-Table_8[[#This Row],[Year]]</f>
        <v>3</v>
      </c>
      <c r="K147">
        <v>188925995936.80701</v>
      </c>
      <c r="L147">
        <v>17658.947301119199</v>
      </c>
      <c r="M147">
        <v>-1.2479835558140799</v>
      </c>
      <c r="N147">
        <v>-9.0040436420214593</v>
      </c>
      <c r="O147" s="39">
        <v>38.75</v>
      </c>
      <c r="P147" s="39">
        <v>1119</v>
      </c>
      <c r="Q147" s="39">
        <v>80</v>
      </c>
      <c r="R147" s="39">
        <v>22.67</v>
      </c>
    </row>
    <row r="148" spans="1:18" x14ac:dyDescent="0.25">
      <c r="A148" s="1" t="s">
        <v>427</v>
      </c>
      <c r="B148" s="2">
        <v>42</v>
      </c>
      <c r="C148" s="19">
        <v>42.5</v>
      </c>
      <c r="D148" s="3" t="s">
        <v>496</v>
      </c>
      <c r="E148" s="4" t="s">
        <v>18</v>
      </c>
      <c r="F148" s="23">
        <v>394776</v>
      </c>
      <c r="G148" s="35">
        <v>2017</v>
      </c>
      <c r="H148">
        <f>Table_8[[#This Row],[Listing Price (USD)]]/10000</f>
        <v>39.477600000000002</v>
      </c>
      <c r="I148">
        <f>Table_8[[#This Row],[Length 
(ft)]]</f>
        <v>42.5</v>
      </c>
      <c r="J148" s="37">
        <f>2020-Table_8[[#This Row],[Year]]</f>
        <v>3</v>
      </c>
      <c r="K148">
        <v>188925995936.80701</v>
      </c>
      <c r="L148">
        <v>17658.947301119199</v>
      </c>
      <c r="M148">
        <v>-1.2479835558140799</v>
      </c>
      <c r="N148">
        <v>-9.0040436420214593</v>
      </c>
      <c r="O148" s="39">
        <v>38.75</v>
      </c>
      <c r="P148" s="39">
        <v>1119</v>
      </c>
      <c r="Q148" s="39">
        <v>80</v>
      </c>
      <c r="R148" s="39">
        <v>22.67</v>
      </c>
    </row>
    <row r="149" spans="1:18" x14ac:dyDescent="0.25">
      <c r="A149" s="1" t="s">
        <v>427</v>
      </c>
      <c r="B149" s="2">
        <v>42</v>
      </c>
      <c r="C149" s="19">
        <v>42.5</v>
      </c>
      <c r="D149" s="3" t="s">
        <v>496</v>
      </c>
      <c r="E149" s="4" t="s">
        <v>18</v>
      </c>
      <c r="F149" s="23">
        <v>398110</v>
      </c>
      <c r="G149" s="35">
        <v>2017</v>
      </c>
      <c r="H149">
        <f>Table_8[[#This Row],[Listing Price (USD)]]/10000</f>
        <v>39.811</v>
      </c>
      <c r="I149">
        <f>Table_8[[#This Row],[Length 
(ft)]]</f>
        <v>42.5</v>
      </c>
      <c r="J149" s="37">
        <f>2020-Table_8[[#This Row],[Year]]</f>
        <v>3</v>
      </c>
      <c r="K149">
        <v>188925995936.80701</v>
      </c>
      <c r="L149">
        <v>17658.947301119199</v>
      </c>
      <c r="M149">
        <v>-1.2479835558140799</v>
      </c>
      <c r="N149">
        <v>-9.0040436420214593</v>
      </c>
      <c r="O149" s="39">
        <v>38.75</v>
      </c>
      <c r="P149" s="39">
        <v>1119</v>
      </c>
      <c r="Q149" s="39">
        <v>80</v>
      </c>
      <c r="R149" s="39">
        <v>22.67</v>
      </c>
    </row>
    <row r="150" spans="1:18" x14ac:dyDescent="0.25">
      <c r="A150" s="1" t="s">
        <v>427</v>
      </c>
      <c r="B150" s="2">
        <v>42</v>
      </c>
      <c r="C150" s="19">
        <v>42.5</v>
      </c>
      <c r="D150" s="3" t="s">
        <v>496</v>
      </c>
      <c r="E150" s="4" t="s">
        <v>18</v>
      </c>
      <c r="F150" s="23">
        <v>398420</v>
      </c>
      <c r="G150" s="35">
        <v>2017</v>
      </c>
      <c r="H150">
        <f>Table_8[[#This Row],[Listing Price (USD)]]/10000</f>
        <v>39.841999999999999</v>
      </c>
      <c r="I150">
        <f>Table_8[[#This Row],[Length 
(ft)]]</f>
        <v>42.5</v>
      </c>
      <c r="J150" s="37">
        <f>2020-Table_8[[#This Row],[Year]]</f>
        <v>3</v>
      </c>
      <c r="K150">
        <v>188925995936.80701</v>
      </c>
      <c r="L150">
        <v>17658.947301119199</v>
      </c>
      <c r="M150">
        <v>-1.2479835558140799</v>
      </c>
      <c r="N150">
        <v>-9.0040436420214593</v>
      </c>
      <c r="O150" s="39">
        <v>38.75</v>
      </c>
      <c r="P150" s="39">
        <v>1119</v>
      </c>
      <c r="Q150" s="39">
        <v>80</v>
      </c>
      <c r="R150" s="39">
        <v>22.67</v>
      </c>
    </row>
    <row r="151" spans="1:18" x14ac:dyDescent="0.25">
      <c r="A151" s="1" t="s">
        <v>427</v>
      </c>
      <c r="B151" s="2">
        <v>42</v>
      </c>
      <c r="C151" s="19">
        <v>42.5</v>
      </c>
      <c r="D151" s="3" t="s">
        <v>496</v>
      </c>
      <c r="E151" s="4" t="s">
        <v>18</v>
      </c>
      <c r="F151" s="23">
        <v>413415</v>
      </c>
      <c r="G151" s="35">
        <v>2017</v>
      </c>
      <c r="H151">
        <f>Table_8[[#This Row],[Listing Price (USD)]]/10000</f>
        <v>41.341500000000003</v>
      </c>
      <c r="I151">
        <f>Table_8[[#This Row],[Length 
(ft)]]</f>
        <v>42.5</v>
      </c>
      <c r="J151" s="37">
        <f>2020-Table_8[[#This Row],[Year]]</f>
        <v>3</v>
      </c>
      <c r="K151">
        <v>188925995936.80701</v>
      </c>
      <c r="L151">
        <v>17658.947301119199</v>
      </c>
      <c r="M151">
        <v>-1.2479835558140799</v>
      </c>
      <c r="N151">
        <v>-9.0040436420214593</v>
      </c>
      <c r="O151" s="39">
        <v>38.75</v>
      </c>
      <c r="P151" s="39">
        <v>1119</v>
      </c>
      <c r="Q151" s="39">
        <v>80</v>
      </c>
      <c r="R151" s="39">
        <v>22.67</v>
      </c>
    </row>
    <row r="152" spans="1:18" x14ac:dyDescent="0.25">
      <c r="A152" s="1" t="s">
        <v>427</v>
      </c>
      <c r="B152" s="2">
        <v>42</v>
      </c>
      <c r="C152" s="19">
        <v>42.5</v>
      </c>
      <c r="D152" s="3" t="s">
        <v>496</v>
      </c>
      <c r="E152" s="4" t="s">
        <v>18</v>
      </c>
      <c r="F152" s="23">
        <v>423599</v>
      </c>
      <c r="G152" s="35">
        <v>2017</v>
      </c>
      <c r="H152">
        <f>Table_8[[#This Row],[Listing Price (USD)]]/10000</f>
        <v>42.359900000000003</v>
      </c>
      <c r="I152">
        <f>Table_8[[#This Row],[Length 
(ft)]]</f>
        <v>42.5</v>
      </c>
      <c r="J152" s="37">
        <f>2020-Table_8[[#This Row],[Year]]</f>
        <v>3</v>
      </c>
      <c r="K152">
        <v>188925995936.80701</v>
      </c>
      <c r="L152">
        <v>17658.947301119199</v>
      </c>
      <c r="M152">
        <v>-1.2479835558140799</v>
      </c>
      <c r="N152">
        <v>-9.0040436420214593</v>
      </c>
      <c r="O152" s="39">
        <v>38.75</v>
      </c>
      <c r="P152" s="39">
        <v>1119</v>
      </c>
      <c r="Q152" s="39">
        <v>80</v>
      </c>
      <c r="R152" s="39">
        <v>22.67</v>
      </c>
    </row>
    <row r="153" spans="1:18" x14ac:dyDescent="0.25">
      <c r="A153" s="1" t="s">
        <v>427</v>
      </c>
      <c r="B153" s="2">
        <v>42</v>
      </c>
      <c r="C153" s="19">
        <v>42.5</v>
      </c>
      <c r="D153" s="3" t="s">
        <v>496</v>
      </c>
      <c r="E153" s="3" t="s">
        <v>56</v>
      </c>
      <c r="F153" s="23">
        <v>425144</v>
      </c>
      <c r="G153" s="35">
        <v>2017</v>
      </c>
      <c r="H153">
        <f>Table_8[[#This Row],[Listing Price (USD)]]/10000</f>
        <v>42.514400000000002</v>
      </c>
      <c r="I153">
        <f>Table_8[[#This Row],[Length 
(ft)]]</f>
        <v>42.5</v>
      </c>
      <c r="J153" s="37">
        <f>2020-Table_8[[#This Row],[Year]]</f>
        <v>3</v>
      </c>
      <c r="K153">
        <v>14933066818.9606</v>
      </c>
      <c r="L153">
        <v>28977.565567363599</v>
      </c>
      <c r="M153">
        <v>0.63854495677665302</v>
      </c>
      <c r="N153">
        <v>-8.3242832319722009</v>
      </c>
      <c r="O153" s="39">
        <v>38.75</v>
      </c>
      <c r="P153" s="39">
        <v>1119</v>
      </c>
      <c r="Q153" s="39">
        <v>80</v>
      </c>
      <c r="R153" s="39">
        <v>22.67</v>
      </c>
    </row>
    <row r="154" spans="1:18" x14ac:dyDescent="0.25">
      <c r="A154" s="1" t="s">
        <v>427</v>
      </c>
      <c r="B154" s="2">
        <v>42</v>
      </c>
      <c r="C154" s="19">
        <v>42.5</v>
      </c>
      <c r="D154" s="3" t="s">
        <v>496</v>
      </c>
      <c r="E154" s="4" t="s">
        <v>18</v>
      </c>
      <c r="F154" s="23">
        <v>443019</v>
      </c>
      <c r="G154" s="35">
        <v>2019</v>
      </c>
      <c r="H154">
        <f>Table_8[[#This Row],[Listing Price (USD)]]/10000</f>
        <v>44.301900000000003</v>
      </c>
      <c r="I154">
        <f>Table_8[[#This Row],[Length 
(ft)]]</f>
        <v>42.5</v>
      </c>
      <c r="J154" s="37">
        <f>2020-Table_8[[#This Row],[Year]]</f>
        <v>1</v>
      </c>
      <c r="K154">
        <v>188925995936.80701</v>
      </c>
      <c r="L154">
        <v>17658.947301119199</v>
      </c>
      <c r="M154">
        <v>-1.2479835558140799</v>
      </c>
      <c r="N154">
        <v>-9.0040436420214593</v>
      </c>
      <c r="O154" s="39">
        <v>38.75</v>
      </c>
      <c r="P154" s="39">
        <v>1119</v>
      </c>
      <c r="Q154" s="39">
        <v>80</v>
      </c>
      <c r="R154" s="39">
        <v>22.67</v>
      </c>
    </row>
    <row r="155" spans="1:18" x14ac:dyDescent="0.25">
      <c r="A155" s="1" t="s">
        <v>427</v>
      </c>
      <c r="B155" s="2">
        <v>42</v>
      </c>
      <c r="C155" s="19">
        <v>42.5</v>
      </c>
      <c r="D155" s="3" t="s">
        <v>496</v>
      </c>
      <c r="E155" s="4" t="s">
        <v>18</v>
      </c>
      <c r="F155" s="23">
        <v>443364</v>
      </c>
      <c r="G155" s="35">
        <v>2019</v>
      </c>
      <c r="H155">
        <f>Table_8[[#This Row],[Listing Price (USD)]]/10000</f>
        <v>44.336399999999998</v>
      </c>
      <c r="I155">
        <f>Table_8[[#This Row],[Length 
(ft)]]</f>
        <v>42.5</v>
      </c>
      <c r="J155" s="37">
        <f>2020-Table_8[[#This Row],[Year]]</f>
        <v>1</v>
      </c>
      <c r="K155">
        <v>188925995936.80701</v>
      </c>
      <c r="L155">
        <v>17658.947301119199</v>
      </c>
      <c r="M155">
        <v>-1.2479835558140799</v>
      </c>
      <c r="N155">
        <v>-9.0040436420214593</v>
      </c>
      <c r="O155" s="39">
        <v>38.75</v>
      </c>
      <c r="P155" s="39">
        <v>1119</v>
      </c>
      <c r="Q155" s="39">
        <v>80</v>
      </c>
      <c r="R155" s="39">
        <v>22.67</v>
      </c>
    </row>
    <row r="156" spans="1:18" x14ac:dyDescent="0.25">
      <c r="A156" s="1" t="s">
        <v>427</v>
      </c>
      <c r="B156" s="2">
        <v>42</v>
      </c>
      <c r="C156" s="19">
        <v>42.5</v>
      </c>
      <c r="D156" s="3" t="s">
        <v>496</v>
      </c>
      <c r="E156" s="4" t="s">
        <v>18</v>
      </c>
      <c r="F156" s="23">
        <v>449087</v>
      </c>
      <c r="G156" s="35">
        <v>2018</v>
      </c>
      <c r="H156">
        <f>Table_8[[#This Row],[Listing Price (USD)]]/10000</f>
        <v>44.908700000000003</v>
      </c>
      <c r="I156">
        <f>Table_8[[#This Row],[Length 
(ft)]]</f>
        <v>42.5</v>
      </c>
      <c r="J156" s="37">
        <f>2020-Table_8[[#This Row],[Year]]</f>
        <v>2</v>
      </c>
      <c r="K156">
        <v>188925995936.80701</v>
      </c>
      <c r="L156">
        <v>17658.947301119199</v>
      </c>
      <c r="M156">
        <v>-1.2479835558140799</v>
      </c>
      <c r="N156">
        <v>-9.0040436420214593</v>
      </c>
      <c r="O156" s="39">
        <v>38.75</v>
      </c>
      <c r="P156" s="39">
        <v>1119</v>
      </c>
      <c r="Q156" s="39">
        <v>80</v>
      </c>
      <c r="R156" s="39">
        <v>22.67</v>
      </c>
    </row>
    <row r="157" spans="1:18" x14ac:dyDescent="0.25">
      <c r="A157" s="1" t="s">
        <v>427</v>
      </c>
      <c r="B157" s="2">
        <v>42</v>
      </c>
      <c r="C157" s="19">
        <v>42.5</v>
      </c>
      <c r="D157" s="3" t="s">
        <v>496</v>
      </c>
      <c r="E157" s="4" t="s">
        <v>31</v>
      </c>
      <c r="F157" s="23">
        <v>458344</v>
      </c>
      <c r="G157" s="35">
        <v>2017</v>
      </c>
      <c r="H157">
        <f>Table_8[[#This Row],[Listing Price (USD)]]/10000</f>
        <v>45.834400000000002</v>
      </c>
      <c r="I157">
        <f>Table_8[[#This Row],[Length 
(ft)]]</f>
        <v>42.5</v>
      </c>
      <c r="J157" s="37">
        <f>2020-Table_8[[#This Row],[Year]]</f>
        <v>3</v>
      </c>
      <c r="K157">
        <v>57472012426.685303</v>
      </c>
      <c r="L157">
        <v>14198.753959474399</v>
      </c>
      <c r="M157">
        <v>0.15481137456202801</v>
      </c>
      <c r="N157">
        <v>-8.5803430210621805</v>
      </c>
      <c r="O157" s="39">
        <v>38.75</v>
      </c>
      <c r="P157" s="39">
        <v>1119</v>
      </c>
      <c r="Q157" s="39">
        <v>80</v>
      </c>
      <c r="R157" s="39">
        <v>22.67</v>
      </c>
    </row>
    <row r="158" spans="1:18" x14ac:dyDescent="0.25">
      <c r="A158" s="1" t="s">
        <v>427</v>
      </c>
      <c r="B158" s="2">
        <v>42</v>
      </c>
      <c r="C158" s="19">
        <v>42.5</v>
      </c>
      <c r="D158" s="3" t="s">
        <v>496</v>
      </c>
      <c r="E158" s="4" t="s">
        <v>18</v>
      </c>
      <c r="F158" s="23">
        <v>458344</v>
      </c>
      <c r="G158" s="35">
        <v>2017</v>
      </c>
      <c r="H158">
        <f>Table_8[[#This Row],[Listing Price (USD)]]/10000</f>
        <v>45.834400000000002</v>
      </c>
      <c r="I158">
        <f>Table_8[[#This Row],[Length 
(ft)]]</f>
        <v>42.5</v>
      </c>
      <c r="J158" s="37">
        <f>2020-Table_8[[#This Row],[Year]]</f>
        <v>3</v>
      </c>
      <c r="K158">
        <v>188925995936.80701</v>
      </c>
      <c r="L158">
        <v>17658.947301119199</v>
      </c>
      <c r="M158">
        <v>-1.2479835558140799</v>
      </c>
      <c r="N158">
        <v>-9.0040436420214593</v>
      </c>
      <c r="O158" s="39">
        <v>38.75</v>
      </c>
      <c r="P158" s="39">
        <v>1119</v>
      </c>
      <c r="Q158" s="39">
        <v>80</v>
      </c>
      <c r="R158" s="39">
        <v>22.67</v>
      </c>
    </row>
    <row r="159" spans="1:18" x14ac:dyDescent="0.25">
      <c r="A159" s="1" t="s">
        <v>427</v>
      </c>
      <c r="B159" s="2">
        <v>42</v>
      </c>
      <c r="C159" s="19">
        <v>42.5</v>
      </c>
      <c r="D159" s="3" t="s">
        <v>496</v>
      </c>
      <c r="E159" s="4" t="s">
        <v>31</v>
      </c>
      <c r="F159" s="23">
        <v>459155</v>
      </c>
      <c r="G159" s="35">
        <v>2017</v>
      </c>
      <c r="H159">
        <f>Table_8[[#This Row],[Listing Price (USD)]]/10000</f>
        <v>45.915500000000002</v>
      </c>
      <c r="I159">
        <f>Table_8[[#This Row],[Length 
(ft)]]</f>
        <v>42.5</v>
      </c>
      <c r="J159" s="37">
        <f>2020-Table_8[[#This Row],[Year]]</f>
        <v>3</v>
      </c>
      <c r="K159">
        <v>57472012426.685303</v>
      </c>
      <c r="L159">
        <v>14198.753959474399</v>
      </c>
      <c r="M159">
        <v>0.15481137456202801</v>
      </c>
      <c r="N159">
        <v>-8.5803430210621805</v>
      </c>
      <c r="O159" s="39">
        <v>38.75</v>
      </c>
      <c r="P159" s="39">
        <v>1119</v>
      </c>
      <c r="Q159" s="39">
        <v>80</v>
      </c>
      <c r="R159" s="39">
        <v>22.67</v>
      </c>
    </row>
    <row r="160" spans="1:18" x14ac:dyDescent="0.25">
      <c r="A160" s="1" t="s">
        <v>427</v>
      </c>
      <c r="B160" s="2">
        <v>42</v>
      </c>
      <c r="C160" s="19">
        <v>42.5</v>
      </c>
      <c r="D160" s="3" t="s">
        <v>496</v>
      </c>
      <c r="E160" s="4" t="s">
        <v>31</v>
      </c>
      <c r="F160" s="23">
        <v>459620</v>
      </c>
      <c r="G160" s="35">
        <v>2017</v>
      </c>
      <c r="H160">
        <f>Table_8[[#This Row],[Listing Price (USD)]]/10000</f>
        <v>45.962000000000003</v>
      </c>
      <c r="I160">
        <f>Table_8[[#This Row],[Length 
(ft)]]</f>
        <v>42.5</v>
      </c>
      <c r="J160" s="37">
        <f>2020-Table_8[[#This Row],[Year]]</f>
        <v>3</v>
      </c>
      <c r="K160">
        <v>57472012426.685303</v>
      </c>
      <c r="L160">
        <v>14198.753959474399</v>
      </c>
      <c r="M160">
        <v>0.15481137456202801</v>
      </c>
      <c r="N160">
        <v>-8.5803430210621805</v>
      </c>
      <c r="O160" s="39">
        <v>38.75</v>
      </c>
      <c r="P160" s="39">
        <v>1119</v>
      </c>
      <c r="Q160" s="39">
        <v>80</v>
      </c>
      <c r="R160" s="39">
        <v>22.67</v>
      </c>
    </row>
    <row r="161" spans="1:18" x14ac:dyDescent="0.25">
      <c r="A161" s="1" t="s">
        <v>427</v>
      </c>
      <c r="B161" s="2">
        <v>42</v>
      </c>
      <c r="C161" s="19">
        <v>42.5</v>
      </c>
      <c r="D161" s="3" t="s">
        <v>496</v>
      </c>
      <c r="E161" s="4" t="s">
        <v>3</v>
      </c>
      <c r="F161" s="23">
        <v>460370</v>
      </c>
      <c r="G161" s="35">
        <v>2018</v>
      </c>
      <c r="H161">
        <f>Table_8[[#This Row],[Listing Price (USD)]]/10000</f>
        <v>46.036999999999999</v>
      </c>
      <c r="I161">
        <f>Table_8[[#This Row],[Length 
(ft)]]</f>
        <v>42.5</v>
      </c>
      <c r="J161" s="37">
        <f>2020-Table_8[[#This Row],[Year]]</f>
        <v>2</v>
      </c>
      <c r="K161">
        <v>2639008701648.2598</v>
      </c>
      <c r="L161">
        <v>39055.282928075401</v>
      </c>
      <c r="M161">
        <v>0.47649885272508302</v>
      </c>
      <c r="N161">
        <v>-7.7845864916787102</v>
      </c>
      <c r="O161" s="39">
        <v>38.75</v>
      </c>
      <c r="P161" s="39">
        <v>1119</v>
      </c>
      <c r="Q161" s="39">
        <v>80</v>
      </c>
      <c r="R161" s="39">
        <v>22.67</v>
      </c>
    </row>
    <row r="162" spans="1:18" x14ac:dyDescent="0.25">
      <c r="A162" s="1" t="s">
        <v>427</v>
      </c>
      <c r="B162" s="2">
        <v>42</v>
      </c>
      <c r="C162" s="19">
        <v>42.5</v>
      </c>
      <c r="D162" s="3" t="s">
        <v>496</v>
      </c>
      <c r="E162" s="4" t="s">
        <v>9</v>
      </c>
      <c r="F162" s="23">
        <v>460769</v>
      </c>
      <c r="G162" s="35">
        <v>2016</v>
      </c>
      <c r="H162">
        <f>Table_8[[#This Row],[Listing Price (USD)]]/10000</f>
        <v>46.076900000000002</v>
      </c>
      <c r="I162">
        <f>Table_8[[#This Row],[Length 
(ft)]]</f>
        <v>42.5</v>
      </c>
      <c r="J162" s="37">
        <f>2020-Table_8[[#This Row],[Year]]</f>
        <v>4</v>
      </c>
      <c r="K162">
        <v>1276962685648.25</v>
      </c>
      <c r="L162">
        <v>26959.675436732599</v>
      </c>
      <c r="M162">
        <v>-0.32275301729970501</v>
      </c>
      <c r="N162">
        <v>-11.3254383222864</v>
      </c>
      <c r="O162" s="39">
        <v>38.75</v>
      </c>
      <c r="P162" s="39">
        <v>1119</v>
      </c>
      <c r="Q162" s="39">
        <v>80</v>
      </c>
      <c r="R162" s="39">
        <v>22.67</v>
      </c>
    </row>
    <row r="163" spans="1:18" x14ac:dyDescent="0.25">
      <c r="A163" s="1" t="s">
        <v>427</v>
      </c>
      <c r="B163" s="2">
        <v>42</v>
      </c>
      <c r="C163" s="19">
        <v>42.5</v>
      </c>
      <c r="D163" s="3" t="s">
        <v>496</v>
      </c>
      <c r="E163" s="4" t="s">
        <v>18</v>
      </c>
      <c r="F163" s="23">
        <v>460769</v>
      </c>
      <c r="G163" s="35">
        <v>2019</v>
      </c>
      <c r="H163">
        <f>Table_8[[#This Row],[Listing Price (USD)]]/10000</f>
        <v>46.076900000000002</v>
      </c>
      <c r="I163">
        <f>Table_8[[#This Row],[Length 
(ft)]]</f>
        <v>42.5</v>
      </c>
      <c r="J163" s="37">
        <f>2020-Table_8[[#This Row],[Year]]</f>
        <v>1</v>
      </c>
      <c r="K163">
        <v>188925995936.80701</v>
      </c>
      <c r="L163">
        <v>17658.947301119199</v>
      </c>
      <c r="M163">
        <v>-1.2479835558140799</v>
      </c>
      <c r="N163">
        <v>-9.0040436420214593</v>
      </c>
      <c r="O163" s="39">
        <v>38.75</v>
      </c>
      <c r="P163" s="39">
        <v>1119</v>
      </c>
      <c r="Q163" s="39">
        <v>80</v>
      </c>
      <c r="R163" s="39">
        <v>22.67</v>
      </c>
    </row>
    <row r="164" spans="1:18" x14ac:dyDescent="0.25">
      <c r="A164" s="1" t="s">
        <v>427</v>
      </c>
      <c r="B164" s="2">
        <v>42</v>
      </c>
      <c r="C164" s="19">
        <v>42.5</v>
      </c>
      <c r="D164" s="3" t="s">
        <v>496</v>
      </c>
      <c r="E164" s="4" t="s">
        <v>3</v>
      </c>
      <c r="F164" s="23">
        <v>460836</v>
      </c>
      <c r="G164" s="35">
        <v>2018</v>
      </c>
      <c r="H164">
        <f>Table_8[[#This Row],[Listing Price (USD)]]/10000</f>
        <v>46.083599999999997</v>
      </c>
      <c r="I164">
        <f>Table_8[[#This Row],[Length 
(ft)]]</f>
        <v>42.5</v>
      </c>
      <c r="J164" s="37">
        <f>2020-Table_8[[#This Row],[Year]]</f>
        <v>2</v>
      </c>
      <c r="K164">
        <v>2639008701648.2598</v>
      </c>
      <c r="L164">
        <v>39055.282928075401</v>
      </c>
      <c r="M164">
        <v>0.47649885272508302</v>
      </c>
      <c r="N164">
        <v>-7.7845864916787102</v>
      </c>
      <c r="O164" s="39">
        <v>38.75</v>
      </c>
      <c r="P164" s="39">
        <v>1119</v>
      </c>
      <c r="Q164" s="39">
        <v>80</v>
      </c>
      <c r="R164" s="39">
        <v>22.67</v>
      </c>
    </row>
    <row r="165" spans="1:18" x14ac:dyDescent="0.25">
      <c r="A165" s="1" t="s">
        <v>427</v>
      </c>
      <c r="B165" s="2">
        <v>42</v>
      </c>
      <c r="C165" s="19">
        <v>42.5</v>
      </c>
      <c r="D165" s="3" t="s">
        <v>496</v>
      </c>
      <c r="E165" s="4" t="s">
        <v>31</v>
      </c>
      <c r="F165" s="23">
        <v>461225</v>
      </c>
      <c r="G165" s="35">
        <v>2017</v>
      </c>
      <c r="H165">
        <f>Table_8[[#This Row],[Listing Price (USD)]]/10000</f>
        <v>46.122500000000002</v>
      </c>
      <c r="I165">
        <f>Table_8[[#This Row],[Length 
(ft)]]</f>
        <v>42.5</v>
      </c>
      <c r="J165" s="37">
        <f>2020-Table_8[[#This Row],[Year]]</f>
        <v>3</v>
      </c>
      <c r="K165">
        <v>57472012426.685303</v>
      </c>
      <c r="L165">
        <v>14198.753959474399</v>
      </c>
      <c r="M165">
        <v>0.15481137456202801</v>
      </c>
      <c r="N165">
        <v>-8.5803430210621805</v>
      </c>
      <c r="O165" s="39">
        <v>38.75</v>
      </c>
      <c r="P165" s="39">
        <v>1119</v>
      </c>
      <c r="Q165" s="39">
        <v>80</v>
      </c>
      <c r="R165" s="39">
        <v>22.67</v>
      </c>
    </row>
    <row r="166" spans="1:18" x14ac:dyDescent="0.25">
      <c r="A166" s="1" t="s">
        <v>427</v>
      </c>
      <c r="B166" s="2">
        <v>42</v>
      </c>
      <c r="C166" s="19">
        <v>42.5</v>
      </c>
      <c r="D166" s="3" t="s">
        <v>496</v>
      </c>
      <c r="E166" s="4" t="s">
        <v>9</v>
      </c>
      <c r="F166" s="23">
        <v>461585</v>
      </c>
      <c r="G166" s="35">
        <v>2016</v>
      </c>
      <c r="H166">
        <f>Table_8[[#This Row],[Listing Price (USD)]]/10000</f>
        <v>46.158499999999997</v>
      </c>
      <c r="I166">
        <f>Table_8[[#This Row],[Length 
(ft)]]</f>
        <v>42.5</v>
      </c>
      <c r="J166" s="37">
        <f>2020-Table_8[[#This Row],[Year]]</f>
        <v>4</v>
      </c>
      <c r="K166">
        <v>1276962685648.25</v>
      </c>
      <c r="L166">
        <v>26959.675436732599</v>
      </c>
      <c r="M166">
        <v>-0.32275301729970501</v>
      </c>
      <c r="N166">
        <v>-11.3254383222864</v>
      </c>
      <c r="O166" s="39">
        <v>38.75</v>
      </c>
      <c r="P166" s="39">
        <v>1119</v>
      </c>
      <c r="Q166" s="39">
        <v>80</v>
      </c>
      <c r="R166" s="39">
        <v>22.67</v>
      </c>
    </row>
    <row r="167" spans="1:18" x14ac:dyDescent="0.25">
      <c r="A167" s="1" t="s">
        <v>427</v>
      </c>
      <c r="B167" s="2">
        <v>42</v>
      </c>
      <c r="C167" s="19">
        <v>42.5</v>
      </c>
      <c r="D167" s="3" t="s">
        <v>496</v>
      </c>
      <c r="E167" s="4" t="s">
        <v>18</v>
      </c>
      <c r="F167" s="23">
        <v>461585</v>
      </c>
      <c r="G167" s="35">
        <v>2019</v>
      </c>
      <c r="H167">
        <f>Table_8[[#This Row],[Listing Price (USD)]]/10000</f>
        <v>46.158499999999997</v>
      </c>
      <c r="I167">
        <f>Table_8[[#This Row],[Length 
(ft)]]</f>
        <v>42.5</v>
      </c>
      <c r="J167" s="37">
        <f>2020-Table_8[[#This Row],[Year]]</f>
        <v>1</v>
      </c>
      <c r="K167">
        <v>188925995936.80701</v>
      </c>
      <c r="L167">
        <v>17658.947301119199</v>
      </c>
      <c r="M167">
        <v>-1.2479835558140799</v>
      </c>
      <c r="N167">
        <v>-9.0040436420214593</v>
      </c>
      <c r="O167" s="39">
        <v>38.75</v>
      </c>
      <c r="P167" s="39">
        <v>1119</v>
      </c>
      <c r="Q167" s="39">
        <v>80</v>
      </c>
      <c r="R167" s="39">
        <v>22.67</v>
      </c>
    </row>
    <row r="168" spans="1:18" x14ac:dyDescent="0.25">
      <c r="A168" s="1" t="s">
        <v>427</v>
      </c>
      <c r="B168" s="2">
        <v>42</v>
      </c>
      <c r="C168" s="19">
        <v>42.5</v>
      </c>
      <c r="D168" s="3" t="s">
        <v>497</v>
      </c>
      <c r="E168" s="3" t="s">
        <v>392</v>
      </c>
      <c r="F168" s="23">
        <v>464500</v>
      </c>
      <c r="G168" s="35">
        <v>2016</v>
      </c>
      <c r="H168">
        <f>Table_8[[#This Row],[Listing Price (USD)]]/10000</f>
        <v>46.45</v>
      </c>
      <c r="I168">
        <f>Table_8[[#This Row],[Length 
(ft)]]</f>
        <v>42.5</v>
      </c>
      <c r="J168" s="37">
        <f>2020-Table_8[[#This Row],[Year]]</f>
        <v>4</v>
      </c>
      <c r="K168">
        <v>1043414814.81481</v>
      </c>
      <c r="L168">
        <v>8437.5667322870595</v>
      </c>
      <c r="M168">
        <v>-0.74073259704550098</v>
      </c>
      <c r="N168">
        <v>-13.7559294530644</v>
      </c>
      <c r="O168" s="39">
        <v>38.75</v>
      </c>
      <c r="P168" s="39">
        <v>1119</v>
      </c>
      <c r="Q168" s="39">
        <v>80</v>
      </c>
      <c r="R168" s="39">
        <v>22.67</v>
      </c>
    </row>
    <row r="169" spans="1:18" x14ac:dyDescent="0.25">
      <c r="A169" s="1" t="s">
        <v>427</v>
      </c>
      <c r="B169" s="2">
        <v>42</v>
      </c>
      <c r="C169" s="19">
        <v>42.5</v>
      </c>
      <c r="D169" s="3" t="s">
        <v>496</v>
      </c>
      <c r="E169" s="4" t="s">
        <v>18</v>
      </c>
      <c r="F169" s="23">
        <v>472895</v>
      </c>
      <c r="G169" s="35">
        <v>2017</v>
      </c>
      <c r="H169">
        <f>Table_8[[#This Row],[Listing Price (USD)]]/10000</f>
        <v>47.289499999999997</v>
      </c>
      <c r="I169">
        <f>Table_8[[#This Row],[Length 
(ft)]]</f>
        <v>42.5</v>
      </c>
      <c r="J169" s="37">
        <f>2020-Table_8[[#This Row],[Year]]</f>
        <v>3</v>
      </c>
      <c r="K169">
        <v>188925995936.80701</v>
      </c>
      <c r="L169">
        <v>17658.947301119199</v>
      </c>
      <c r="M169">
        <v>-1.2479835558140799</v>
      </c>
      <c r="N169">
        <v>-9.0040436420214593</v>
      </c>
      <c r="O169" s="39">
        <v>38.75</v>
      </c>
      <c r="P169" s="39">
        <v>1119</v>
      </c>
      <c r="Q169" s="39">
        <v>80</v>
      </c>
      <c r="R169" s="39">
        <v>22.67</v>
      </c>
    </row>
    <row r="170" spans="1:18" x14ac:dyDescent="0.25">
      <c r="A170" s="1" t="s">
        <v>427</v>
      </c>
      <c r="B170" s="2">
        <v>42</v>
      </c>
      <c r="C170" s="19">
        <v>42.5</v>
      </c>
      <c r="D170" s="3" t="s">
        <v>496</v>
      </c>
      <c r="E170" s="4" t="s">
        <v>24</v>
      </c>
      <c r="F170" s="23">
        <v>473362</v>
      </c>
      <c r="G170" s="35">
        <v>2016</v>
      </c>
      <c r="H170">
        <f>Table_8[[#This Row],[Listing Price (USD)]]/10000</f>
        <v>47.336199999999998</v>
      </c>
      <c r="I170">
        <f>Table_8[[#This Row],[Length 
(ft)]]</f>
        <v>42.5</v>
      </c>
      <c r="J170" s="37">
        <f>2020-Table_8[[#This Row],[Year]]</f>
        <v>4</v>
      </c>
      <c r="K170">
        <v>1896755301518.1399</v>
      </c>
      <c r="L170">
        <v>31911.0357890017</v>
      </c>
      <c r="M170">
        <v>-0.13770757391656999</v>
      </c>
      <c r="N170">
        <v>-9.0399534112288507</v>
      </c>
      <c r="O170" s="39">
        <v>38.75</v>
      </c>
      <c r="P170" s="39">
        <v>1119</v>
      </c>
      <c r="Q170" s="39">
        <v>80</v>
      </c>
      <c r="R170" s="39">
        <v>22.67</v>
      </c>
    </row>
    <row r="171" spans="1:18" x14ac:dyDescent="0.25">
      <c r="A171" s="1" t="s">
        <v>427</v>
      </c>
      <c r="B171" s="2">
        <v>42</v>
      </c>
      <c r="C171" s="19">
        <v>42.5</v>
      </c>
      <c r="D171" s="3" t="s">
        <v>496</v>
      </c>
      <c r="E171" s="4" t="s">
        <v>31</v>
      </c>
      <c r="F171" s="23">
        <v>473362</v>
      </c>
      <c r="G171" s="35">
        <v>2017</v>
      </c>
      <c r="H171">
        <f>Table_8[[#This Row],[Listing Price (USD)]]/10000</f>
        <v>47.336199999999998</v>
      </c>
      <c r="I171">
        <f>Table_8[[#This Row],[Length 
(ft)]]</f>
        <v>42.5</v>
      </c>
      <c r="J171" s="37">
        <f>2020-Table_8[[#This Row],[Year]]</f>
        <v>3</v>
      </c>
      <c r="K171">
        <v>57472012426.685303</v>
      </c>
      <c r="L171">
        <v>14198.753959474399</v>
      </c>
      <c r="M171">
        <v>0.15481137456202801</v>
      </c>
      <c r="N171">
        <v>-8.5803430210621805</v>
      </c>
      <c r="O171" s="39">
        <v>38.75</v>
      </c>
      <c r="P171" s="39">
        <v>1119</v>
      </c>
      <c r="Q171" s="39">
        <v>80</v>
      </c>
      <c r="R171" s="39">
        <v>22.67</v>
      </c>
    </row>
    <row r="172" spans="1:18" x14ac:dyDescent="0.25">
      <c r="A172" s="1" t="s">
        <v>427</v>
      </c>
      <c r="B172" s="2">
        <v>42</v>
      </c>
      <c r="C172" s="19">
        <v>42.5</v>
      </c>
      <c r="D172" s="3" t="s">
        <v>496</v>
      </c>
      <c r="E172" s="4" t="s">
        <v>31</v>
      </c>
      <c r="F172" s="23">
        <v>473732</v>
      </c>
      <c r="G172" s="35">
        <v>2017</v>
      </c>
      <c r="H172">
        <f>Table_8[[#This Row],[Listing Price (USD)]]/10000</f>
        <v>47.373199999999997</v>
      </c>
      <c r="I172">
        <f>Table_8[[#This Row],[Length 
(ft)]]</f>
        <v>42.5</v>
      </c>
      <c r="J172" s="37">
        <f>2020-Table_8[[#This Row],[Year]]</f>
        <v>3</v>
      </c>
      <c r="K172">
        <v>57472012426.685303</v>
      </c>
      <c r="L172">
        <v>14198.753959474399</v>
      </c>
      <c r="M172">
        <v>0.15481137456202801</v>
      </c>
      <c r="N172">
        <v>-8.5803430210621805</v>
      </c>
      <c r="O172" s="39">
        <v>38.75</v>
      </c>
      <c r="P172" s="39">
        <v>1119</v>
      </c>
      <c r="Q172" s="39">
        <v>80</v>
      </c>
      <c r="R172" s="39">
        <v>22.67</v>
      </c>
    </row>
    <row r="173" spans="1:18" x14ac:dyDescent="0.25">
      <c r="A173" s="1" t="s">
        <v>427</v>
      </c>
      <c r="B173" s="2">
        <v>42</v>
      </c>
      <c r="C173" s="19">
        <v>42.5</v>
      </c>
      <c r="D173" s="3" t="s">
        <v>496</v>
      </c>
      <c r="E173" s="4" t="s">
        <v>18</v>
      </c>
      <c r="F173" s="23">
        <v>478957</v>
      </c>
      <c r="G173" s="35">
        <v>2019</v>
      </c>
      <c r="H173">
        <f>Table_8[[#This Row],[Listing Price (USD)]]/10000</f>
        <v>47.895699999999998</v>
      </c>
      <c r="I173">
        <f>Table_8[[#This Row],[Length 
(ft)]]</f>
        <v>42.5</v>
      </c>
      <c r="J173" s="37">
        <f>2020-Table_8[[#This Row],[Year]]</f>
        <v>1</v>
      </c>
      <c r="K173">
        <v>188925995936.80701</v>
      </c>
      <c r="L173">
        <v>17658.947301119199</v>
      </c>
      <c r="M173">
        <v>-1.2479835558140799</v>
      </c>
      <c r="N173">
        <v>-9.0040436420214593</v>
      </c>
      <c r="O173" s="39">
        <v>38.75</v>
      </c>
      <c r="P173" s="39">
        <v>1119</v>
      </c>
      <c r="Q173" s="39">
        <v>80</v>
      </c>
      <c r="R173" s="39">
        <v>22.67</v>
      </c>
    </row>
    <row r="174" spans="1:18" x14ac:dyDescent="0.25">
      <c r="A174" s="1" t="s">
        <v>427</v>
      </c>
      <c r="B174" s="2">
        <v>42</v>
      </c>
      <c r="C174" s="19">
        <v>42.5</v>
      </c>
      <c r="D174" s="3" t="s">
        <v>496</v>
      </c>
      <c r="E174" s="4" t="s">
        <v>18</v>
      </c>
      <c r="F174" s="23">
        <v>479431</v>
      </c>
      <c r="G174" s="35">
        <v>2017</v>
      </c>
      <c r="H174">
        <f>Table_8[[#This Row],[Listing Price (USD)]]/10000</f>
        <v>47.943100000000001</v>
      </c>
      <c r="I174">
        <f>Table_8[[#This Row],[Length 
(ft)]]</f>
        <v>42.5</v>
      </c>
      <c r="J174" s="37">
        <f>2020-Table_8[[#This Row],[Year]]</f>
        <v>3</v>
      </c>
      <c r="K174">
        <v>188925995936.80701</v>
      </c>
      <c r="L174">
        <v>17658.947301119199</v>
      </c>
      <c r="M174">
        <v>-1.2479835558140799</v>
      </c>
      <c r="N174">
        <v>-9.0040436420214593</v>
      </c>
      <c r="O174" s="39">
        <v>38.75</v>
      </c>
      <c r="P174" s="39">
        <v>1119</v>
      </c>
      <c r="Q174" s="39">
        <v>80</v>
      </c>
      <c r="R174" s="39">
        <v>22.67</v>
      </c>
    </row>
    <row r="175" spans="1:18" x14ac:dyDescent="0.25">
      <c r="A175" s="1" t="s">
        <v>427</v>
      </c>
      <c r="B175" s="2">
        <v>42</v>
      </c>
      <c r="C175" s="19">
        <v>42.5</v>
      </c>
      <c r="D175" s="3" t="s">
        <v>496</v>
      </c>
      <c r="E175" s="4" t="s">
        <v>18</v>
      </c>
      <c r="F175" s="23">
        <v>479431</v>
      </c>
      <c r="G175" s="35">
        <v>2017</v>
      </c>
      <c r="H175">
        <f>Table_8[[#This Row],[Listing Price (USD)]]/10000</f>
        <v>47.943100000000001</v>
      </c>
      <c r="I175">
        <f>Table_8[[#This Row],[Length 
(ft)]]</f>
        <v>42.5</v>
      </c>
      <c r="J175" s="37">
        <f>2020-Table_8[[#This Row],[Year]]</f>
        <v>3</v>
      </c>
      <c r="K175">
        <v>188925995936.80701</v>
      </c>
      <c r="L175">
        <v>17658.947301119199</v>
      </c>
      <c r="M175">
        <v>-1.2479835558140799</v>
      </c>
      <c r="N175">
        <v>-9.0040436420214593</v>
      </c>
      <c r="O175" s="39">
        <v>38.75</v>
      </c>
      <c r="P175" s="39">
        <v>1119</v>
      </c>
      <c r="Q175" s="39">
        <v>80</v>
      </c>
      <c r="R175" s="39">
        <v>22.67</v>
      </c>
    </row>
    <row r="176" spans="1:18" x14ac:dyDescent="0.25">
      <c r="A176" s="1" t="s">
        <v>427</v>
      </c>
      <c r="B176" s="2">
        <v>42</v>
      </c>
      <c r="C176" s="19">
        <v>42.5</v>
      </c>
      <c r="D176" s="3" t="s">
        <v>496</v>
      </c>
      <c r="E176" s="4" t="s">
        <v>18</v>
      </c>
      <c r="F176" s="23">
        <v>479431</v>
      </c>
      <c r="G176" s="35">
        <v>2018</v>
      </c>
      <c r="H176">
        <f>Table_8[[#This Row],[Listing Price (USD)]]/10000</f>
        <v>47.943100000000001</v>
      </c>
      <c r="I176">
        <f>Table_8[[#This Row],[Length 
(ft)]]</f>
        <v>42.5</v>
      </c>
      <c r="J176" s="37">
        <f>2020-Table_8[[#This Row],[Year]]</f>
        <v>2</v>
      </c>
      <c r="K176">
        <v>188925995936.80701</v>
      </c>
      <c r="L176">
        <v>17658.947301119199</v>
      </c>
      <c r="M176">
        <v>-1.2479835558140799</v>
      </c>
      <c r="N176">
        <v>-9.0040436420214593</v>
      </c>
      <c r="O176" s="39">
        <v>38.75</v>
      </c>
      <c r="P176" s="39">
        <v>1119</v>
      </c>
      <c r="Q176" s="39">
        <v>80</v>
      </c>
      <c r="R176" s="39">
        <v>22.67</v>
      </c>
    </row>
    <row r="177" spans="1:18" x14ac:dyDescent="0.25">
      <c r="A177" s="1" t="s">
        <v>427</v>
      </c>
      <c r="B177" s="3">
        <v>42</v>
      </c>
      <c r="C177" s="19">
        <v>42.5</v>
      </c>
      <c r="D177" s="3" t="s">
        <v>497</v>
      </c>
      <c r="E177" s="3" t="s">
        <v>483</v>
      </c>
      <c r="F177" s="23">
        <v>479740</v>
      </c>
      <c r="G177" s="35">
        <v>2019</v>
      </c>
      <c r="H177">
        <f>Table_8[[#This Row],[Listing Price (USD)]]/10000</f>
        <v>47.973999999999997</v>
      </c>
      <c r="I177">
        <f>Table_8[[#This Row],[Length 
(ft)]]</f>
        <v>42.5</v>
      </c>
      <c r="J177" s="37">
        <f>2020-Table_8[[#This Row],[Year]]</f>
        <v>1</v>
      </c>
      <c r="K177">
        <v>4200000000</v>
      </c>
      <c r="L177">
        <v>39553.199999999997</v>
      </c>
      <c r="M177">
        <v>2.5</v>
      </c>
      <c r="N177">
        <v>-2.1</v>
      </c>
      <c r="O177" s="39">
        <v>38.75</v>
      </c>
      <c r="P177" s="39">
        <v>1119</v>
      </c>
      <c r="Q177" s="39">
        <v>80</v>
      </c>
      <c r="R177" s="39">
        <v>22.67</v>
      </c>
    </row>
    <row r="178" spans="1:18" x14ac:dyDescent="0.25">
      <c r="A178" s="1" t="s">
        <v>427</v>
      </c>
      <c r="B178" s="2">
        <v>42</v>
      </c>
      <c r="C178" s="19">
        <v>42.5</v>
      </c>
      <c r="D178" s="3" t="s">
        <v>496</v>
      </c>
      <c r="E178" s="4" t="s">
        <v>18</v>
      </c>
      <c r="F178" s="23">
        <v>479805</v>
      </c>
      <c r="G178" s="35">
        <v>2017</v>
      </c>
      <c r="H178">
        <f>Table_8[[#This Row],[Listing Price (USD)]]/10000</f>
        <v>47.980499999999999</v>
      </c>
      <c r="I178">
        <f>Table_8[[#This Row],[Length 
(ft)]]</f>
        <v>42.5</v>
      </c>
      <c r="J178" s="37">
        <f>2020-Table_8[[#This Row],[Year]]</f>
        <v>3</v>
      </c>
      <c r="K178">
        <v>188925995936.80701</v>
      </c>
      <c r="L178">
        <v>17658.947301119199</v>
      </c>
      <c r="M178">
        <v>-1.2479835558140799</v>
      </c>
      <c r="N178">
        <v>-9.0040436420214593</v>
      </c>
      <c r="O178" s="39">
        <v>38.75</v>
      </c>
      <c r="P178" s="39">
        <v>1119</v>
      </c>
      <c r="Q178" s="39">
        <v>80</v>
      </c>
      <c r="R178" s="39">
        <v>22.67</v>
      </c>
    </row>
    <row r="179" spans="1:18" x14ac:dyDescent="0.25">
      <c r="A179" s="1" t="s">
        <v>427</v>
      </c>
      <c r="B179" s="2">
        <v>42</v>
      </c>
      <c r="C179" s="19">
        <v>42.5</v>
      </c>
      <c r="D179" s="3" t="s">
        <v>496</v>
      </c>
      <c r="E179" s="4" t="s">
        <v>18</v>
      </c>
      <c r="F179" s="23">
        <v>480291</v>
      </c>
      <c r="G179" s="35">
        <v>2017</v>
      </c>
      <c r="H179">
        <f>Table_8[[#This Row],[Listing Price (USD)]]/10000</f>
        <v>48.0291</v>
      </c>
      <c r="I179">
        <f>Table_8[[#This Row],[Length 
(ft)]]</f>
        <v>42.5</v>
      </c>
      <c r="J179" s="37">
        <f>2020-Table_8[[#This Row],[Year]]</f>
        <v>3</v>
      </c>
      <c r="K179">
        <v>188925995936.80701</v>
      </c>
      <c r="L179">
        <v>17658.947301119199</v>
      </c>
      <c r="M179">
        <v>-1.2479835558140799</v>
      </c>
      <c r="N179">
        <v>-9.0040436420214593</v>
      </c>
      <c r="O179" s="39">
        <v>38.75</v>
      </c>
      <c r="P179" s="39">
        <v>1119</v>
      </c>
      <c r="Q179" s="39">
        <v>80</v>
      </c>
      <c r="R179" s="39">
        <v>22.67</v>
      </c>
    </row>
    <row r="180" spans="1:18" x14ac:dyDescent="0.25">
      <c r="A180" s="1" t="s">
        <v>427</v>
      </c>
      <c r="B180" s="2">
        <v>42</v>
      </c>
      <c r="C180" s="19">
        <v>42.5</v>
      </c>
      <c r="D180" s="3" t="s">
        <v>496</v>
      </c>
      <c r="E180" s="4" t="s">
        <v>18</v>
      </c>
      <c r="F180" s="23">
        <v>480291</v>
      </c>
      <c r="G180" s="35">
        <v>2018</v>
      </c>
      <c r="H180">
        <f>Table_8[[#This Row],[Listing Price (USD)]]/10000</f>
        <v>48.0291</v>
      </c>
      <c r="I180">
        <f>Table_8[[#This Row],[Length 
(ft)]]</f>
        <v>42.5</v>
      </c>
      <c r="J180" s="37">
        <f>2020-Table_8[[#This Row],[Year]]</f>
        <v>2</v>
      </c>
      <c r="K180">
        <v>188925995936.80701</v>
      </c>
      <c r="L180">
        <v>17658.947301119199</v>
      </c>
      <c r="M180">
        <v>-1.2479835558140799</v>
      </c>
      <c r="N180">
        <v>-9.0040436420214593</v>
      </c>
      <c r="O180" s="39">
        <v>38.75</v>
      </c>
      <c r="P180" s="39">
        <v>1119</v>
      </c>
      <c r="Q180" s="39">
        <v>80</v>
      </c>
      <c r="R180" s="39">
        <v>22.67</v>
      </c>
    </row>
    <row r="181" spans="1:18" x14ac:dyDescent="0.25">
      <c r="A181" s="1" t="s">
        <v>427</v>
      </c>
      <c r="B181" s="2">
        <v>42</v>
      </c>
      <c r="C181" s="19">
        <v>42.5</v>
      </c>
      <c r="D181" s="3" t="s">
        <v>497</v>
      </c>
      <c r="E181" s="3" t="s">
        <v>483</v>
      </c>
      <c r="F181" s="23">
        <v>480291</v>
      </c>
      <c r="G181" s="35">
        <v>2019</v>
      </c>
      <c r="H181">
        <f>Table_8[[#This Row],[Listing Price (USD)]]/10000</f>
        <v>48.0291</v>
      </c>
      <c r="I181">
        <f>Table_8[[#This Row],[Length 
(ft)]]</f>
        <v>42.5</v>
      </c>
      <c r="J181" s="37">
        <f>2020-Table_8[[#This Row],[Year]]</f>
        <v>1</v>
      </c>
      <c r="K181">
        <v>4200000000</v>
      </c>
      <c r="L181">
        <v>39553.199999999997</v>
      </c>
      <c r="M181">
        <v>2.5</v>
      </c>
      <c r="N181">
        <v>-2.1</v>
      </c>
      <c r="O181" s="39">
        <v>38.75</v>
      </c>
      <c r="P181" s="39">
        <v>1119</v>
      </c>
      <c r="Q181" s="39">
        <v>80</v>
      </c>
      <c r="R181" s="39">
        <v>22.67</v>
      </c>
    </row>
    <row r="182" spans="1:18" x14ac:dyDescent="0.25">
      <c r="A182" s="1" t="s">
        <v>427</v>
      </c>
      <c r="B182" s="2">
        <v>42</v>
      </c>
      <c r="C182" s="19">
        <v>42.5</v>
      </c>
      <c r="D182" s="3" t="s">
        <v>496</v>
      </c>
      <c r="E182" s="4" t="s">
        <v>31</v>
      </c>
      <c r="F182" s="23">
        <v>483565</v>
      </c>
      <c r="G182" s="35">
        <v>2019</v>
      </c>
      <c r="H182">
        <f>Table_8[[#This Row],[Listing Price (USD)]]/10000</f>
        <v>48.356499999999997</v>
      </c>
      <c r="I182">
        <f>Table_8[[#This Row],[Length 
(ft)]]</f>
        <v>42.5</v>
      </c>
      <c r="J182" s="37">
        <f>2020-Table_8[[#This Row],[Year]]</f>
        <v>1</v>
      </c>
      <c r="K182">
        <v>57472012426.685303</v>
      </c>
      <c r="L182">
        <v>14198.753959474399</v>
      </c>
      <c r="M182">
        <v>0.15481137456202801</v>
      </c>
      <c r="N182">
        <v>-8.5803430210621805</v>
      </c>
      <c r="O182" s="39">
        <v>38.75</v>
      </c>
      <c r="P182" s="39">
        <v>1119</v>
      </c>
      <c r="Q182" s="39">
        <v>80</v>
      </c>
      <c r="R182" s="39">
        <v>22.67</v>
      </c>
    </row>
    <row r="183" spans="1:18" x14ac:dyDescent="0.25">
      <c r="A183" s="1" t="s">
        <v>427</v>
      </c>
      <c r="B183" s="2">
        <v>42</v>
      </c>
      <c r="C183" s="19">
        <v>42.5</v>
      </c>
      <c r="D183" s="3" t="s">
        <v>496</v>
      </c>
      <c r="E183" s="4" t="s">
        <v>18</v>
      </c>
      <c r="F183" s="23">
        <v>485020</v>
      </c>
      <c r="G183" s="35">
        <v>2019</v>
      </c>
      <c r="H183">
        <f>Table_8[[#This Row],[Listing Price (USD)]]/10000</f>
        <v>48.502000000000002</v>
      </c>
      <c r="I183">
        <f>Table_8[[#This Row],[Length 
(ft)]]</f>
        <v>42.5</v>
      </c>
      <c r="J183" s="37">
        <f>2020-Table_8[[#This Row],[Year]]</f>
        <v>1</v>
      </c>
      <c r="K183">
        <v>188925995936.80701</v>
      </c>
      <c r="L183">
        <v>17658.947301119199</v>
      </c>
      <c r="M183">
        <v>-1.2479835558140799</v>
      </c>
      <c r="N183">
        <v>-9.0040436420214593</v>
      </c>
      <c r="O183" s="39">
        <v>38.75</v>
      </c>
      <c r="P183" s="39">
        <v>1119</v>
      </c>
      <c r="Q183" s="39">
        <v>80</v>
      </c>
      <c r="R183" s="39">
        <v>22.67</v>
      </c>
    </row>
    <row r="184" spans="1:18" x14ac:dyDescent="0.25">
      <c r="A184" s="1" t="s">
        <v>427</v>
      </c>
      <c r="B184" s="2">
        <v>42</v>
      </c>
      <c r="C184" s="19">
        <v>42.5</v>
      </c>
      <c r="D184" s="3" t="s">
        <v>497</v>
      </c>
      <c r="E184" s="3" t="s">
        <v>483</v>
      </c>
      <c r="F184" s="23">
        <v>485155</v>
      </c>
      <c r="G184" s="35">
        <v>2018</v>
      </c>
      <c r="H184">
        <f>Table_8[[#This Row],[Listing Price (USD)]]/10000</f>
        <v>48.515500000000003</v>
      </c>
      <c r="I184">
        <f>Table_8[[#This Row],[Length 
(ft)]]</f>
        <v>42.5</v>
      </c>
      <c r="J184" s="37">
        <f>2020-Table_8[[#This Row],[Year]]</f>
        <v>2</v>
      </c>
      <c r="K184">
        <v>4200000000</v>
      </c>
      <c r="L184">
        <v>39553.199999999997</v>
      </c>
      <c r="M184">
        <v>2.5</v>
      </c>
      <c r="N184">
        <v>-2.1</v>
      </c>
      <c r="O184" s="39">
        <v>38.75</v>
      </c>
      <c r="P184" s="39">
        <v>1119</v>
      </c>
      <c r="Q184" s="39">
        <v>80</v>
      </c>
      <c r="R184" s="39">
        <v>22.67</v>
      </c>
    </row>
    <row r="185" spans="1:18" x14ac:dyDescent="0.25">
      <c r="A185" s="1" t="s">
        <v>427</v>
      </c>
      <c r="B185" s="2">
        <v>42</v>
      </c>
      <c r="C185" s="19">
        <v>42.5</v>
      </c>
      <c r="D185" s="3" t="s">
        <v>496</v>
      </c>
      <c r="E185" s="4" t="s">
        <v>24</v>
      </c>
      <c r="F185" s="23">
        <v>485500</v>
      </c>
      <c r="G185" s="35">
        <v>2019</v>
      </c>
      <c r="H185">
        <f>Table_8[[#This Row],[Listing Price (USD)]]/10000</f>
        <v>48.55</v>
      </c>
      <c r="I185">
        <f>Table_8[[#This Row],[Length 
(ft)]]</f>
        <v>42.5</v>
      </c>
      <c r="J185" s="37">
        <f>2020-Table_8[[#This Row],[Year]]</f>
        <v>1</v>
      </c>
      <c r="K185">
        <v>1896755301518.1399</v>
      </c>
      <c r="L185">
        <v>31911.0357890017</v>
      </c>
      <c r="M185">
        <v>-0.13770757391656999</v>
      </c>
      <c r="N185">
        <v>-9.0399534112288507</v>
      </c>
      <c r="O185" s="39">
        <v>38.75</v>
      </c>
      <c r="P185" s="39">
        <v>1119</v>
      </c>
      <c r="Q185" s="39">
        <v>80</v>
      </c>
      <c r="R185" s="39">
        <v>22.67</v>
      </c>
    </row>
    <row r="186" spans="1:18" x14ac:dyDescent="0.25">
      <c r="A186" s="1" t="s">
        <v>427</v>
      </c>
      <c r="B186" s="2">
        <v>42</v>
      </c>
      <c r="C186" s="19">
        <v>42.5</v>
      </c>
      <c r="D186" s="3" t="s">
        <v>496</v>
      </c>
      <c r="E186" s="4" t="s">
        <v>18</v>
      </c>
      <c r="F186" s="23">
        <v>485879</v>
      </c>
      <c r="G186" s="35">
        <v>2019</v>
      </c>
      <c r="H186">
        <f>Table_8[[#This Row],[Listing Price (USD)]]/10000</f>
        <v>48.587899999999998</v>
      </c>
      <c r="I186">
        <f>Table_8[[#This Row],[Length 
(ft)]]</f>
        <v>42.5</v>
      </c>
      <c r="J186" s="37">
        <f>2020-Table_8[[#This Row],[Year]]</f>
        <v>1</v>
      </c>
      <c r="K186">
        <v>188925995936.80701</v>
      </c>
      <c r="L186">
        <v>17658.947301119199</v>
      </c>
      <c r="M186">
        <v>-1.2479835558140799</v>
      </c>
      <c r="N186">
        <v>-9.0040436420214593</v>
      </c>
      <c r="O186" s="39">
        <v>38.75</v>
      </c>
      <c r="P186" s="39">
        <v>1119</v>
      </c>
      <c r="Q186" s="39">
        <v>80</v>
      </c>
      <c r="R186" s="39">
        <v>22.67</v>
      </c>
    </row>
    <row r="187" spans="1:18" x14ac:dyDescent="0.25">
      <c r="A187" s="1" t="s">
        <v>427</v>
      </c>
      <c r="B187" s="2">
        <v>42</v>
      </c>
      <c r="C187" s="19">
        <v>42.5</v>
      </c>
      <c r="D187" s="3" t="s">
        <v>496</v>
      </c>
      <c r="E187" s="4" t="s">
        <v>18</v>
      </c>
      <c r="F187" s="23">
        <v>486371</v>
      </c>
      <c r="G187" s="35">
        <v>2019</v>
      </c>
      <c r="H187">
        <f>Table_8[[#This Row],[Listing Price (USD)]]/10000</f>
        <v>48.637099999999997</v>
      </c>
      <c r="I187">
        <f>Table_8[[#This Row],[Length 
(ft)]]</f>
        <v>42.5</v>
      </c>
      <c r="J187" s="37">
        <f>2020-Table_8[[#This Row],[Year]]</f>
        <v>1</v>
      </c>
      <c r="K187">
        <v>188925995936.80701</v>
      </c>
      <c r="L187">
        <v>17658.947301119199</v>
      </c>
      <c r="M187">
        <v>-1.2479835558140799</v>
      </c>
      <c r="N187">
        <v>-9.0040436420214593</v>
      </c>
      <c r="O187" s="39">
        <v>38.75</v>
      </c>
      <c r="P187" s="39">
        <v>1119</v>
      </c>
      <c r="Q187" s="39">
        <v>80</v>
      </c>
      <c r="R187" s="39">
        <v>22.67</v>
      </c>
    </row>
    <row r="188" spans="1:18" x14ac:dyDescent="0.25">
      <c r="A188" s="1" t="s">
        <v>427</v>
      </c>
      <c r="B188" s="2">
        <v>42</v>
      </c>
      <c r="C188" s="19">
        <v>42.5</v>
      </c>
      <c r="D188" s="3" t="s">
        <v>496</v>
      </c>
      <c r="E188" s="4" t="s">
        <v>24</v>
      </c>
      <c r="F188" s="23">
        <v>486371</v>
      </c>
      <c r="G188" s="35">
        <v>2019</v>
      </c>
      <c r="H188">
        <f>Table_8[[#This Row],[Listing Price (USD)]]/10000</f>
        <v>48.637099999999997</v>
      </c>
      <c r="I188">
        <f>Table_8[[#This Row],[Length 
(ft)]]</f>
        <v>42.5</v>
      </c>
      <c r="J188" s="37">
        <f>2020-Table_8[[#This Row],[Year]]</f>
        <v>1</v>
      </c>
      <c r="K188">
        <v>1896755301518.1399</v>
      </c>
      <c r="L188">
        <v>31911.0357890017</v>
      </c>
      <c r="M188">
        <v>-0.13770757391656999</v>
      </c>
      <c r="N188">
        <v>-9.0399534112288507</v>
      </c>
      <c r="O188" s="39">
        <v>38.75</v>
      </c>
      <c r="P188" s="39">
        <v>1119</v>
      </c>
      <c r="Q188" s="39">
        <v>80</v>
      </c>
      <c r="R188" s="39">
        <v>22.67</v>
      </c>
    </row>
    <row r="189" spans="1:18" x14ac:dyDescent="0.25">
      <c r="A189" s="1" t="s">
        <v>427</v>
      </c>
      <c r="B189" s="2">
        <v>42</v>
      </c>
      <c r="C189" s="19">
        <v>42.5</v>
      </c>
      <c r="D189" s="3" t="s">
        <v>497</v>
      </c>
      <c r="E189" s="3" t="s">
        <v>483</v>
      </c>
      <c r="F189" s="23">
        <v>486371</v>
      </c>
      <c r="G189" s="35">
        <v>2019</v>
      </c>
      <c r="H189">
        <f>Table_8[[#This Row],[Listing Price (USD)]]/10000</f>
        <v>48.637099999999997</v>
      </c>
      <c r="I189">
        <f>Table_8[[#This Row],[Length 
(ft)]]</f>
        <v>42.5</v>
      </c>
      <c r="J189" s="37">
        <f>2020-Table_8[[#This Row],[Year]]</f>
        <v>1</v>
      </c>
      <c r="K189">
        <v>4200000000</v>
      </c>
      <c r="L189">
        <v>39553.199999999997</v>
      </c>
      <c r="M189">
        <v>2.5</v>
      </c>
      <c r="N189">
        <v>-2.1</v>
      </c>
      <c r="O189" s="39">
        <v>38.75</v>
      </c>
      <c r="P189" s="39">
        <v>1119</v>
      </c>
      <c r="Q189" s="39">
        <v>80</v>
      </c>
      <c r="R189" s="39">
        <v>22.67</v>
      </c>
    </row>
    <row r="190" spans="1:18" x14ac:dyDescent="0.25">
      <c r="A190" s="1" t="s">
        <v>427</v>
      </c>
      <c r="B190" s="3">
        <v>42</v>
      </c>
      <c r="C190" s="19">
        <v>42.5</v>
      </c>
      <c r="D190" s="3" t="s">
        <v>497</v>
      </c>
      <c r="E190" s="3" t="s">
        <v>525</v>
      </c>
      <c r="F190" s="23">
        <v>499000</v>
      </c>
      <c r="G190" s="35">
        <v>2019</v>
      </c>
      <c r="H190">
        <f>Table_8[[#This Row],[Listing Price (USD)]]/10000</f>
        <v>49.9</v>
      </c>
      <c r="I190">
        <f>Table_8[[#This Row],[Length 
(ft)]]</f>
        <v>42.5</v>
      </c>
      <c r="J190" s="37">
        <f>2020-Table_8[[#This Row],[Year]]</f>
        <v>1</v>
      </c>
      <c r="K190">
        <v>4200000000</v>
      </c>
      <c r="L190">
        <v>39553.199999999997</v>
      </c>
      <c r="M190">
        <v>4.0999999999999996</v>
      </c>
      <c r="N190">
        <v>-2.1</v>
      </c>
      <c r="O190" s="39">
        <v>38.75</v>
      </c>
      <c r="P190" s="39">
        <v>1119</v>
      </c>
      <c r="Q190" s="39">
        <v>80</v>
      </c>
      <c r="R190" s="39">
        <v>22.67</v>
      </c>
    </row>
    <row r="191" spans="1:18" x14ac:dyDescent="0.25">
      <c r="A191" s="1" t="s">
        <v>427</v>
      </c>
      <c r="B191" s="2">
        <v>42</v>
      </c>
      <c r="C191" s="19">
        <v>42.5</v>
      </c>
      <c r="D191" s="3" t="s">
        <v>496</v>
      </c>
      <c r="E191" s="4" t="s">
        <v>18</v>
      </c>
      <c r="F191" s="23">
        <v>509775</v>
      </c>
      <c r="G191" s="35">
        <v>2017</v>
      </c>
      <c r="H191">
        <f>Table_8[[#This Row],[Listing Price (USD)]]/10000</f>
        <v>50.977499999999999</v>
      </c>
      <c r="I191">
        <f>Table_8[[#This Row],[Length 
(ft)]]</f>
        <v>42.5</v>
      </c>
      <c r="J191" s="37">
        <f>2020-Table_8[[#This Row],[Year]]</f>
        <v>3</v>
      </c>
      <c r="K191">
        <v>188925995936.80701</v>
      </c>
      <c r="L191">
        <v>17658.947301119199</v>
      </c>
      <c r="M191">
        <v>-1.2479835558140799</v>
      </c>
      <c r="N191">
        <v>-9.0040436420214593</v>
      </c>
      <c r="O191" s="39">
        <v>38.75</v>
      </c>
      <c r="P191" s="39">
        <v>1119</v>
      </c>
      <c r="Q191" s="39">
        <v>80</v>
      </c>
      <c r="R191" s="39">
        <v>22.67</v>
      </c>
    </row>
    <row r="192" spans="1:18" x14ac:dyDescent="0.25">
      <c r="A192" s="1" t="s">
        <v>427</v>
      </c>
      <c r="B192" s="2">
        <v>42</v>
      </c>
      <c r="C192" s="19">
        <v>42.5</v>
      </c>
      <c r="D192" s="3" t="s">
        <v>496</v>
      </c>
      <c r="E192" s="4" t="s">
        <v>18</v>
      </c>
      <c r="F192" s="23">
        <v>509775</v>
      </c>
      <c r="G192" s="35">
        <v>2018</v>
      </c>
      <c r="H192">
        <f>Table_8[[#This Row],[Listing Price (USD)]]/10000</f>
        <v>50.977499999999999</v>
      </c>
      <c r="I192">
        <f>Table_8[[#This Row],[Length 
(ft)]]</f>
        <v>42.5</v>
      </c>
      <c r="J192" s="37">
        <f>2020-Table_8[[#This Row],[Year]]</f>
        <v>2</v>
      </c>
      <c r="K192">
        <v>188925995936.80701</v>
      </c>
      <c r="L192">
        <v>17658.947301119199</v>
      </c>
      <c r="M192">
        <v>-1.2479835558140799</v>
      </c>
      <c r="N192">
        <v>-9.0040436420214593</v>
      </c>
      <c r="O192" s="39">
        <v>38.75</v>
      </c>
      <c r="P192" s="39">
        <v>1119</v>
      </c>
      <c r="Q192" s="39">
        <v>80</v>
      </c>
      <c r="R192" s="39">
        <v>22.67</v>
      </c>
    </row>
    <row r="193" spans="1:18" x14ac:dyDescent="0.25">
      <c r="A193" s="1" t="s">
        <v>427</v>
      </c>
      <c r="B193" s="2">
        <v>42</v>
      </c>
      <c r="C193" s="19">
        <v>42.5</v>
      </c>
      <c r="D193" s="3" t="s">
        <v>496</v>
      </c>
      <c r="E193" s="4" t="s">
        <v>18</v>
      </c>
      <c r="F193" s="23">
        <v>510172</v>
      </c>
      <c r="G193" s="35">
        <v>2017</v>
      </c>
      <c r="H193">
        <f>Table_8[[#This Row],[Listing Price (USD)]]/10000</f>
        <v>51.017200000000003</v>
      </c>
      <c r="I193">
        <f>Table_8[[#This Row],[Length 
(ft)]]</f>
        <v>42.5</v>
      </c>
      <c r="J193" s="37">
        <f>2020-Table_8[[#This Row],[Year]]</f>
        <v>3</v>
      </c>
      <c r="K193">
        <v>188925995936.80701</v>
      </c>
      <c r="L193">
        <v>17658.947301119199</v>
      </c>
      <c r="M193">
        <v>-1.2479835558140799</v>
      </c>
      <c r="N193">
        <v>-9.0040436420214593</v>
      </c>
      <c r="O193" s="39">
        <v>38.75</v>
      </c>
      <c r="P193" s="39">
        <v>1119</v>
      </c>
      <c r="Q193" s="39">
        <v>80</v>
      </c>
      <c r="R193" s="39">
        <v>22.67</v>
      </c>
    </row>
    <row r="194" spans="1:18" x14ac:dyDescent="0.25">
      <c r="A194" s="1" t="s">
        <v>427</v>
      </c>
      <c r="B194" s="2">
        <v>42</v>
      </c>
      <c r="C194" s="19">
        <v>42.5</v>
      </c>
      <c r="D194" s="3" t="s">
        <v>496</v>
      </c>
      <c r="E194" s="4" t="s">
        <v>18</v>
      </c>
      <c r="F194" s="23">
        <v>510689</v>
      </c>
      <c r="G194" s="35">
        <v>2017</v>
      </c>
      <c r="H194">
        <f>Table_8[[#This Row],[Listing Price (USD)]]/10000</f>
        <v>51.068899999999999</v>
      </c>
      <c r="I194">
        <f>Table_8[[#This Row],[Length 
(ft)]]</f>
        <v>42.5</v>
      </c>
      <c r="J194" s="37">
        <f>2020-Table_8[[#This Row],[Year]]</f>
        <v>3</v>
      </c>
      <c r="K194">
        <v>188925995936.80701</v>
      </c>
      <c r="L194">
        <v>17658.947301119199</v>
      </c>
      <c r="M194">
        <v>-1.2479835558140799</v>
      </c>
      <c r="N194">
        <v>-9.0040436420214593</v>
      </c>
      <c r="O194" s="39">
        <v>38.75</v>
      </c>
      <c r="P194" s="39">
        <v>1119</v>
      </c>
      <c r="Q194" s="39">
        <v>80</v>
      </c>
      <c r="R194" s="39">
        <v>22.67</v>
      </c>
    </row>
    <row r="195" spans="1:18" x14ac:dyDescent="0.25">
      <c r="A195" s="1" t="s">
        <v>427</v>
      </c>
      <c r="B195" s="2">
        <v>42</v>
      </c>
      <c r="C195" s="19">
        <v>42.5</v>
      </c>
      <c r="D195" s="3" t="s">
        <v>497</v>
      </c>
      <c r="E195" s="3" t="s">
        <v>369</v>
      </c>
      <c r="F195" s="23">
        <v>515334</v>
      </c>
      <c r="G195" s="35">
        <v>2016</v>
      </c>
      <c r="H195">
        <f>Table_8[[#This Row],[Listing Price (USD)]]/10000</f>
        <v>51.5334</v>
      </c>
      <c r="I195">
        <f>Table_8[[#This Row],[Length 
(ft)]]</f>
        <v>42.5</v>
      </c>
      <c r="J195" s="37">
        <f>2020-Table_8[[#This Row],[Year]]</f>
        <v>4</v>
      </c>
      <c r="K195">
        <v>78844702329.078506</v>
      </c>
      <c r="L195">
        <v>7167.9191590832697</v>
      </c>
      <c r="M195">
        <v>3.7810317991551599</v>
      </c>
      <c r="N195">
        <v>-6.7202393728340404</v>
      </c>
      <c r="O195" s="39">
        <v>38.75</v>
      </c>
      <c r="P195" s="39">
        <v>1119</v>
      </c>
      <c r="Q195" s="39">
        <v>80</v>
      </c>
      <c r="R195" s="39">
        <v>22.67</v>
      </c>
    </row>
    <row r="196" spans="1:18" x14ac:dyDescent="0.25">
      <c r="A196" s="1" t="s">
        <v>427</v>
      </c>
      <c r="B196" s="2">
        <v>42</v>
      </c>
      <c r="C196" s="19">
        <v>42.5</v>
      </c>
      <c r="D196" s="3" t="s">
        <v>496</v>
      </c>
      <c r="E196" s="4" t="s">
        <v>31</v>
      </c>
      <c r="F196" s="23">
        <v>515334</v>
      </c>
      <c r="G196" s="35">
        <v>2018</v>
      </c>
      <c r="H196">
        <f>Table_8[[#This Row],[Listing Price (USD)]]/10000</f>
        <v>51.5334</v>
      </c>
      <c r="I196">
        <f>Table_8[[#This Row],[Length 
(ft)]]</f>
        <v>42.5</v>
      </c>
      <c r="J196" s="37">
        <f>2020-Table_8[[#This Row],[Year]]</f>
        <v>2</v>
      </c>
      <c r="K196">
        <v>57472012426.685303</v>
      </c>
      <c r="L196">
        <v>14198.753959474399</v>
      </c>
      <c r="M196">
        <v>0.15481137456202801</v>
      </c>
      <c r="N196">
        <v>-8.5803430210621805</v>
      </c>
      <c r="O196" s="39">
        <v>38.75</v>
      </c>
      <c r="P196" s="39">
        <v>1119</v>
      </c>
      <c r="Q196" s="39">
        <v>80</v>
      </c>
      <c r="R196" s="39">
        <v>22.67</v>
      </c>
    </row>
    <row r="197" spans="1:18" x14ac:dyDescent="0.25">
      <c r="A197" s="1" t="s">
        <v>427</v>
      </c>
      <c r="B197" s="2">
        <v>42</v>
      </c>
      <c r="C197" s="19">
        <v>42.5</v>
      </c>
      <c r="D197" s="3" t="s">
        <v>496</v>
      </c>
      <c r="E197" s="4" t="s">
        <v>24</v>
      </c>
      <c r="F197" s="23">
        <v>515844</v>
      </c>
      <c r="G197" s="35">
        <v>2016</v>
      </c>
      <c r="H197">
        <f>Table_8[[#This Row],[Listing Price (USD)]]/10000</f>
        <v>51.584400000000002</v>
      </c>
      <c r="I197">
        <f>Table_8[[#This Row],[Length 
(ft)]]</f>
        <v>42.5</v>
      </c>
      <c r="J197" s="37">
        <f>2020-Table_8[[#This Row],[Year]]</f>
        <v>4</v>
      </c>
      <c r="K197">
        <v>1896755301518.1399</v>
      </c>
      <c r="L197">
        <v>31911.0357890017</v>
      </c>
      <c r="M197">
        <v>-0.13770757391656999</v>
      </c>
      <c r="N197">
        <v>-9.0399534112288507</v>
      </c>
      <c r="O197" s="39">
        <v>38.75</v>
      </c>
      <c r="P197" s="39">
        <v>1119</v>
      </c>
      <c r="Q197" s="39">
        <v>80</v>
      </c>
      <c r="R197" s="39">
        <v>22.67</v>
      </c>
    </row>
    <row r="198" spans="1:18" x14ac:dyDescent="0.25">
      <c r="A198" s="1" t="s">
        <v>427</v>
      </c>
      <c r="B198" s="2">
        <v>42</v>
      </c>
      <c r="C198" s="19">
        <v>42.5</v>
      </c>
      <c r="D198" s="3" t="s">
        <v>496</v>
      </c>
      <c r="E198" s="4" t="s">
        <v>24</v>
      </c>
      <c r="F198" s="23">
        <v>515844</v>
      </c>
      <c r="G198" s="35">
        <v>2016</v>
      </c>
      <c r="H198">
        <f>Table_8[[#This Row],[Listing Price (USD)]]/10000</f>
        <v>51.584400000000002</v>
      </c>
      <c r="I198">
        <f>Table_8[[#This Row],[Length 
(ft)]]</f>
        <v>42.5</v>
      </c>
      <c r="J198" s="37">
        <f>2020-Table_8[[#This Row],[Year]]</f>
        <v>4</v>
      </c>
      <c r="K198">
        <v>1896755301518.1399</v>
      </c>
      <c r="L198">
        <v>31911.0357890017</v>
      </c>
      <c r="M198">
        <v>-0.13770757391656999</v>
      </c>
      <c r="N198">
        <v>-9.0399534112288507</v>
      </c>
      <c r="O198" s="39">
        <v>38.75</v>
      </c>
      <c r="P198" s="39">
        <v>1119</v>
      </c>
      <c r="Q198" s="39">
        <v>80</v>
      </c>
      <c r="R198" s="39">
        <v>22.67</v>
      </c>
    </row>
    <row r="199" spans="1:18" x14ac:dyDescent="0.25">
      <c r="A199" s="1" t="s">
        <v>427</v>
      </c>
      <c r="B199" s="2">
        <v>42</v>
      </c>
      <c r="C199" s="19">
        <v>42.5</v>
      </c>
      <c r="D199" s="3" t="s">
        <v>496</v>
      </c>
      <c r="E199" s="4" t="s">
        <v>31</v>
      </c>
      <c r="F199" s="23">
        <v>515844</v>
      </c>
      <c r="G199" s="35">
        <v>2017</v>
      </c>
      <c r="H199">
        <f>Table_8[[#This Row],[Listing Price (USD)]]/10000</f>
        <v>51.584400000000002</v>
      </c>
      <c r="I199">
        <f>Table_8[[#This Row],[Length 
(ft)]]</f>
        <v>42.5</v>
      </c>
      <c r="J199" s="37">
        <f>2020-Table_8[[#This Row],[Year]]</f>
        <v>3</v>
      </c>
      <c r="K199">
        <v>57472012426.685303</v>
      </c>
      <c r="L199">
        <v>14198.753959474399</v>
      </c>
      <c r="M199">
        <v>0.15481137456202801</v>
      </c>
      <c r="N199">
        <v>-8.5803430210621805</v>
      </c>
      <c r="O199" s="39">
        <v>38.75</v>
      </c>
      <c r="P199" s="39">
        <v>1119</v>
      </c>
      <c r="Q199" s="39">
        <v>80</v>
      </c>
      <c r="R199" s="39">
        <v>22.67</v>
      </c>
    </row>
    <row r="200" spans="1:18" x14ac:dyDescent="0.25">
      <c r="A200" s="1" t="s">
        <v>427</v>
      </c>
      <c r="B200" s="2">
        <v>42</v>
      </c>
      <c r="C200" s="19">
        <v>42.5</v>
      </c>
      <c r="D200" s="3" t="s">
        <v>496</v>
      </c>
      <c r="E200" s="4" t="s">
        <v>31</v>
      </c>
      <c r="F200" s="23">
        <v>515844</v>
      </c>
      <c r="G200" s="35">
        <v>2018</v>
      </c>
      <c r="H200">
        <f>Table_8[[#This Row],[Listing Price (USD)]]/10000</f>
        <v>51.584400000000002</v>
      </c>
      <c r="I200">
        <f>Table_8[[#This Row],[Length 
(ft)]]</f>
        <v>42.5</v>
      </c>
      <c r="J200" s="37">
        <f>2020-Table_8[[#This Row],[Year]]</f>
        <v>2</v>
      </c>
      <c r="K200">
        <v>57472012426.685303</v>
      </c>
      <c r="L200">
        <v>14198.753959474399</v>
      </c>
      <c r="M200">
        <v>0.15481137456202801</v>
      </c>
      <c r="N200">
        <v>-8.5803430210621805</v>
      </c>
      <c r="O200" s="39">
        <v>38.75</v>
      </c>
      <c r="P200" s="39">
        <v>1119</v>
      </c>
      <c r="Q200" s="39">
        <v>80</v>
      </c>
      <c r="R200" s="39">
        <v>22.67</v>
      </c>
    </row>
    <row r="201" spans="1:18" x14ac:dyDescent="0.25">
      <c r="A201" s="1" t="s">
        <v>427</v>
      </c>
      <c r="B201" s="2">
        <v>42</v>
      </c>
      <c r="C201" s="19">
        <v>42.5</v>
      </c>
      <c r="D201" s="3" t="s">
        <v>496</v>
      </c>
      <c r="E201" s="4" t="s">
        <v>31</v>
      </c>
      <c r="F201" s="23">
        <v>516246</v>
      </c>
      <c r="G201" s="35">
        <v>2017</v>
      </c>
      <c r="H201">
        <f>Table_8[[#This Row],[Listing Price (USD)]]/10000</f>
        <v>51.624600000000001</v>
      </c>
      <c r="I201">
        <f>Table_8[[#This Row],[Length 
(ft)]]</f>
        <v>42.5</v>
      </c>
      <c r="J201" s="37">
        <f>2020-Table_8[[#This Row],[Year]]</f>
        <v>3</v>
      </c>
      <c r="K201">
        <v>57472012426.685303</v>
      </c>
      <c r="L201">
        <v>14198.753959474399</v>
      </c>
      <c r="M201">
        <v>0.15481137456202801</v>
      </c>
      <c r="N201">
        <v>-8.5803430210621805</v>
      </c>
      <c r="O201" s="39">
        <v>38.75</v>
      </c>
      <c r="P201" s="39">
        <v>1119</v>
      </c>
      <c r="Q201" s="39">
        <v>80</v>
      </c>
      <c r="R201" s="39">
        <v>22.67</v>
      </c>
    </row>
    <row r="202" spans="1:18" x14ac:dyDescent="0.25">
      <c r="A202" s="1" t="s">
        <v>427</v>
      </c>
      <c r="B202" s="2">
        <v>42</v>
      </c>
      <c r="C202" s="19">
        <v>42.5</v>
      </c>
      <c r="D202" s="3" t="s">
        <v>496</v>
      </c>
      <c r="E202" s="4" t="s">
        <v>31</v>
      </c>
      <c r="F202" s="23">
        <v>516246</v>
      </c>
      <c r="G202" s="35">
        <v>2018</v>
      </c>
      <c r="H202">
        <f>Table_8[[#This Row],[Listing Price (USD)]]/10000</f>
        <v>51.624600000000001</v>
      </c>
      <c r="I202">
        <f>Table_8[[#This Row],[Length 
(ft)]]</f>
        <v>42.5</v>
      </c>
      <c r="J202" s="37">
        <f>2020-Table_8[[#This Row],[Year]]</f>
        <v>2</v>
      </c>
      <c r="K202">
        <v>57472012426.685303</v>
      </c>
      <c r="L202">
        <v>14198.753959474399</v>
      </c>
      <c r="M202">
        <v>0.15481137456202801</v>
      </c>
      <c r="N202">
        <v>-8.5803430210621805</v>
      </c>
      <c r="O202" s="39">
        <v>38.75</v>
      </c>
      <c r="P202" s="39">
        <v>1119</v>
      </c>
      <c r="Q202" s="39">
        <v>80</v>
      </c>
      <c r="R202" s="39">
        <v>22.67</v>
      </c>
    </row>
    <row r="203" spans="1:18" x14ac:dyDescent="0.25">
      <c r="A203" s="1" t="s">
        <v>427</v>
      </c>
      <c r="B203" s="3">
        <v>42</v>
      </c>
      <c r="C203" s="19">
        <v>42.5</v>
      </c>
      <c r="D203" s="3" t="s">
        <v>497</v>
      </c>
      <c r="E203" s="3" t="s">
        <v>483</v>
      </c>
      <c r="F203" s="23">
        <v>522248</v>
      </c>
      <c r="G203" s="35">
        <v>2018</v>
      </c>
      <c r="H203">
        <f>Table_8[[#This Row],[Listing Price (USD)]]/10000</f>
        <v>52.224800000000002</v>
      </c>
      <c r="I203">
        <f>Table_8[[#This Row],[Length 
(ft)]]</f>
        <v>42.5</v>
      </c>
      <c r="J203" s="37">
        <f>2020-Table_8[[#This Row],[Year]]</f>
        <v>2</v>
      </c>
      <c r="K203">
        <v>4200000000</v>
      </c>
      <c r="L203">
        <v>39553.199999999997</v>
      </c>
      <c r="M203">
        <v>2.5</v>
      </c>
      <c r="N203">
        <v>-2.1</v>
      </c>
      <c r="O203" s="39">
        <v>38.75</v>
      </c>
      <c r="P203" s="39">
        <v>1119</v>
      </c>
      <c r="Q203" s="39">
        <v>80</v>
      </c>
      <c r="R203" s="39">
        <v>22.67</v>
      </c>
    </row>
    <row r="204" spans="1:18" x14ac:dyDescent="0.25">
      <c r="A204" s="1" t="s">
        <v>427</v>
      </c>
      <c r="B204" s="3">
        <v>42</v>
      </c>
      <c r="C204" s="19">
        <v>42.5</v>
      </c>
      <c r="D204" s="3" t="s">
        <v>497</v>
      </c>
      <c r="E204" s="3" t="s">
        <v>483</v>
      </c>
      <c r="F204" s="23">
        <v>522510</v>
      </c>
      <c r="G204" s="35">
        <v>2017</v>
      </c>
      <c r="H204">
        <f>Table_8[[#This Row],[Listing Price (USD)]]/10000</f>
        <v>52.250999999999998</v>
      </c>
      <c r="I204">
        <f>Table_8[[#This Row],[Length 
(ft)]]</f>
        <v>42.5</v>
      </c>
      <c r="J204" s="37">
        <f>2020-Table_8[[#This Row],[Year]]</f>
        <v>3</v>
      </c>
      <c r="K204">
        <v>4200000000</v>
      </c>
      <c r="L204">
        <v>39553.199999999997</v>
      </c>
      <c r="M204">
        <v>2.5</v>
      </c>
      <c r="N204">
        <v>-2.1</v>
      </c>
      <c r="O204" s="39">
        <v>38.75</v>
      </c>
      <c r="P204" s="39">
        <v>1119</v>
      </c>
      <c r="Q204" s="39">
        <v>80</v>
      </c>
      <c r="R204" s="39">
        <v>22.67</v>
      </c>
    </row>
    <row r="205" spans="1:18" x14ac:dyDescent="0.25">
      <c r="A205" s="1" t="s">
        <v>427</v>
      </c>
      <c r="B205" s="2">
        <v>42</v>
      </c>
      <c r="C205" s="19">
        <v>42.5</v>
      </c>
      <c r="D205" s="3" t="s">
        <v>497</v>
      </c>
      <c r="E205" s="3" t="s">
        <v>483</v>
      </c>
      <c r="F205" s="23">
        <v>522848</v>
      </c>
      <c r="G205" s="35">
        <v>2017</v>
      </c>
      <c r="H205">
        <f>Table_8[[#This Row],[Listing Price (USD)]]/10000</f>
        <v>52.284799999999997</v>
      </c>
      <c r="I205">
        <f>Table_8[[#This Row],[Length 
(ft)]]</f>
        <v>42.5</v>
      </c>
      <c r="J205" s="37">
        <f>2020-Table_8[[#This Row],[Year]]</f>
        <v>3</v>
      </c>
      <c r="K205">
        <v>4200000000</v>
      </c>
      <c r="L205">
        <v>39553.199999999997</v>
      </c>
      <c r="M205">
        <v>2.5</v>
      </c>
      <c r="N205">
        <v>-2.1</v>
      </c>
      <c r="O205" s="39">
        <v>38.75</v>
      </c>
      <c r="P205" s="39">
        <v>1119</v>
      </c>
      <c r="Q205" s="39">
        <v>80</v>
      </c>
      <c r="R205" s="39">
        <v>22.67</v>
      </c>
    </row>
    <row r="206" spans="1:18" x14ac:dyDescent="0.25">
      <c r="A206" s="1" t="s">
        <v>427</v>
      </c>
      <c r="B206" s="2">
        <v>42</v>
      </c>
      <c r="C206" s="19">
        <v>42.5</v>
      </c>
      <c r="D206" s="3" t="s">
        <v>497</v>
      </c>
      <c r="E206" s="3" t="s">
        <v>483</v>
      </c>
      <c r="F206" s="23">
        <v>522848</v>
      </c>
      <c r="G206" s="35">
        <v>2018</v>
      </c>
      <c r="H206">
        <f>Table_8[[#This Row],[Listing Price (USD)]]/10000</f>
        <v>52.284799999999997</v>
      </c>
      <c r="I206">
        <f>Table_8[[#This Row],[Length 
(ft)]]</f>
        <v>42.5</v>
      </c>
      <c r="J206" s="37">
        <f>2020-Table_8[[#This Row],[Year]]</f>
        <v>2</v>
      </c>
      <c r="K206">
        <v>4200000000</v>
      </c>
      <c r="L206">
        <v>39553.199999999997</v>
      </c>
      <c r="M206">
        <v>2.5</v>
      </c>
      <c r="N206">
        <v>-2.1</v>
      </c>
      <c r="O206" s="39">
        <v>38.75</v>
      </c>
      <c r="P206" s="39">
        <v>1119</v>
      </c>
      <c r="Q206" s="39">
        <v>80</v>
      </c>
      <c r="R206" s="39">
        <v>22.67</v>
      </c>
    </row>
    <row r="207" spans="1:18" x14ac:dyDescent="0.25">
      <c r="A207" s="1" t="s">
        <v>427</v>
      </c>
      <c r="B207" s="2">
        <v>42</v>
      </c>
      <c r="C207" s="19">
        <v>42.5</v>
      </c>
      <c r="D207" s="3" t="s">
        <v>496</v>
      </c>
      <c r="E207" s="4" t="s">
        <v>3</v>
      </c>
      <c r="F207" s="23">
        <v>534050</v>
      </c>
      <c r="G207" s="35">
        <v>2017</v>
      </c>
      <c r="H207">
        <f>Table_8[[#This Row],[Listing Price (USD)]]/10000</f>
        <v>53.405000000000001</v>
      </c>
      <c r="I207">
        <f>Table_8[[#This Row],[Length 
(ft)]]</f>
        <v>42.5</v>
      </c>
      <c r="J207" s="37">
        <f>2020-Table_8[[#This Row],[Year]]</f>
        <v>3</v>
      </c>
      <c r="K207">
        <v>2639008701648.2598</v>
      </c>
      <c r="L207">
        <v>39055.282928075401</v>
      </c>
      <c r="M207">
        <v>0.47649885272508302</v>
      </c>
      <c r="N207">
        <v>-7.7845864916787102</v>
      </c>
      <c r="O207" s="39">
        <v>38.75</v>
      </c>
      <c r="P207" s="39">
        <v>1119</v>
      </c>
      <c r="Q207" s="39">
        <v>80</v>
      </c>
      <c r="R207" s="39">
        <v>22.67</v>
      </c>
    </row>
    <row r="208" spans="1:18" x14ac:dyDescent="0.25">
      <c r="A208" s="1" t="s">
        <v>427</v>
      </c>
      <c r="B208" s="2">
        <v>42</v>
      </c>
      <c r="C208" s="19">
        <v>42.5</v>
      </c>
      <c r="D208" s="3" t="s">
        <v>496</v>
      </c>
      <c r="E208" s="4" t="s">
        <v>18</v>
      </c>
      <c r="F208" s="23">
        <v>534050</v>
      </c>
      <c r="G208" s="35">
        <v>2017</v>
      </c>
      <c r="H208">
        <f>Table_8[[#This Row],[Listing Price (USD)]]/10000</f>
        <v>53.405000000000001</v>
      </c>
      <c r="I208">
        <f>Table_8[[#This Row],[Length 
(ft)]]</f>
        <v>42.5</v>
      </c>
      <c r="J208" s="37">
        <f>2020-Table_8[[#This Row],[Year]]</f>
        <v>3</v>
      </c>
      <c r="K208">
        <v>188925995936.80701</v>
      </c>
      <c r="L208">
        <v>17658.947301119199</v>
      </c>
      <c r="M208">
        <v>-1.2479835558140799</v>
      </c>
      <c r="N208">
        <v>-9.0040436420214593</v>
      </c>
      <c r="O208" s="39">
        <v>38.75</v>
      </c>
      <c r="P208" s="39">
        <v>1119</v>
      </c>
      <c r="Q208" s="39">
        <v>80</v>
      </c>
      <c r="R208" s="39">
        <v>22.67</v>
      </c>
    </row>
    <row r="209" spans="1:18" x14ac:dyDescent="0.25">
      <c r="A209" s="1" t="s">
        <v>427</v>
      </c>
      <c r="B209" s="2">
        <v>42</v>
      </c>
      <c r="C209" s="19">
        <v>42.5</v>
      </c>
      <c r="D209" s="3" t="s">
        <v>496</v>
      </c>
      <c r="E209" s="4" t="s">
        <v>18</v>
      </c>
      <c r="F209" s="23">
        <v>540119</v>
      </c>
      <c r="G209" s="35">
        <v>2018</v>
      </c>
      <c r="H209">
        <f>Table_8[[#This Row],[Listing Price (USD)]]/10000</f>
        <v>54.011899999999997</v>
      </c>
      <c r="I209">
        <f>Table_8[[#This Row],[Length 
(ft)]]</f>
        <v>42.5</v>
      </c>
      <c r="J209" s="37">
        <f>2020-Table_8[[#This Row],[Year]]</f>
        <v>2</v>
      </c>
      <c r="K209">
        <v>188925995936.80701</v>
      </c>
      <c r="L209">
        <v>17658.947301119199</v>
      </c>
      <c r="M209">
        <v>-1.2479835558140799</v>
      </c>
      <c r="N209">
        <v>-9.0040436420214593</v>
      </c>
      <c r="O209" s="39">
        <v>38.75</v>
      </c>
      <c r="P209" s="39">
        <v>1119</v>
      </c>
      <c r="Q209" s="39">
        <v>80</v>
      </c>
      <c r="R209" s="39">
        <v>22.67</v>
      </c>
    </row>
    <row r="210" spans="1:18" x14ac:dyDescent="0.25">
      <c r="A210" s="1" t="s">
        <v>427</v>
      </c>
      <c r="B210" s="2">
        <v>42</v>
      </c>
      <c r="C210" s="19">
        <v>42.5</v>
      </c>
      <c r="D210" s="3" t="s">
        <v>496</v>
      </c>
      <c r="E210" s="4" t="s">
        <v>63</v>
      </c>
      <c r="F210" s="23">
        <v>543760</v>
      </c>
      <c r="G210" s="35">
        <v>2017</v>
      </c>
      <c r="H210">
        <f>Table_8[[#This Row],[Listing Price (USD)]]/10000</f>
        <v>54.375999999999998</v>
      </c>
      <c r="I210">
        <f>Table_8[[#This Row],[Length 
(ft)]]</f>
        <v>42.5</v>
      </c>
      <c r="J210" s="37">
        <f>2020-Table_8[[#This Row],[Year]]</f>
        <v>3</v>
      </c>
      <c r="K210">
        <v>720290000000</v>
      </c>
      <c r="L210">
        <v>13341.6</v>
      </c>
      <c r="M210">
        <v>13</v>
      </c>
      <c r="N210">
        <v>-3</v>
      </c>
      <c r="O210" s="39">
        <v>38.75</v>
      </c>
      <c r="P210" s="39">
        <v>1119</v>
      </c>
      <c r="Q210" s="39">
        <v>80</v>
      </c>
      <c r="R210" s="39">
        <v>22.67</v>
      </c>
    </row>
    <row r="211" spans="1:18" x14ac:dyDescent="0.25">
      <c r="A211" s="1" t="s">
        <v>427</v>
      </c>
      <c r="B211" s="2">
        <v>42</v>
      </c>
      <c r="C211" s="19">
        <v>42.5</v>
      </c>
      <c r="D211" s="3" t="s">
        <v>496</v>
      </c>
      <c r="E211" s="4" t="s">
        <v>63</v>
      </c>
      <c r="F211" s="23">
        <v>544184</v>
      </c>
      <c r="G211" s="35">
        <v>2017</v>
      </c>
      <c r="H211">
        <f>Table_8[[#This Row],[Listing Price (USD)]]/10000</f>
        <v>54.418399999999998</v>
      </c>
      <c r="I211">
        <f>Table_8[[#This Row],[Length 
(ft)]]</f>
        <v>42.5</v>
      </c>
      <c r="J211" s="37">
        <f>2020-Table_8[[#This Row],[Year]]</f>
        <v>3</v>
      </c>
      <c r="K211">
        <v>720290000000</v>
      </c>
      <c r="L211">
        <v>13341.6</v>
      </c>
      <c r="M211">
        <v>13</v>
      </c>
      <c r="N211">
        <v>-3</v>
      </c>
      <c r="O211" s="39">
        <v>38.75</v>
      </c>
      <c r="P211" s="39">
        <v>1119</v>
      </c>
      <c r="Q211" s="39">
        <v>80</v>
      </c>
      <c r="R211" s="39">
        <v>22.67</v>
      </c>
    </row>
    <row r="212" spans="1:18" x14ac:dyDescent="0.25">
      <c r="A212" s="1" t="s">
        <v>427</v>
      </c>
      <c r="B212" s="2">
        <v>42</v>
      </c>
      <c r="C212" s="19">
        <v>42.5</v>
      </c>
      <c r="D212" s="3" t="s">
        <v>495</v>
      </c>
      <c r="E212" s="3" t="s">
        <v>519</v>
      </c>
      <c r="F212" s="23">
        <v>545000</v>
      </c>
      <c r="G212" s="35">
        <v>2017</v>
      </c>
      <c r="H212">
        <f>Table_8[[#This Row],[Listing Price (USD)]]/10000</f>
        <v>54.5</v>
      </c>
      <c r="I212">
        <f>Table_8[[#This Row],[Length 
(ft)]]</f>
        <v>42.5</v>
      </c>
      <c r="J212" s="37">
        <f>2020-Table_8[[#This Row],[Year]]</f>
        <v>3</v>
      </c>
      <c r="K212">
        <v>589829000000</v>
      </c>
      <c r="L212">
        <v>56404.23</v>
      </c>
      <c r="M212">
        <v>1.23</v>
      </c>
      <c r="N212">
        <v>2.8</v>
      </c>
      <c r="O212" s="39">
        <v>38.75</v>
      </c>
      <c r="P212" s="39">
        <v>1119</v>
      </c>
      <c r="Q212" s="39">
        <v>80</v>
      </c>
      <c r="R212" s="39">
        <v>22.67</v>
      </c>
    </row>
    <row r="213" spans="1:18" x14ac:dyDescent="0.25">
      <c r="A213" s="1" t="s">
        <v>441</v>
      </c>
      <c r="B213" s="2">
        <v>42</v>
      </c>
      <c r="C213" s="19">
        <v>42.5</v>
      </c>
      <c r="D213" s="3" t="s">
        <v>495</v>
      </c>
      <c r="E213" s="3" t="s">
        <v>519</v>
      </c>
      <c r="F213" s="23">
        <v>545000</v>
      </c>
      <c r="G213" s="35">
        <v>2017</v>
      </c>
      <c r="H213">
        <f>Table_8[[#This Row],[Listing Price (USD)]]/10000</f>
        <v>54.5</v>
      </c>
      <c r="I213">
        <f>Table_8[[#This Row],[Length 
(ft)]]</f>
        <v>42.5</v>
      </c>
      <c r="J213" s="37">
        <f>2020-Table_8[[#This Row],[Year]]</f>
        <v>3</v>
      </c>
      <c r="K213">
        <v>589829000000</v>
      </c>
      <c r="L213">
        <v>56404.23</v>
      </c>
      <c r="M213">
        <v>1.23</v>
      </c>
      <c r="N213">
        <v>2.8</v>
      </c>
      <c r="O213" s="39">
        <v>38.75</v>
      </c>
      <c r="P213" s="39">
        <v>1119</v>
      </c>
      <c r="Q213" s="39">
        <v>80</v>
      </c>
      <c r="R213" s="39">
        <v>22.67</v>
      </c>
    </row>
    <row r="214" spans="1:18" x14ac:dyDescent="0.25">
      <c r="A214" s="1" t="s">
        <v>427</v>
      </c>
      <c r="B214" s="2">
        <v>42</v>
      </c>
      <c r="C214" s="19">
        <v>42.5</v>
      </c>
      <c r="D214" s="3" t="s">
        <v>496</v>
      </c>
      <c r="E214" s="4" t="s">
        <v>63</v>
      </c>
      <c r="F214" s="23">
        <v>545648</v>
      </c>
      <c r="G214" s="35">
        <v>2017</v>
      </c>
      <c r="H214">
        <f>Table_8[[#This Row],[Listing Price (USD)]]/10000</f>
        <v>54.564799999999998</v>
      </c>
      <c r="I214">
        <f>Table_8[[#This Row],[Length 
(ft)]]</f>
        <v>42.5</v>
      </c>
      <c r="J214" s="37">
        <f>2020-Table_8[[#This Row],[Year]]</f>
        <v>3</v>
      </c>
      <c r="K214">
        <v>720290000000</v>
      </c>
      <c r="L214">
        <v>13341.6</v>
      </c>
      <c r="M214">
        <v>13</v>
      </c>
      <c r="N214">
        <v>-3</v>
      </c>
      <c r="O214" s="39">
        <v>38.75</v>
      </c>
      <c r="P214" s="39">
        <v>1119</v>
      </c>
      <c r="Q214" s="39">
        <v>80</v>
      </c>
      <c r="R214" s="39">
        <v>22.67</v>
      </c>
    </row>
    <row r="215" spans="1:18" x14ac:dyDescent="0.25">
      <c r="A215" s="1" t="s">
        <v>427</v>
      </c>
      <c r="B215" s="2">
        <v>42</v>
      </c>
      <c r="C215" s="19">
        <v>42.5</v>
      </c>
      <c r="D215" s="3" t="s">
        <v>496</v>
      </c>
      <c r="E215" s="4" t="s">
        <v>9</v>
      </c>
      <c r="F215" s="23">
        <v>546613</v>
      </c>
      <c r="G215" s="35">
        <v>2017</v>
      </c>
      <c r="H215">
        <f>Table_8[[#This Row],[Listing Price (USD)]]/10000</f>
        <v>54.661299999999997</v>
      </c>
      <c r="I215">
        <f>Table_8[[#This Row],[Length 
(ft)]]</f>
        <v>42.5</v>
      </c>
      <c r="J215" s="37">
        <f>2020-Table_8[[#This Row],[Year]]</f>
        <v>3</v>
      </c>
      <c r="K215">
        <v>1276962685648.25</v>
      </c>
      <c r="L215">
        <v>26959.675436732599</v>
      </c>
      <c r="M215">
        <v>-0.32275301729970501</v>
      </c>
      <c r="N215">
        <v>-11.3254383222864</v>
      </c>
      <c r="O215" s="39">
        <v>38.75</v>
      </c>
      <c r="P215" s="39">
        <v>1119</v>
      </c>
      <c r="Q215" s="39">
        <v>80</v>
      </c>
      <c r="R215" s="39">
        <v>22.67</v>
      </c>
    </row>
    <row r="216" spans="1:18" x14ac:dyDescent="0.25">
      <c r="A216" s="1" t="s">
        <v>427</v>
      </c>
      <c r="B216" s="2">
        <v>42</v>
      </c>
      <c r="C216" s="19">
        <v>42.5</v>
      </c>
      <c r="D216" s="3" t="s">
        <v>496</v>
      </c>
      <c r="E216" s="4" t="s">
        <v>9</v>
      </c>
      <c r="F216" s="23">
        <v>547167</v>
      </c>
      <c r="G216" s="35">
        <v>2017</v>
      </c>
      <c r="H216">
        <f>Table_8[[#This Row],[Listing Price (USD)]]/10000</f>
        <v>54.716700000000003</v>
      </c>
      <c r="I216">
        <f>Table_8[[#This Row],[Length 
(ft)]]</f>
        <v>42.5</v>
      </c>
      <c r="J216" s="37">
        <f>2020-Table_8[[#This Row],[Year]]</f>
        <v>3</v>
      </c>
      <c r="K216">
        <v>1276962685648.25</v>
      </c>
      <c r="L216">
        <v>26959.675436732599</v>
      </c>
      <c r="M216">
        <v>-0.32275301729970501</v>
      </c>
      <c r="N216">
        <v>-11.3254383222864</v>
      </c>
      <c r="O216" s="39">
        <v>38.75</v>
      </c>
      <c r="P216" s="39">
        <v>1119</v>
      </c>
      <c r="Q216" s="39">
        <v>80</v>
      </c>
      <c r="R216" s="39">
        <v>22.67</v>
      </c>
    </row>
    <row r="217" spans="1:18" x14ac:dyDescent="0.25">
      <c r="A217" s="1" t="s">
        <v>427</v>
      </c>
      <c r="B217" s="2">
        <v>42</v>
      </c>
      <c r="C217" s="19">
        <v>42.5</v>
      </c>
      <c r="D217" s="3" t="s">
        <v>496</v>
      </c>
      <c r="E217" s="4" t="s">
        <v>9</v>
      </c>
      <c r="F217" s="23">
        <v>556076</v>
      </c>
      <c r="G217" s="35">
        <v>2018</v>
      </c>
      <c r="H217">
        <f>Table_8[[#This Row],[Listing Price (USD)]]/10000</f>
        <v>55.607599999999998</v>
      </c>
      <c r="I217">
        <f>Table_8[[#This Row],[Length 
(ft)]]</f>
        <v>42.5</v>
      </c>
      <c r="J217" s="37">
        <f>2020-Table_8[[#This Row],[Year]]</f>
        <v>2</v>
      </c>
      <c r="K217">
        <v>1276962685648.25</v>
      </c>
      <c r="L217">
        <v>26959.675436732599</v>
      </c>
      <c r="M217">
        <v>-0.32275301729970501</v>
      </c>
      <c r="N217">
        <v>-11.3254383222864</v>
      </c>
      <c r="O217" s="39">
        <v>38.75</v>
      </c>
      <c r="P217" s="39">
        <v>1119</v>
      </c>
      <c r="Q217" s="39">
        <v>80</v>
      </c>
      <c r="R217" s="39">
        <v>22.67</v>
      </c>
    </row>
    <row r="218" spans="1:18" x14ac:dyDescent="0.25">
      <c r="A218" s="1" t="s">
        <v>427</v>
      </c>
      <c r="B218" s="2">
        <v>42</v>
      </c>
      <c r="C218" s="19">
        <v>42.5</v>
      </c>
      <c r="D218" s="3" t="s">
        <v>496</v>
      </c>
      <c r="E218" s="4" t="s">
        <v>9</v>
      </c>
      <c r="F218" s="23">
        <v>557060</v>
      </c>
      <c r="G218" s="35">
        <v>2018</v>
      </c>
      <c r="H218">
        <f>Table_8[[#This Row],[Listing Price (USD)]]/10000</f>
        <v>55.706000000000003</v>
      </c>
      <c r="I218">
        <f>Table_8[[#This Row],[Length 
(ft)]]</f>
        <v>42.5</v>
      </c>
      <c r="J218" s="37">
        <f>2020-Table_8[[#This Row],[Year]]</f>
        <v>2</v>
      </c>
      <c r="K218">
        <v>1276962685648.25</v>
      </c>
      <c r="L218">
        <v>26959.675436732599</v>
      </c>
      <c r="M218">
        <v>-0.32275301729970501</v>
      </c>
      <c r="N218">
        <v>-11.3254383222864</v>
      </c>
      <c r="O218" s="39">
        <v>38.75</v>
      </c>
      <c r="P218" s="39">
        <v>1119</v>
      </c>
      <c r="Q218" s="39">
        <v>80</v>
      </c>
      <c r="R218" s="39">
        <v>22.67</v>
      </c>
    </row>
    <row r="219" spans="1:18" x14ac:dyDescent="0.25">
      <c r="A219" s="1" t="s">
        <v>427</v>
      </c>
      <c r="B219" s="3">
        <v>42</v>
      </c>
      <c r="C219" s="19">
        <v>42.5</v>
      </c>
      <c r="D219" s="3" t="s">
        <v>497</v>
      </c>
      <c r="E219" s="3" t="s">
        <v>483</v>
      </c>
      <c r="F219" s="23">
        <v>557470</v>
      </c>
      <c r="G219" s="35">
        <v>2017</v>
      </c>
      <c r="H219">
        <f>Table_8[[#This Row],[Listing Price (USD)]]/10000</f>
        <v>55.747</v>
      </c>
      <c r="I219">
        <f>Table_8[[#This Row],[Length 
(ft)]]</f>
        <v>42.5</v>
      </c>
      <c r="J219" s="37">
        <f>2020-Table_8[[#This Row],[Year]]</f>
        <v>3</v>
      </c>
      <c r="K219">
        <v>4200000000</v>
      </c>
      <c r="L219">
        <v>39553.199999999997</v>
      </c>
      <c r="M219">
        <v>2.5</v>
      </c>
      <c r="N219">
        <v>-2.1</v>
      </c>
      <c r="O219" s="39">
        <v>38.75</v>
      </c>
      <c r="P219" s="39">
        <v>1119</v>
      </c>
      <c r="Q219" s="39">
        <v>80</v>
      </c>
      <c r="R219" s="39">
        <v>22.67</v>
      </c>
    </row>
    <row r="220" spans="1:18" x14ac:dyDescent="0.25">
      <c r="A220" s="1" t="s">
        <v>427</v>
      </c>
      <c r="B220" s="2">
        <v>42</v>
      </c>
      <c r="C220" s="19">
        <v>42.5</v>
      </c>
      <c r="D220" s="3" t="s">
        <v>496</v>
      </c>
      <c r="E220" s="4" t="s">
        <v>9</v>
      </c>
      <c r="F220" s="23">
        <v>557773</v>
      </c>
      <c r="G220" s="35">
        <v>2019</v>
      </c>
      <c r="H220">
        <f>Table_8[[#This Row],[Listing Price (USD)]]/10000</f>
        <v>55.777299999999997</v>
      </c>
      <c r="I220">
        <f>Table_8[[#This Row],[Length 
(ft)]]</f>
        <v>42.5</v>
      </c>
      <c r="J220" s="37">
        <f>2020-Table_8[[#This Row],[Year]]</f>
        <v>1</v>
      </c>
      <c r="K220">
        <v>1276962685648.25</v>
      </c>
      <c r="L220">
        <v>26959.675436732599</v>
      </c>
      <c r="M220">
        <v>-0.32275301729970501</v>
      </c>
      <c r="N220">
        <v>-11.3254383222864</v>
      </c>
      <c r="O220" s="39">
        <v>38.75</v>
      </c>
      <c r="P220" s="39">
        <v>1119</v>
      </c>
      <c r="Q220" s="39">
        <v>80</v>
      </c>
      <c r="R220" s="39">
        <v>22.67</v>
      </c>
    </row>
    <row r="221" spans="1:18" x14ac:dyDescent="0.25">
      <c r="A221" s="1" t="s">
        <v>427</v>
      </c>
      <c r="B221" s="2">
        <v>42</v>
      </c>
      <c r="C221" s="19">
        <v>42.5</v>
      </c>
      <c r="D221" s="3" t="s">
        <v>497</v>
      </c>
      <c r="E221" s="3" t="s">
        <v>483</v>
      </c>
      <c r="F221" s="23">
        <v>558110</v>
      </c>
      <c r="G221" s="35">
        <v>2017</v>
      </c>
      <c r="H221">
        <f>Table_8[[#This Row],[Listing Price (USD)]]/10000</f>
        <v>55.811</v>
      </c>
      <c r="I221">
        <f>Table_8[[#This Row],[Length 
(ft)]]</f>
        <v>42.5</v>
      </c>
      <c r="J221" s="37">
        <f>2020-Table_8[[#This Row],[Year]]</f>
        <v>3</v>
      </c>
      <c r="K221">
        <v>4200000000</v>
      </c>
      <c r="L221">
        <v>39553.199999999997</v>
      </c>
      <c r="M221">
        <v>2.5</v>
      </c>
      <c r="N221">
        <v>-2.1</v>
      </c>
      <c r="O221" s="39">
        <v>38.75</v>
      </c>
      <c r="P221" s="39">
        <v>1119</v>
      </c>
      <c r="Q221" s="39">
        <v>80</v>
      </c>
      <c r="R221" s="39">
        <v>22.67</v>
      </c>
    </row>
    <row r="222" spans="1:18" x14ac:dyDescent="0.25">
      <c r="A222" s="1" t="s">
        <v>427</v>
      </c>
      <c r="B222" s="2">
        <v>42</v>
      </c>
      <c r="C222" s="19">
        <v>42.5</v>
      </c>
      <c r="D222" s="3" t="s">
        <v>495</v>
      </c>
      <c r="E222" s="3" t="s">
        <v>523</v>
      </c>
      <c r="F222" s="23">
        <v>589000</v>
      </c>
      <c r="G222" s="35">
        <v>2019</v>
      </c>
      <c r="H222">
        <f>Table_8[[#This Row],[Listing Price (USD)]]/10000</f>
        <v>58.9</v>
      </c>
      <c r="I222">
        <f>Table_8[[#This Row],[Length 
(ft)]]</f>
        <v>42.5</v>
      </c>
      <c r="J222" s="37">
        <f>2020-Table_8[[#This Row],[Year]]</f>
        <v>1</v>
      </c>
      <c r="K222">
        <v>1775588000000</v>
      </c>
      <c r="L222">
        <v>60771.06</v>
      </c>
      <c r="M222">
        <v>1.23</v>
      </c>
      <c r="N222">
        <v>5.0999999999999996</v>
      </c>
      <c r="O222" s="39">
        <v>38.75</v>
      </c>
      <c r="P222" s="39">
        <v>1119</v>
      </c>
      <c r="Q222" s="39">
        <v>80</v>
      </c>
      <c r="R222" s="39">
        <v>22.67</v>
      </c>
    </row>
    <row r="223" spans="1:18" x14ac:dyDescent="0.25">
      <c r="A223" s="1" t="s">
        <v>427</v>
      </c>
      <c r="B223" s="2">
        <v>42</v>
      </c>
      <c r="C223" s="19">
        <v>42.5</v>
      </c>
      <c r="D223" s="3" t="s">
        <v>495</v>
      </c>
      <c r="E223" s="3" t="s">
        <v>523</v>
      </c>
      <c r="F223" s="23">
        <v>589000</v>
      </c>
      <c r="G223" s="35">
        <v>2019</v>
      </c>
      <c r="H223">
        <f>Table_8[[#This Row],[Listing Price (USD)]]/10000</f>
        <v>58.9</v>
      </c>
      <c r="I223">
        <f>Table_8[[#This Row],[Length 
(ft)]]</f>
        <v>42.5</v>
      </c>
      <c r="J223" s="37">
        <f>2020-Table_8[[#This Row],[Year]]</f>
        <v>1</v>
      </c>
      <c r="K223">
        <v>1775588000000</v>
      </c>
      <c r="L223">
        <v>60771.06</v>
      </c>
      <c r="M223">
        <v>1.23</v>
      </c>
      <c r="N223">
        <v>5.0999999999999996</v>
      </c>
      <c r="O223" s="39">
        <v>38.75</v>
      </c>
      <c r="P223" s="39">
        <v>1119</v>
      </c>
      <c r="Q223" s="39">
        <v>80</v>
      </c>
      <c r="R223" s="39">
        <v>22.67</v>
      </c>
    </row>
    <row r="224" spans="1:18" x14ac:dyDescent="0.25">
      <c r="A224" s="1" t="s">
        <v>427</v>
      </c>
      <c r="B224" s="2">
        <v>42</v>
      </c>
      <c r="C224" s="19">
        <v>42.5</v>
      </c>
      <c r="D224" s="3" t="s">
        <v>496</v>
      </c>
      <c r="E224" s="4" t="s">
        <v>24</v>
      </c>
      <c r="F224" s="23">
        <v>594737</v>
      </c>
      <c r="G224" s="35">
        <v>2019</v>
      </c>
      <c r="H224">
        <f>Table_8[[#This Row],[Listing Price (USD)]]/10000</f>
        <v>59.473700000000001</v>
      </c>
      <c r="I224">
        <f>Table_8[[#This Row],[Length 
(ft)]]</f>
        <v>42.5</v>
      </c>
      <c r="J224" s="37">
        <f>2020-Table_8[[#This Row],[Year]]</f>
        <v>1</v>
      </c>
      <c r="K224">
        <v>1896755301518.1399</v>
      </c>
      <c r="L224">
        <v>31911.0357890017</v>
      </c>
      <c r="M224">
        <v>-0.13770757391656999</v>
      </c>
      <c r="N224">
        <v>-9.0399534112288507</v>
      </c>
      <c r="O224" s="39">
        <v>38.75</v>
      </c>
      <c r="P224" s="39">
        <v>1119</v>
      </c>
      <c r="Q224" s="39">
        <v>80</v>
      </c>
      <c r="R224" s="39">
        <v>22.67</v>
      </c>
    </row>
    <row r="225" spans="1:18" x14ac:dyDescent="0.25">
      <c r="A225" s="1" t="s">
        <v>427</v>
      </c>
      <c r="B225" s="2">
        <v>42</v>
      </c>
      <c r="C225" s="19">
        <v>42.5</v>
      </c>
      <c r="D225" s="3" t="s">
        <v>496</v>
      </c>
      <c r="E225" s="4" t="s">
        <v>9</v>
      </c>
      <c r="F225" s="23">
        <v>594737</v>
      </c>
      <c r="G225" s="35">
        <v>2019</v>
      </c>
      <c r="H225">
        <f>Table_8[[#This Row],[Listing Price (USD)]]/10000</f>
        <v>59.473700000000001</v>
      </c>
      <c r="I225">
        <f>Table_8[[#This Row],[Length 
(ft)]]</f>
        <v>42.5</v>
      </c>
      <c r="J225" s="37">
        <f>2020-Table_8[[#This Row],[Year]]</f>
        <v>1</v>
      </c>
      <c r="K225">
        <v>1276962685648.25</v>
      </c>
      <c r="L225">
        <v>26959.675436732599</v>
      </c>
      <c r="M225">
        <v>-0.32275301729970501</v>
      </c>
      <c r="N225">
        <v>-11.3254383222864</v>
      </c>
      <c r="O225" s="39">
        <v>38.75</v>
      </c>
      <c r="P225" s="39">
        <v>1119</v>
      </c>
      <c r="Q225" s="39">
        <v>80</v>
      </c>
      <c r="R225" s="39">
        <v>22.67</v>
      </c>
    </row>
    <row r="226" spans="1:18" x14ac:dyDescent="0.25">
      <c r="A226" s="1" t="s">
        <v>427</v>
      </c>
      <c r="B226" s="2">
        <v>42</v>
      </c>
      <c r="C226" s="19">
        <v>42.5</v>
      </c>
      <c r="D226" s="3" t="s">
        <v>497</v>
      </c>
      <c r="E226" s="3" t="s">
        <v>369</v>
      </c>
      <c r="F226" s="23">
        <v>705237</v>
      </c>
      <c r="G226" s="35">
        <v>2019</v>
      </c>
      <c r="H226">
        <f>Table_8[[#This Row],[Listing Price (USD)]]/10000</f>
        <v>70.523700000000005</v>
      </c>
      <c r="I226">
        <f>Table_8[[#This Row],[Length 
(ft)]]</f>
        <v>42.5</v>
      </c>
      <c r="J226" s="37">
        <f>2020-Table_8[[#This Row],[Year]]</f>
        <v>1</v>
      </c>
      <c r="K226">
        <v>78844702329.078506</v>
      </c>
      <c r="L226">
        <v>7167.9191590832697</v>
      </c>
      <c r="M226">
        <v>3.7810317991551599</v>
      </c>
      <c r="N226">
        <v>-6.7202393728340404</v>
      </c>
      <c r="O226" s="39">
        <v>38.75</v>
      </c>
      <c r="P226" s="39">
        <v>1119</v>
      </c>
      <c r="Q226" s="39">
        <v>80</v>
      </c>
      <c r="R226" s="39">
        <v>22.67</v>
      </c>
    </row>
    <row r="227" spans="1:18" x14ac:dyDescent="0.25">
      <c r="A227" s="1" t="s">
        <v>427</v>
      </c>
      <c r="B227" s="2">
        <v>42</v>
      </c>
      <c r="C227" s="19">
        <v>42.5</v>
      </c>
      <c r="D227" s="3" t="s">
        <v>496</v>
      </c>
      <c r="E227" s="4" t="s">
        <v>3</v>
      </c>
      <c r="F227" s="23">
        <v>709128</v>
      </c>
      <c r="G227" s="35">
        <v>2019</v>
      </c>
      <c r="H227">
        <f>Table_8[[#This Row],[Listing Price (USD)]]/10000</f>
        <v>70.912800000000004</v>
      </c>
      <c r="I227">
        <f>Table_8[[#This Row],[Length 
(ft)]]</f>
        <v>42.5</v>
      </c>
      <c r="J227" s="37">
        <f>2020-Table_8[[#This Row],[Year]]</f>
        <v>1</v>
      </c>
      <c r="K227">
        <v>2639008701648.2598</v>
      </c>
      <c r="L227">
        <v>39055.282928075401</v>
      </c>
      <c r="M227">
        <v>0.47649885272508302</v>
      </c>
      <c r="N227">
        <v>-7.7845864916787102</v>
      </c>
      <c r="O227" s="39">
        <v>38.75</v>
      </c>
      <c r="P227" s="39">
        <v>1119</v>
      </c>
      <c r="Q227" s="39">
        <v>80</v>
      </c>
      <c r="R227" s="39">
        <v>22.67</v>
      </c>
    </row>
    <row r="228" spans="1:18" x14ac:dyDescent="0.25">
      <c r="A228" s="1" t="s">
        <v>442</v>
      </c>
      <c r="B228" s="2">
        <v>43</v>
      </c>
      <c r="C228" s="19">
        <v>42.5</v>
      </c>
      <c r="D228" s="3" t="s">
        <v>496</v>
      </c>
      <c r="E228" s="4" t="s">
        <v>24</v>
      </c>
      <c r="F228" s="23">
        <v>206708</v>
      </c>
      <c r="G228" s="35">
        <v>2006</v>
      </c>
      <c r="H228">
        <f>Table_8[[#This Row],[Listing Price (USD)]]/10000</f>
        <v>20.6708</v>
      </c>
      <c r="I228">
        <f>Table_8[[#This Row],[Length 
(ft)]]</f>
        <v>42.5</v>
      </c>
      <c r="J228" s="37">
        <f>2020-Table_8[[#This Row],[Year]]</f>
        <v>14</v>
      </c>
      <c r="K228">
        <v>1896755301518.1399</v>
      </c>
      <c r="L228">
        <v>31911.0357890017</v>
      </c>
      <c r="M228">
        <v>-0.13770757391656999</v>
      </c>
      <c r="N228">
        <v>-9.0399534112288507</v>
      </c>
      <c r="O228" s="39">
        <v>37.729999999999997</v>
      </c>
      <c r="P228" s="39">
        <v>1238</v>
      </c>
      <c r="Q228" s="39">
        <v>95</v>
      </c>
      <c r="R228" s="39">
        <v>22.74</v>
      </c>
    </row>
    <row r="229" spans="1:18" x14ac:dyDescent="0.25">
      <c r="A229" s="1" t="s">
        <v>442</v>
      </c>
      <c r="B229" s="3">
        <v>44</v>
      </c>
      <c r="C229" s="19">
        <v>42.5</v>
      </c>
      <c r="D229" s="3" t="s">
        <v>497</v>
      </c>
      <c r="E229" s="3" t="s">
        <v>508</v>
      </c>
      <c r="F229" s="23">
        <v>239999</v>
      </c>
      <c r="G229" s="35">
        <v>2016</v>
      </c>
      <c r="H229">
        <f>Table_8[[#This Row],[Listing Price (USD)]]/10000</f>
        <v>23.9999</v>
      </c>
      <c r="I229">
        <f>Table_8[[#This Row],[Length 
(ft)]]</f>
        <v>42.5</v>
      </c>
      <c r="J229" s="37">
        <f>2020-Table_8[[#This Row],[Year]]</f>
        <v>4</v>
      </c>
      <c r="K229">
        <v>9700000000</v>
      </c>
      <c r="L229">
        <v>26659</v>
      </c>
      <c r="M229">
        <v>-3.5</v>
      </c>
      <c r="N229">
        <v>-24.2</v>
      </c>
      <c r="O229" s="39">
        <v>41.67</v>
      </c>
      <c r="P229" s="39">
        <v>1323</v>
      </c>
      <c r="Q229" s="39">
        <v>185</v>
      </c>
      <c r="R229" s="39">
        <v>23.79</v>
      </c>
    </row>
    <row r="230" spans="1:18" x14ac:dyDescent="0.25">
      <c r="A230" s="1" t="s">
        <v>442</v>
      </c>
      <c r="B230" s="2">
        <v>44</v>
      </c>
      <c r="C230" s="19">
        <v>42.5</v>
      </c>
      <c r="D230" s="3" t="s">
        <v>496</v>
      </c>
      <c r="E230" s="4" t="s">
        <v>18</v>
      </c>
      <c r="F230" s="23">
        <v>273094</v>
      </c>
      <c r="G230" s="35">
        <v>2012</v>
      </c>
      <c r="H230">
        <f>Table_8[[#This Row],[Listing Price (USD)]]/10000</f>
        <v>27.3094</v>
      </c>
      <c r="I230">
        <f>Table_8[[#This Row],[Length 
(ft)]]</f>
        <v>42.5</v>
      </c>
      <c r="J230" s="37">
        <f>2020-Table_8[[#This Row],[Year]]</f>
        <v>8</v>
      </c>
      <c r="K230">
        <v>188925995936.80701</v>
      </c>
      <c r="L230">
        <v>17658.947301119199</v>
      </c>
      <c r="M230">
        <v>-1.2479835558140799</v>
      </c>
      <c r="N230">
        <v>-9.0040436420214593</v>
      </c>
      <c r="O230" s="39">
        <v>41.67</v>
      </c>
      <c r="P230" s="39">
        <v>1323</v>
      </c>
      <c r="Q230" s="39">
        <v>185</v>
      </c>
      <c r="R230" s="39">
        <v>23.79</v>
      </c>
    </row>
    <row r="231" spans="1:18" x14ac:dyDescent="0.25">
      <c r="A231" s="1" t="s">
        <v>442</v>
      </c>
      <c r="B231" s="2">
        <v>44</v>
      </c>
      <c r="C231" s="19">
        <v>42.5</v>
      </c>
      <c r="D231" s="3" t="s">
        <v>496</v>
      </c>
      <c r="E231" s="4" t="s">
        <v>18</v>
      </c>
      <c r="F231" s="23">
        <v>290606</v>
      </c>
      <c r="G231" s="35">
        <v>2013</v>
      </c>
      <c r="H231">
        <f>Table_8[[#This Row],[Listing Price (USD)]]/10000</f>
        <v>29.060600000000001</v>
      </c>
      <c r="I231">
        <f>Table_8[[#This Row],[Length 
(ft)]]</f>
        <v>42.5</v>
      </c>
      <c r="J231" s="37">
        <f>2020-Table_8[[#This Row],[Year]]</f>
        <v>7</v>
      </c>
      <c r="K231">
        <v>188925995936.80701</v>
      </c>
      <c r="L231">
        <v>17658.947301119199</v>
      </c>
      <c r="M231">
        <v>-1.2479835558140799</v>
      </c>
      <c r="N231">
        <v>-9.0040436420214593</v>
      </c>
      <c r="O231" s="39">
        <v>41.67</v>
      </c>
      <c r="P231" s="39">
        <v>1323</v>
      </c>
      <c r="Q231" s="39">
        <v>185</v>
      </c>
      <c r="R231" s="39">
        <v>23.79</v>
      </c>
    </row>
    <row r="232" spans="1:18" x14ac:dyDescent="0.25">
      <c r="A232" s="1" t="s">
        <v>442</v>
      </c>
      <c r="B232" s="2">
        <v>44</v>
      </c>
      <c r="C232" s="19">
        <v>42.5</v>
      </c>
      <c r="D232" s="3" t="s">
        <v>496</v>
      </c>
      <c r="E232" s="4" t="s">
        <v>18</v>
      </c>
      <c r="F232" s="23">
        <v>302766</v>
      </c>
      <c r="G232" s="35">
        <v>2013</v>
      </c>
      <c r="H232">
        <f>Table_8[[#This Row],[Listing Price (USD)]]/10000</f>
        <v>30.276599999999998</v>
      </c>
      <c r="I232">
        <f>Table_8[[#This Row],[Length 
(ft)]]</f>
        <v>42.5</v>
      </c>
      <c r="J232" s="37">
        <f>2020-Table_8[[#This Row],[Year]]</f>
        <v>7</v>
      </c>
      <c r="K232">
        <v>188925995936.80701</v>
      </c>
      <c r="L232">
        <v>17658.947301119199</v>
      </c>
      <c r="M232">
        <v>-1.2479835558140799</v>
      </c>
      <c r="N232">
        <v>-9.0040436420214593</v>
      </c>
      <c r="O232" s="39">
        <v>41.67</v>
      </c>
      <c r="P232" s="39">
        <v>1323</v>
      </c>
      <c r="Q232" s="39">
        <v>185</v>
      </c>
      <c r="R232" s="39">
        <v>23.79</v>
      </c>
    </row>
    <row r="233" spans="1:18" x14ac:dyDescent="0.25">
      <c r="A233" s="1" t="s">
        <v>444</v>
      </c>
      <c r="B233" s="2">
        <v>44</v>
      </c>
      <c r="C233" s="19">
        <v>44</v>
      </c>
      <c r="D233" s="3" t="s">
        <v>496</v>
      </c>
      <c r="E233" s="4" t="s">
        <v>18</v>
      </c>
      <c r="F233" s="23">
        <v>312493</v>
      </c>
      <c r="G233" s="35">
        <v>2008</v>
      </c>
      <c r="H233">
        <f>Table_8[[#This Row],[Listing Price (USD)]]/10000</f>
        <v>31.249300000000002</v>
      </c>
      <c r="I233">
        <f>Table_8[[#This Row],[Length 
(ft)]]</f>
        <v>44</v>
      </c>
      <c r="J233" s="37">
        <f>2020-Table_8[[#This Row],[Year]]</f>
        <v>12</v>
      </c>
      <c r="K233">
        <v>188925995936.80701</v>
      </c>
      <c r="L233">
        <v>17658.947301119199</v>
      </c>
      <c r="M233">
        <v>-1.2479835558140799</v>
      </c>
      <c r="N233">
        <v>-9.0040436420214593</v>
      </c>
      <c r="O233" s="39">
        <v>41.67</v>
      </c>
      <c r="P233" s="39">
        <v>1323</v>
      </c>
      <c r="Q233" s="39">
        <v>185</v>
      </c>
      <c r="R233" s="39">
        <v>23.79</v>
      </c>
    </row>
    <row r="234" spans="1:18" x14ac:dyDescent="0.25">
      <c r="A234" s="1" t="s">
        <v>442</v>
      </c>
      <c r="B234" s="2">
        <v>44</v>
      </c>
      <c r="C234" s="19">
        <v>42.5</v>
      </c>
      <c r="D234" s="3" t="s">
        <v>496</v>
      </c>
      <c r="E234" s="4" t="s">
        <v>18</v>
      </c>
      <c r="F234" s="23">
        <v>314925</v>
      </c>
      <c r="G234" s="35">
        <v>2014</v>
      </c>
      <c r="H234">
        <f>Table_8[[#This Row],[Listing Price (USD)]]/10000</f>
        <v>31.4925</v>
      </c>
      <c r="I234">
        <f>Table_8[[#This Row],[Length 
(ft)]]</f>
        <v>42.5</v>
      </c>
      <c r="J234" s="37">
        <f>2020-Table_8[[#This Row],[Year]]</f>
        <v>6</v>
      </c>
      <c r="K234">
        <v>188925995936.80701</v>
      </c>
      <c r="L234">
        <v>17658.947301119199</v>
      </c>
      <c r="M234">
        <v>-1.2479835558140799</v>
      </c>
      <c r="N234">
        <v>-9.0040436420214593</v>
      </c>
      <c r="O234" s="39">
        <v>41.67</v>
      </c>
      <c r="P234" s="39">
        <v>1323</v>
      </c>
      <c r="Q234" s="39">
        <v>185</v>
      </c>
      <c r="R234" s="39">
        <v>23.79</v>
      </c>
    </row>
    <row r="235" spans="1:18" x14ac:dyDescent="0.25">
      <c r="A235" s="1" t="s">
        <v>442</v>
      </c>
      <c r="B235" s="2">
        <v>44</v>
      </c>
      <c r="C235" s="19">
        <v>42.5</v>
      </c>
      <c r="D235" s="3" t="s">
        <v>497</v>
      </c>
      <c r="E235" s="3" t="s">
        <v>370</v>
      </c>
      <c r="F235" s="23">
        <v>315000</v>
      </c>
      <c r="G235" s="35">
        <v>2012</v>
      </c>
      <c r="H235">
        <f>Table_8[[#This Row],[Listing Price (USD)]]/10000</f>
        <v>31.5</v>
      </c>
      <c r="I235">
        <f>Table_8[[#This Row],[Length 
(ft)]]</f>
        <v>42.5</v>
      </c>
      <c r="J235" s="37">
        <f>2020-Table_8[[#This Row],[Year]]</f>
        <v>8</v>
      </c>
      <c r="K235">
        <v>500000000</v>
      </c>
      <c r="L235">
        <v>34200</v>
      </c>
      <c r="M235">
        <v>1.1000000000000001</v>
      </c>
      <c r="N235">
        <v>2</v>
      </c>
      <c r="O235" s="39">
        <v>41.67</v>
      </c>
      <c r="P235" s="39">
        <v>1323</v>
      </c>
      <c r="Q235" s="39">
        <v>185</v>
      </c>
      <c r="R235" s="39">
        <v>23.79</v>
      </c>
    </row>
    <row r="236" spans="1:18" x14ac:dyDescent="0.25">
      <c r="A236" s="1" t="s">
        <v>442</v>
      </c>
      <c r="B236" s="2">
        <v>44</v>
      </c>
      <c r="C236" s="19">
        <v>42.5</v>
      </c>
      <c r="D236" s="3" t="s">
        <v>497</v>
      </c>
      <c r="E236" s="3" t="s">
        <v>370</v>
      </c>
      <c r="F236" s="23">
        <v>329000</v>
      </c>
      <c r="G236" s="35">
        <v>2015</v>
      </c>
      <c r="H236">
        <f>Table_8[[#This Row],[Listing Price (USD)]]/10000</f>
        <v>32.9</v>
      </c>
      <c r="I236">
        <f>Table_8[[#This Row],[Length 
(ft)]]</f>
        <v>42.5</v>
      </c>
      <c r="J236" s="37">
        <f>2020-Table_8[[#This Row],[Year]]</f>
        <v>5</v>
      </c>
      <c r="K236">
        <v>500000000</v>
      </c>
      <c r="L236">
        <v>34200</v>
      </c>
      <c r="M236">
        <v>1.1000000000000001</v>
      </c>
      <c r="N236">
        <v>2</v>
      </c>
      <c r="O236" s="39">
        <v>41.67</v>
      </c>
      <c r="P236" s="39">
        <v>1323</v>
      </c>
      <c r="Q236" s="39">
        <v>185</v>
      </c>
      <c r="R236" s="39">
        <v>23.79</v>
      </c>
    </row>
    <row r="237" spans="1:18" x14ac:dyDescent="0.25">
      <c r="A237" s="1" t="s">
        <v>442</v>
      </c>
      <c r="B237" s="3">
        <v>44</v>
      </c>
      <c r="C237" s="19">
        <v>42.5</v>
      </c>
      <c r="D237" s="3" t="s">
        <v>497</v>
      </c>
      <c r="E237" s="3" t="s">
        <v>370</v>
      </c>
      <c r="F237" s="23">
        <v>329000</v>
      </c>
      <c r="G237" s="35">
        <v>2015</v>
      </c>
      <c r="H237">
        <f>Table_8[[#This Row],[Listing Price (USD)]]/10000</f>
        <v>32.9</v>
      </c>
      <c r="I237">
        <f>Table_8[[#This Row],[Length 
(ft)]]</f>
        <v>42.5</v>
      </c>
      <c r="J237" s="37">
        <f>2020-Table_8[[#This Row],[Year]]</f>
        <v>5</v>
      </c>
      <c r="K237">
        <v>500000000</v>
      </c>
      <c r="L237">
        <v>34200</v>
      </c>
      <c r="M237">
        <v>1.1000000000000001</v>
      </c>
      <c r="N237">
        <v>2</v>
      </c>
      <c r="O237" s="39">
        <v>41.67</v>
      </c>
      <c r="P237" s="39">
        <v>1323</v>
      </c>
      <c r="Q237" s="39">
        <v>185</v>
      </c>
      <c r="R237" s="39">
        <v>23.79</v>
      </c>
    </row>
    <row r="238" spans="1:18" x14ac:dyDescent="0.25">
      <c r="A238" s="1" t="s">
        <v>442</v>
      </c>
      <c r="B238" s="2">
        <v>44</v>
      </c>
      <c r="C238" s="19">
        <v>42.5</v>
      </c>
      <c r="D238" s="3" t="s">
        <v>496</v>
      </c>
      <c r="E238" s="4" t="s">
        <v>18</v>
      </c>
      <c r="F238" s="23">
        <v>338636</v>
      </c>
      <c r="G238" s="35">
        <v>2015</v>
      </c>
      <c r="H238">
        <f>Table_8[[#This Row],[Listing Price (USD)]]/10000</f>
        <v>33.863599999999998</v>
      </c>
      <c r="I238">
        <f>Table_8[[#This Row],[Length 
(ft)]]</f>
        <v>42.5</v>
      </c>
      <c r="J238" s="37">
        <f>2020-Table_8[[#This Row],[Year]]</f>
        <v>5</v>
      </c>
      <c r="K238">
        <v>188925995936.80701</v>
      </c>
      <c r="L238">
        <v>17658.947301119199</v>
      </c>
      <c r="M238">
        <v>-1.2479835558140799</v>
      </c>
      <c r="N238">
        <v>-9.0040436420214593</v>
      </c>
      <c r="O238" s="39">
        <v>41.67</v>
      </c>
      <c r="P238" s="39">
        <v>1323</v>
      </c>
      <c r="Q238" s="39">
        <v>185</v>
      </c>
      <c r="R238" s="39">
        <v>23.79</v>
      </c>
    </row>
    <row r="239" spans="1:18" x14ac:dyDescent="0.25">
      <c r="A239" s="1" t="s">
        <v>442</v>
      </c>
      <c r="B239" s="2">
        <v>44</v>
      </c>
      <c r="C239" s="19">
        <v>42.5</v>
      </c>
      <c r="D239" s="3" t="s">
        <v>497</v>
      </c>
      <c r="E239" s="3" t="s">
        <v>556</v>
      </c>
      <c r="F239" s="23">
        <v>339000</v>
      </c>
      <c r="G239" s="35">
        <v>2011</v>
      </c>
      <c r="H239">
        <f>Table_8[[#This Row],[Listing Price (USD)]]/10000</f>
        <v>33.9</v>
      </c>
      <c r="I239">
        <f>Table_8[[#This Row],[Length 
(ft)]]</f>
        <v>42.5</v>
      </c>
      <c r="J239" s="37">
        <f>2020-Table_8[[#This Row],[Year]]</f>
        <v>9</v>
      </c>
      <c r="K239">
        <v>884525926</v>
      </c>
      <c r="M239">
        <v>3</v>
      </c>
      <c r="N239">
        <v>-14.5</v>
      </c>
      <c r="O239" s="39">
        <v>41.67</v>
      </c>
      <c r="P239" s="39">
        <v>1323</v>
      </c>
      <c r="Q239" s="39">
        <v>185</v>
      </c>
      <c r="R239" s="39">
        <v>23.79</v>
      </c>
    </row>
    <row r="240" spans="1:18" x14ac:dyDescent="0.25">
      <c r="A240" s="1" t="s">
        <v>442</v>
      </c>
      <c r="B240" s="3">
        <v>44</v>
      </c>
      <c r="C240" s="19">
        <v>42.5</v>
      </c>
      <c r="D240" s="3" t="s">
        <v>497</v>
      </c>
      <c r="E240" s="3" t="s">
        <v>556</v>
      </c>
      <c r="F240" s="23">
        <v>339000</v>
      </c>
      <c r="G240" s="35">
        <v>2011</v>
      </c>
      <c r="H240">
        <f>Table_8[[#This Row],[Listing Price (USD)]]/10000</f>
        <v>33.9</v>
      </c>
      <c r="I240">
        <f>Table_8[[#This Row],[Length 
(ft)]]</f>
        <v>42.5</v>
      </c>
      <c r="J240" s="37">
        <f>2020-Table_8[[#This Row],[Year]]</f>
        <v>9</v>
      </c>
      <c r="K240">
        <v>884525926</v>
      </c>
      <c r="M240">
        <v>3</v>
      </c>
      <c r="N240">
        <v>-14.5</v>
      </c>
      <c r="O240" s="39">
        <v>41.67</v>
      </c>
      <c r="P240" s="39">
        <v>1323</v>
      </c>
      <c r="Q240" s="39">
        <v>185</v>
      </c>
      <c r="R240" s="39">
        <v>23.79</v>
      </c>
    </row>
    <row r="241" spans="1:18" x14ac:dyDescent="0.25">
      <c r="A241" s="1" t="s">
        <v>442</v>
      </c>
      <c r="B241" s="2">
        <v>44</v>
      </c>
      <c r="C241" s="19">
        <v>42.5</v>
      </c>
      <c r="D241" s="3" t="s">
        <v>497</v>
      </c>
      <c r="E241" s="3" t="s">
        <v>525</v>
      </c>
      <c r="F241" s="23">
        <v>339000</v>
      </c>
      <c r="G241" s="35">
        <v>2011</v>
      </c>
      <c r="H241">
        <f>Table_8[[#This Row],[Listing Price (USD)]]/10000</f>
        <v>33.9</v>
      </c>
      <c r="I241">
        <f>Table_8[[#This Row],[Length 
(ft)]]</f>
        <v>42.5</v>
      </c>
      <c r="J241" s="37">
        <f>2020-Table_8[[#This Row],[Year]]</f>
        <v>9</v>
      </c>
      <c r="K241">
        <v>4200000000</v>
      </c>
      <c r="L241">
        <v>39553.199999999997</v>
      </c>
      <c r="M241">
        <v>4.0999999999999996</v>
      </c>
      <c r="N241">
        <v>-2.1</v>
      </c>
      <c r="O241" s="39">
        <v>41.67</v>
      </c>
      <c r="P241" s="39">
        <v>1323</v>
      </c>
      <c r="Q241" s="39">
        <v>185</v>
      </c>
      <c r="R241" s="39">
        <v>23.79</v>
      </c>
    </row>
    <row r="242" spans="1:18" x14ac:dyDescent="0.25">
      <c r="A242" s="1" t="s">
        <v>442</v>
      </c>
      <c r="B242" s="3">
        <v>44</v>
      </c>
      <c r="C242" s="19">
        <v>42.5</v>
      </c>
      <c r="D242" s="3" t="s">
        <v>497</v>
      </c>
      <c r="E242" s="3" t="s">
        <v>525</v>
      </c>
      <c r="F242" s="23">
        <v>339000</v>
      </c>
      <c r="G242" s="35">
        <v>2011</v>
      </c>
      <c r="H242">
        <f>Table_8[[#This Row],[Listing Price (USD)]]/10000</f>
        <v>33.9</v>
      </c>
      <c r="I242">
        <f>Table_8[[#This Row],[Length 
(ft)]]</f>
        <v>42.5</v>
      </c>
      <c r="J242" s="37">
        <f>2020-Table_8[[#This Row],[Year]]</f>
        <v>9</v>
      </c>
      <c r="K242">
        <v>4200000000</v>
      </c>
      <c r="L242">
        <v>39553.199999999997</v>
      </c>
      <c r="M242">
        <v>4.0999999999999996</v>
      </c>
      <c r="N242">
        <v>-2.1</v>
      </c>
      <c r="O242" s="39">
        <v>41.67</v>
      </c>
      <c r="P242" s="39">
        <v>1323</v>
      </c>
      <c r="Q242" s="39">
        <v>185</v>
      </c>
      <c r="R242" s="39">
        <v>23.79</v>
      </c>
    </row>
    <row r="243" spans="1:18" x14ac:dyDescent="0.25">
      <c r="A243" s="1" t="s">
        <v>442</v>
      </c>
      <c r="B243" s="2">
        <v>44</v>
      </c>
      <c r="C243" s="19">
        <v>42.5</v>
      </c>
      <c r="D243" s="3" t="s">
        <v>497</v>
      </c>
      <c r="E243" s="3" t="s">
        <v>370</v>
      </c>
      <c r="F243" s="23">
        <v>339000</v>
      </c>
      <c r="G243" s="35">
        <v>2015</v>
      </c>
      <c r="H243">
        <f>Table_8[[#This Row],[Listing Price (USD)]]/10000</f>
        <v>33.9</v>
      </c>
      <c r="I243">
        <f>Table_8[[#This Row],[Length 
(ft)]]</f>
        <v>42.5</v>
      </c>
      <c r="J243" s="37">
        <f>2020-Table_8[[#This Row],[Year]]</f>
        <v>5</v>
      </c>
      <c r="K243">
        <v>500000000</v>
      </c>
      <c r="L243">
        <v>34200</v>
      </c>
      <c r="M243">
        <v>1.1000000000000001</v>
      </c>
      <c r="N243">
        <v>2</v>
      </c>
      <c r="O243" s="39">
        <v>41.67</v>
      </c>
      <c r="P243" s="39">
        <v>1323</v>
      </c>
      <c r="Q243" s="39">
        <v>185</v>
      </c>
      <c r="R243" s="39">
        <v>23.79</v>
      </c>
    </row>
    <row r="244" spans="1:18" x14ac:dyDescent="0.25">
      <c r="A244" s="1" t="s">
        <v>442</v>
      </c>
      <c r="B244" s="3">
        <v>44</v>
      </c>
      <c r="C244" s="19">
        <v>42.5</v>
      </c>
      <c r="D244" s="3" t="s">
        <v>497</v>
      </c>
      <c r="E244" s="3" t="s">
        <v>370</v>
      </c>
      <c r="F244" s="23">
        <v>339000</v>
      </c>
      <c r="G244" s="35">
        <v>2015</v>
      </c>
      <c r="H244">
        <f>Table_8[[#This Row],[Listing Price (USD)]]/10000</f>
        <v>33.9</v>
      </c>
      <c r="I244">
        <f>Table_8[[#This Row],[Length 
(ft)]]</f>
        <v>42.5</v>
      </c>
      <c r="J244" s="37">
        <f>2020-Table_8[[#This Row],[Year]]</f>
        <v>5</v>
      </c>
      <c r="K244">
        <v>500000000</v>
      </c>
      <c r="L244">
        <v>34200</v>
      </c>
      <c r="M244">
        <v>1.1000000000000001</v>
      </c>
      <c r="N244">
        <v>2</v>
      </c>
      <c r="O244" s="39">
        <v>41.67</v>
      </c>
      <c r="P244" s="39">
        <v>1323</v>
      </c>
      <c r="Q244" s="39">
        <v>185</v>
      </c>
      <c r="R244" s="39">
        <v>23.79</v>
      </c>
    </row>
    <row r="245" spans="1:18" x14ac:dyDescent="0.25">
      <c r="A245" s="1" t="s">
        <v>442</v>
      </c>
      <c r="B245" s="2">
        <v>44</v>
      </c>
      <c r="C245" s="19">
        <v>42.5</v>
      </c>
      <c r="D245" s="3" t="s">
        <v>497</v>
      </c>
      <c r="E245" s="3" t="s">
        <v>508</v>
      </c>
      <c r="F245" s="23">
        <v>339999</v>
      </c>
      <c r="G245" s="35">
        <v>2015</v>
      </c>
      <c r="H245">
        <f>Table_8[[#This Row],[Listing Price (USD)]]/10000</f>
        <v>33.999899999999997</v>
      </c>
      <c r="I245">
        <f>Table_8[[#This Row],[Length 
(ft)]]</f>
        <v>42.5</v>
      </c>
      <c r="J245" s="37">
        <f>2020-Table_8[[#This Row],[Year]]</f>
        <v>5</v>
      </c>
      <c r="K245">
        <v>9700000000</v>
      </c>
      <c r="L245">
        <v>26659</v>
      </c>
      <c r="M245">
        <v>-3.5</v>
      </c>
      <c r="N245">
        <v>-24.2</v>
      </c>
      <c r="O245" s="39">
        <v>41.67</v>
      </c>
      <c r="P245" s="39">
        <v>1323</v>
      </c>
      <c r="Q245" s="39">
        <v>185</v>
      </c>
      <c r="R245" s="39">
        <v>23.79</v>
      </c>
    </row>
    <row r="246" spans="1:18" x14ac:dyDescent="0.25">
      <c r="A246" s="1" t="s">
        <v>442</v>
      </c>
      <c r="B246" s="3">
        <v>44</v>
      </c>
      <c r="C246" s="19">
        <v>42.5</v>
      </c>
      <c r="D246" s="3" t="s">
        <v>497</v>
      </c>
      <c r="E246" s="3" t="s">
        <v>370</v>
      </c>
      <c r="F246" s="23">
        <v>349000</v>
      </c>
      <c r="G246" s="35">
        <v>2015</v>
      </c>
      <c r="H246">
        <f>Table_8[[#This Row],[Listing Price (USD)]]/10000</f>
        <v>34.9</v>
      </c>
      <c r="I246">
        <f>Table_8[[#This Row],[Length 
(ft)]]</f>
        <v>42.5</v>
      </c>
      <c r="J246" s="37">
        <f>2020-Table_8[[#This Row],[Year]]</f>
        <v>5</v>
      </c>
      <c r="K246">
        <v>500000000</v>
      </c>
      <c r="L246">
        <v>34200</v>
      </c>
      <c r="M246">
        <v>1.1000000000000001</v>
      </c>
      <c r="N246">
        <v>2</v>
      </c>
      <c r="O246" s="39">
        <v>41.67</v>
      </c>
      <c r="P246" s="39">
        <v>1323</v>
      </c>
      <c r="Q246" s="39">
        <v>185</v>
      </c>
      <c r="R246" s="39">
        <v>23.79</v>
      </c>
    </row>
    <row r="247" spans="1:18" x14ac:dyDescent="0.25">
      <c r="A247" s="1" t="s">
        <v>442</v>
      </c>
      <c r="B247" s="2">
        <v>44</v>
      </c>
      <c r="C247" s="19">
        <v>42.5</v>
      </c>
      <c r="D247" s="3" t="s">
        <v>497</v>
      </c>
      <c r="E247" s="3" t="s">
        <v>370</v>
      </c>
      <c r="F247" s="23">
        <v>350000</v>
      </c>
      <c r="G247" s="35">
        <v>2012</v>
      </c>
      <c r="H247">
        <f>Table_8[[#This Row],[Listing Price (USD)]]/10000</f>
        <v>35</v>
      </c>
      <c r="I247">
        <f>Table_8[[#This Row],[Length 
(ft)]]</f>
        <v>42.5</v>
      </c>
      <c r="J247" s="37">
        <f>2020-Table_8[[#This Row],[Year]]</f>
        <v>8</v>
      </c>
      <c r="K247">
        <v>500000000</v>
      </c>
      <c r="L247">
        <v>34200</v>
      </c>
      <c r="M247">
        <v>1.1000000000000001</v>
      </c>
      <c r="N247">
        <v>2</v>
      </c>
      <c r="O247" s="39">
        <v>41.67</v>
      </c>
      <c r="P247" s="39">
        <v>1323</v>
      </c>
      <c r="Q247" s="39">
        <v>185</v>
      </c>
      <c r="R247" s="39">
        <v>23.79</v>
      </c>
    </row>
    <row r="248" spans="1:18" x14ac:dyDescent="0.25">
      <c r="A248" s="1" t="s">
        <v>442</v>
      </c>
      <c r="B248" s="3">
        <v>44</v>
      </c>
      <c r="C248" s="19">
        <v>42.5</v>
      </c>
      <c r="D248" s="3" t="s">
        <v>497</v>
      </c>
      <c r="E248" s="3" t="s">
        <v>370</v>
      </c>
      <c r="F248" s="23">
        <v>350000</v>
      </c>
      <c r="G248" s="35">
        <v>2012</v>
      </c>
      <c r="H248">
        <f>Table_8[[#This Row],[Listing Price (USD)]]/10000</f>
        <v>35</v>
      </c>
      <c r="I248">
        <f>Table_8[[#This Row],[Length 
(ft)]]</f>
        <v>42.5</v>
      </c>
      <c r="J248" s="37">
        <f>2020-Table_8[[#This Row],[Year]]</f>
        <v>8</v>
      </c>
      <c r="K248">
        <v>500000000</v>
      </c>
      <c r="L248">
        <v>34200</v>
      </c>
      <c r="M248">
        <v>1.1000000000000001</v>
      </c>
      <c r="N248">
        <v>2</v>
      </c>
      <c r="O248" s="39">
        <v>41.67</v>
      </c>
      <c r="P248" s="39">
        <v>1323</v>
      </c>
      <c r="Q248" s="39">
        <v>185</v>
      </c>
      <c r="R248" s="39">
        <v>23.79</v>
      </c>
    </row>
    <row r="249" spans="1:18" x14ac:dyDescent="0.25">
      <c r="A249" s="1" t="s">
        <v>442</v>
      </c>
      <c r="B249" s="3">
        <v>44</v>
      </c>
      <c r="C249" s="19">
        <v>42.5</v>
      </c>
      <c r="D249" s="3" t="s">
        <v>497</v>
      </c>
      <c r="E249" s="3" t="s">
        <v>511</v>
      </c>
      <c r="F249" s="23">
        <v>359000</v>
      </c>
      <c r="G249" s="35">
        <v>2015</v>
      </c>
      <c r="H249">
        <f>Table_8[[#This Row],[Listing Price (USD)]]/10000</f>
        <v>35.9</v>
      </c>
      <c r="I249">
        <f>Table_8[[#This Row],[Length 
(ft)]]</f>
        <v>42.5</v>
      </c>
      <c r="J249" s="37">
        <f>2020-Table_8[[#This Row],[Year]]</f>
        <v>5</v>
      </c>
      <c r="K249">
        <v>681973374534.10596</v>
      </c>
      <c r="L249">
        <v>27575.495000325591</v>
      </c>
      <c r="M249">
        <v>0.8848420113691905</v>
      </c>
      <c r="N249">
        <v>-6.3525291034127971</v>
      </c>
      <c r="O249" s="39">
        <v>41.67</v>
      </c>
      <c r="P249" s="39">
        <v>1323</v>
      </c>
      <c r="Q249" s="39">
        <v>185</v>
      </c>
      <c r="R249" s="39">
        <v>23.79</v>
      </c>
    </row>
    <row r="250" spans="1:18" x14ac:dyDescent="0.25">
      <c r="A250" s="1" t="s">
        <v>442</v>
      </c>
      <c r="B250" s="2">
        <v>44</v>
      </c>
      <c r="C250" s="19">
        <v>42.5</v>
      </c>
      <c r="D250" s="3" t="s">
        <v>496</v>
      </c>
      <c r="E250" s="4" t="s">
        <v>31</v>
      </c>
      <c r="F250" s="23">
        <v>362911</v>
      </c>
      <c r="G250" s="35">
        <v>2014</v>
      </c>
      <c r="H250">
        <f>Table_8[[#This Row],[Listing Price (USD)]]/10000</f>
        <v>36.2911</v>
      </c>
      <c r="I250">
        <f>Table_8[[#This Row],[Length 
(ft)]]</f>
        <v>42.5</v>
      </c>
      <c r="J250" s="37">
        <f>2020-Table_8[[#This Row],[Year]]</f>
        <v>6</v>
      </c>
      <c r="K250">
        <v>57472012426.685303</v>
      </c>
      <c r="L250">
        <v>14198.753959474399</v>
      </c>
      <c r="M250">
        <v>0.15481137456202801</v>
      </c>
      <c r="N250">
        <v>-8.5803430210621805</v>
      </c>
      <c r="O250" s="39">
        <v>41.67</v>
      </c>
      <c r="P250" s="39">
        <v>1323</v>
      </c>
      <c r="Q250" s="39">
        <v>185</v>
      </c>
      <c r="R250" s="39">
        <v>23.79</v>
      </c>
    </row>
    <row r="251" spans="1:18" x14ac:dyDescent="0.25">
      <c r="A251" s="1" t="s">
        <v>442</v>
      </c>
      <c r="B251" s="2">
        <v>44</v>
      </c>
      <c r="C251" s="19">
        <v>42.5</v>
      </c>
      <c r="D251" s="3" t="s">
        <v>496</v>
      </c>
      <c r="E251" s="4" t="s">
        <v>31</v>
      </c>
      <c r="F251" s="23">
        <v>363145</v>
      </c>
      <c r="G251" s="35">
        <v>2014</v>
      </c>
      <c r="H251">
        <f>Table_8[[#This Row],[Listing Price (USD)]]/10000</f>
        <v>36.314500000000002</v>
      </c>
      <c r="I251">
        <f>Table_8[[#This Row],[Length 
(ft)]]</f>
        <v>42.5</v>
      </c>
      <c r="J251" s="37">
        <f>2020-Table_8[[#This Row],[Year]]</f>
        <v>6</v>
      </c>
      <c r="K251">
        <v>57472012426.685303</v>
      </c>
      <c r="L251">
        <v>14198.753959474399</v>
      </c>
      <c r="M251">
        <v>0.15481137456202801</v>
      </c>
      <c r="N251">
        <v>-8.5803430210621805</v>
      </c>
      <c r="O251" s="39">
        <v>41.67</v>
      </c>
      <c r="P251" s="39">
        <v>1323</v>
      </c>
      <c r="Q251" s="39">
        <v>185</v>
      </c>
      <c r="R251" s="39">
        <v>23.79</v>
      </c>
    </row>
    <row r="252" spans="1:18" x14ac:dyDescent="0.25">
      <c r="A252" s="1" t="s">
        <v>442</v>
      </c>
      <c r="B252" s="3">
        <v>44</v>
      </c>
      <c r="C252" s="19">
        <v>42.5</v>
      </c>
      <c r="D252" s="3" t="s">
        <v>497</v>
      </c>
      <c r="E252" s="3" t="s">
        <v>370</v>
      </c>
      <c r="F252" s="23">
        <v>389000</v>
      </c>
      <c r="G252" s="35">
        <v>2016</v>
      </c>
      <c r="H252">
        <f>Table_8[[#This Row],[Listing Price (USD)]]/10000</f>
        <v>38.9</v>
      </c>
      <c r="I252">
        <f>Table_8[[#This Row],[Length 
(ft)]]</f>
        <v>42.5</v>
      </c>
      <c r="J252" s="37">
        <f>2020-Table_8[[#This Row],[Year]]</f>
        <v>4</v>
      </c>
      <c r="K252">
        <v>500000000</v>
      </c>
      <c r="L252">
        <v>34200</v>
      </c>
      <c r="M252">
        <v>1.1000000000000001</v>
      </c>
      <c r="N252">
        <v>2</v>
      </c>
      <c r="O252" s="39">
        <v>41.67</v>
      </c>
      <c r="P252" s="39">
        <v>1323</v>
      </c>
      <c r="Q252" s="39">
        <v>185</v>
      </c>
      <c r="R252" s="39">
        <v>23.79</v>
      </c>
    </row>
    <row r="253" spans="1:18" x14ac:dyDescent="0.25">
      <c r="A253" s="1" t="s">
        <v>442</v>
      </c>
      <c r="B253" s="2">
        <v>44</v>
      </c>
      <c r="C253" s="19">
        <v>42.5</v>
      </c>
      <c r="D253" s="3" t="s">
        <v>495</v>
      </c>
      <c r="E253" s="3" t="s">
        <v>333</v>
      </c>
      <c r="F253" s="23">
        <v>459000</v>
      </c>
      <c r="G253" s="35">
        <v>2011</v>
      </c>
      <c r="H253">
        <f>Table_8[[#This Row],[Listing Price (USD)]]/10000</f>
        <v>45.9</v>
      </c>
      <c r="I253">
        <f>Table_8[[#This Row],[Length 
(ft)]]</f>
        <v>42.5</v>
      </c>
      <c r="J253" s="37">
        <f>2020-Table_8[[#This Row],[Year]]</f>
        <v>9</v>
      </c>
      <c r="K253">
        <v>1106036000000</v>
      </c>
      <c r="L253">
        <v>51276.72</v>
      </c>
      <c r="M253">
        <v>1.23</v>
      </c>
      <c r="N253">
        <v>2.9</v>
      </c>
      <c r="O253" s="39">
        <v>41.67</v>
      </c>
      <c r="P253" s="39">
        <v>1323</v>
      </c>
      <c r="Q253" s="39">
        <v>185</v>
      </c>
      <c r="R253" s="39">
        <v>23.79</v>
      </c>
    </row>
    <row r="254" spans="1:18" x14ac:dyDescent="0.25">
      <c r="A254" s="1" t="s">
        <v>442</v>
      </c>
      <c r="B254" s="2">
        <v>44</v>
      </c>
      <c r="C254" s="19">
        <v>42.5</v>
      </c>
      <c r="D254" s="3" t="s">
        <v>495</v>
      </c>
      <c r="E254" s="3" t="s">
        <v>333</v>
      </c>
      <c r="F254" s="23">
        <v>459000</v>
      </c>
      <c r="G254" s="35">
        <v>2011</v>
      </c>
      <c r="H254">
        <f>Table_8[[#This Row],[Listing Price (USD)]]/10000</f>
        <v>45.9</v>
      </c>
      <c r="I254">
        <f>Table_8[[#This Row],[Length 
(ft)]]</f>
        <v>42.5</v>
      </c>
      <c r="J254" s="37">
        <f>2020-Table_8[[#This Row],[Year]]</f>
        <v>9</v>
      </c>
      <c r="K254">
        <v>1106036000000</v>
      </c>
      <c r="L254">
        <v>51276.72</v>
      </c>
      <c r="M254">
        <v>1.23</v>
      </c>
      <c r="N254">
        <v>2.9</v>
      </c>
      <c r="O254" s="39">
        <v>41.67</v>
      </c>
      <c r="P254" s="39">
        <v>1323</v>
      </c>
      <c r="Q254" s="39">
        <v>185</v>
      </c>
      <c r="R254" s="39">
        <v>23.79</v>
      </c>
    </row>
    <row r="255" spans="1:18" x14ac:dyDescent="0.25">
      <c r="A255" s="1" t="s">
        <v>442</v>
      </c>
      <c r="B255" s="2">
        <v>44</v>
      </c>
      <c r="C255" s="19">
        <v>42.5</v>
      </c>
      <c r="D255" s="3" t="s">
        <v>495</v>
      </c>
      <c r="E255" s="3" t="s">
        <v>333</v>
      </c>
      <c r="F255" s="23">
        <v>567000</v>
      </c>
      <c r="G255" s="35">
        <v>2015</v>
      </c>
      <c r="H255">
        <f>Table_8[[#This Row],[Listing Price (USD)]]/10000</f>
        <v>56.7</v>
      </c>
      <c r="I255">
        <f>Table_8[[#This Row],[Length 
(ft)]]</f>
        <v>42.5</v>
      </c>
      <c r="J255" s="37">
        <f>2020-Table_8[[#This Row],[Year]]</f>
        <v>5</v>
      </c>
      <c r="K255">
        <v>1106036000000</v>
      </c>
      <c r="L255">
        <v>51276.72</v>
      </c>
      <c r="M255">
        <v>1.23</v>
      </c>
      <c r="N255">
        <v>2.9</v>
      </c>
      <c r="O255" s="39">
        <v>41.67</v>
      </c>
      <c r="P255" s="39">
        <v>1323</v>
      </c>
      <c r="Q255" s="39">
        <v>185</v>
      </c>
      <c r="R255" s="39">
        <v>23.79</v>
      </c>
    </row>
    <row r="256" spans="1:18" x14ac:dyDescent="0.25">
      <c r="A256" s="1" t="s">
        <v>443</v>
      </c>
      <c r="B256" s="2">
        <v>44</v>
      </c>
      <c r="C256" s="19">
        <v>42.5</v>
      </c>
      <c r="D256" s="3" t="s">
        <v>495</v>
      </c>
      <c r="E256" s="3" t="s">
        <v>333</v>
      </c>
      <c r="F256" s="23">
        <v>567000</v>
      </c>
      <c r="G256" s="35">
        <v>2015</v>
      </c>
      <c r="H256">
        <f>Table_8[[#This Row],[Listing Price (USD)]]/10000</f>
        <v>56.7</v>
      </c>
      <c r="I256">
        <f>Table_8[[#This Row],[Length 
(ft)]]</f>
        <v>42.5</v>
      </c>
      <c r="J256" s="37">
        <f>2020-Table_8[[#This Row],[Year]]</f>
        <v>5</v>
      </c>
      <c r="K256">
        <v>1106036000000</v>
      </c>
      <c r="L256">
        <v>51276.72</v>
      </c>
      <c r="M256">
        <v>1.23</v>
      </c>
      <c r="N256">
        <v>2.9</v>
      </c>
      <c r="O256" s="39">
        <v>41.67</v>
      </c>
      <c r="P256" s="39">
        <v>1323</v>
      </c>
      <c r="Q256" s="39">
        <v>185</v>
      </c>
      <c r="R256" s="39">
        <v>23.79</v>
      </c>
    </row>
    <row r="257" spans="1:18" x14ac:dyDescent="0.25">
      <c r="A257" s="1" t="s">
        <v>442</v>
      </c>
      <c r="B257" s="2">
        <v>44</v>
      </c>
      <c r="C257" s="19">
        <v>42.5</v>
      </c>
      <c r="D257" s="3" t="s">
        <v>495</v>
      </c>
      <c r="E257" s="3" t="s">
        <v>333</v>
      </c>
      <c r="F257" s="23">
        <v>569000</v>
      </c>
      <c r="G257" s="35">
        <v>2015</v>
      </c>
      <c r="H257">
        <f>Table_8[[#This Row],[Listing Price (USD)]]/10000</f>
        <v>56.9</v>
      </c>
      <c r="I257">
        <f>Table_8[[#This Row],[Length 
(ft)]]</f>
        <v>42.5</v>
      </c>
      <c r="J257" s="37">
        <f>2020-Table_8[[#This Row],[Year]]</f>
        <v>5</v>
      </c>
      <c r="K257">
        <v>1106036000000</v>
      </c>
      <c r="L257">
        <v>51276.72</v>
      </c>
      <c r="M257">
        <v>1.23</v>
      </c>
      <c r="N257">
        <v>2.9</v>
      </c>
      <c r="O257" s="39">
        <v>41.67</v>
      </c>
      <c r="P257" s="39">
        <v>1323</v>
      </c>
      <c r="Q257" s="39">
        <v>185</v>
      </c>
      <c r="R257" s="39">
        <v>23.79</v>
      </c>
    </row>
    <row r="258" spans="1:18" x14ac:dyDescent="0.25">
      <c r="A258" s="1" t="s">
        <v>443</v>
      </c>
      <c r="B258" s="2">
        <v>44</v>
      </c>
      <c r="C258" s="19">
        <v>42.5</v>
      </c>
      <c r="D258" s="3" t="s">
        <v>495</v>
      </c>
      <c r="E258" s="3" t="s">
        <v>333</v>
      </c>
      <c r="F258" s="23">
        <v>569000</v>
      </c>
      <c r="G258" s="35">
        <v>2015</v>
      </c>
      <c r="H258">
        <f>Table_8[[#This Row],[Listing Price (USD)]]/10000</f>
        <v>56.9</v>
      </c>
      <c r="I258">
        <f>Table_8[[#This Row],[Length 
(ft)]]</f>
        <v>42.5</v>
      </c>
      <c r="J258" s="37">
        <f>2020-Table_8[[#This Row],[Year]]</f>
        <v>5</v>
      </c>
      <c r="K258">
        <v>1106036000000</v>
      </c>
      <c r="L258">
        <v>51276.72</v>
      </c>
      <c r="M258">
        <v>1.23</v>
      </c>
      <c r="N258">
        <v>2.9</v>
      </c>
      <c r="O258" s="39">
        <v>41.67</v>
      </c>
      <c r="P258" s="39">
        <v>1323</v>
      </c>
      <c r="Q258" s="39">
        <v>185</v>
      </c>
      <c r="R258" s="39">
        <v>23.79</v>
      </c>
    </row>
    <row r="259" spans="1:18" x14ac:dyDescent="0.25">
      <c r="A259" s="1" t="s">
        <v>442</v>
      </c>
      <c r="B259" s="2">
        <v>45</v>
      </c>
      <c r="C259" s="19">
        <v>45</v>
      </c>
      <c r="D259" s="3" t="s">
        <v>496</v>
      </c>
      <c r="E259" s="4" t="s">
        <v>63</v>
      </c>
      <c r="F259" s="23">
        <v>449000</v>
      </c>
      <c r="G259" s="35">
        <v>2017</v>
      </c>
      <c r="H259">
        <f>Table_8[[#This Row],[Listing Price (USD)]]/10000</f>
        <v>44.9</v>
      </c>
      <c r="I259">
        <f>Table_8[[#This Row],[Length 
(ft)]]</f>
        <v>45</v>
      </c>
      <c r="J259" s="37">
        <f>2020-Table_8[[#This Row],[Year]]</f>
        <v>3</v>
      </c>
      <c r="K259">
        <v>720290000000</v>
      </c>
      <c r="L259">
        <v>13341.6</v>
      </c>
      <c r="M259">
        <v>13</v>
      </c>
      <c r="N259">
        <v>-3</v>
      </c>
      <c r="O259" s="39">
        <v>42.92</v>
      </c>
      <c r="P259" s="40">
        <v>1184</v>
      </c>
      <c r="Q259" s="39">
        <v>185</v>
      </c>
      <c r="R259" s="39">
        <v>24.17</v>
      </c>
    </row>
    <row r="260" spans="1:18" x14ac:dyDescent="0.25">
      <c r="A260" s="1" t="s">
        <v>442</v>
      </c>
      <c r="B260" s="2">
        <v>45</v>
      </c>
      <c r="C260" s="19">
        <v>45</v>
      </c>
      <c r="D260" s="3" t="s">
        <v>496</v>
      </c>
      <c r="E260" s="4" t="s">
        <v>63</v>
      </c>
      <c r="F260" s="23">
        <v>449000</v>
      </c>
      <c r="G260" s="35">
        <v>2017</v>
      </c>
      <c r="H260">
        <f>Table_8[[#This Row],[Listing Price (USD)]]/10000</f>
        <v>44.9</v>
      </c>
      <c r="I260">
        <f>Table_8[[#This Row],[Length 
(ft)]]</f>
        <v>45</v>
      </c>
      <c r="J260" s="37">
        <f>2020-Table_8[[#This Row],[Year]]</f>
        <v>3</v>
      </c>
      <c r="K260">
        <v>720290000000</v>
      </c>
      <c r="L260">
        <v>13341.6</v>
      </c>
      <c r="M260">
        <v>13</v>
      </c>
      <c r="N260">
        <v>-3</v>
      </c>
      <c r="O260" s="39">
        <v>42.92</v>
      </c>
      <c r="P260" s="40">
        <v>1184</v>
      </c>
      <c r="Q260" s="39">
        <v>185</v>
      </c>
      <c r="R260" s="39">
        <v>24.17</v>
      </c>
    </row>
    <row r="261" spans="1:18" x14ac:dyDescent="0.25">
      <c r="A261" s="1" t="s">
        <v>442</v>
      </c>
      <c r="B261" s="2">
        <v>45</v>
      </c>
      <c r="C261" s="19">
        <v>45</v>
      </c>
      <c r="D261" s="3" t="s">
        <v>495</v>
      </c>
      <c r="E261" s="3" t="s">
        <v>333</v>
      </c>
      <c r="F261" s="23">
        <v>689000</v>
      </c>
      <c r="G261" s="35">
        <v>2019</v>
      </c>
      <c r="H261">
        <f>Table_8[[#This Row],[Listing Price (USD)]]/10000</f>
        <v>68.900000000000006</v>
      </c>
      <c r="I261">
        <f>Table_8[[#This Row],[Length 
(ft)]]</f>
        <v>45</v>
      </c>
      <c r="J261" s="37">
        <f>2020-Table_8[[#This Row],[Year]]</f>
        <v>1</v>
      </c>
      <c r="K261">
        <v>1106036000000</v>
      </c>
      <c r="L261">
        <v>51276.72</v>
      </c>
      <c r="M261">
        <v>1.23</v>
      </c>
      <c r="N261">
        <v>2.9</v>
      </c>
      <c r="O261" s="39">
        <v>42.92</v>
      </c>
      <c r="P261" s="40">
        <v>1184</v>
      </c>
      <c r="Q261" s="39">
        <v>185</v>
      </c>
      <c r="R261" s="39">
        <v>24.17</v>
      </c>
    </row>
    <row r="262" spans="1:18" x14ac:dyDescent="0.25">
      <c r="A262" s="1" t="s">
        <v>443</v>
      </c>
      <c r="B262" s="2">
        <v>45</v>
      </c>
      <c r="C262" s="19">
        <v>45</v>
      </c>
      <c r="D262" s="3" t="s">
        <v>495</v>
      </c>
      <c r="E262" s="3" t="s">
        <v>333</v>
      </c>
      <c r="F262" s="23">
        <v>689000</v>
      </c>
      <c r="G262" s="35">
        <v>2019</v>
      </c>
      <c r="H262">
        <f>Table_8[[#This Row],[Listing Price (USD)]]/10000</f>
        <v>68.900000000000006</v>
      </c>
      <c r="I262">
        <f>Table_8[[#This Row],[Length 
(ft)]]</f>
        <v>45</v>
      </c>
      <c r="J262" s="37">
        <f>2020-Table_8[[#This Row],[Year]]</f>
        <v>1</v>
      </c>
      <c r="K262">
        <v>1106036000000</v>
      </c>
      <c r="L262">
        <v>51276.72</v>
      </c>
      <c r="M262">
        <v>1.23</v>
      </c>
      <c r="N262">
        <v>2.9</v>
      </c>
      <c r="O262" s="39">
        <v>42.92</v>
      </c>
      <c r="P262" s="40">
        <v>1184</v>
      </c>
      <c r="Q262" s="39">
        <v>185</v>
      </c>
      <c r="R262" s="39">
        <v>24.17</v>
      </c>
    </row>
    <row r="263" spans="1:18" x14ac:dyDescent="0.25">
      <c r="A263" s="1" t="s">
        <v>451</v>
      </c>
      <c r="B263" s="2">
        <v>45</v>
      </c>
      <c r="C263" s="19">
        <v>45</v>
      </c>
      <c r="D263" s="3" t="s">
        <v>496</v>
      </c>
      <c r="E263" s="4" t="s">
        <v>3</v>
      </c>
      <c r="F263" s="23">
        <v>825350</v>
      </c>
      <c r="G263" s="35">
        <v>2015</v>
      </c>
      <c r="H263">
        <f>Table_8[[#This Row],[Listing Price (USD)]]/10000</f>
        <v>82.534999999999997</v>
      </c>
      <c r="I263">
        <f>Table_8[[#This Row],[Length 
(ft)]]</f>
        <v>45</v>
      </c>
      <c r="J263" s="37">
        <f>2020-Table_8[[#This Row],[Year]]</f>
        <v>5</v>
      </c>
      <c r="K263">
        <v>2639008701648.2598</v>
      </c>
      <c r="L263">
        <v>39055.282928075401</v>
      </c>
      <c r="M263">
        <v>0.47649885272508302</v>
      </c>
      <c r="N263">
        <v>-7.7845864916787102</v>
      </c>
      <c r="O263" s="39">
        <v>46.92</v>
      </c>
      <c r="P263" s="40">
        <v>1184</v>
      </c>
      <c r="Q263" s="39">
        <v>185</v>
      </c>
      <c r="R263" s="39">
        <v>24.17</v>
      </c>
    </row>
    <row r="264" spans="1:18" x14ac:dyDescent="0.25">
      <c r="A264" s="1" t="s">
        <v>451</v>
      </c>
      <c r="B264" s="2">
        <v>45</v>
      </c>
      <c r="C264" s="19">
        <v>45</v>
      </c>
      <c r="D264" s="3" t="s">
        <v>496</v>
      </c>
      <c r="E264" s="4" t="s">
        <v>3</v>
      </c>
      <c r="F264" s="23">
        <v>872686</v>
      </c>
      <c r="G264" s="35">
        <v>2019</v>
      </c>
      <c r="H264">
        <f>Table_8[[#This Row],[Listing Price (USD)]]/10000</f>
        <v>87.268600000000006</v>
      </c>
      <c r="I264">
        <f>Table_8[[#This Row],[Length 
(ft)]]</f>
        <v>45</v>
      </c>
      <c r="J264" s="37">
        <f>2020-Table_8[[#This Row],[Year]]</f>
        <v>1</v>
      </c>
      <c r="K264">
        <v>2639008701648.2598</v>
      </c>
      <c r="L264">
        <v>39055.282928075401</v>
      </c>
      <c r="M264">
        <v>0.47649885272508302</v>
      </c>
      <c r="N264">
        <v>-7.7845864916787102</v>
      </c>
      <c r="O264" s="39">
        <v>48.92</v>
      </c>
      <c r="P264" s="40">
        <v>1184</v>
      </c>
      <c r="Q264" s="39">
        <v>185</v>
      </c>
      <c r="R264" s="39">
        <v>24.17</v>
      </c>
    </row>
    <row r="265" spans="1:18" x14ac:dyDescent="0.25">
      <c r="A265" s="1" t="s">
        <v>451</v>
      </c>
      <c r="B265" s="2">
        <v>45</v>
      </c>
      <c r="C265" s="19">
        <v>45</v>
      </c>
      <c r="D265" s="3" t="s">
        <v>496</v>
      </c>
      <c r="E265" s="3" t="s">
        <v>3</v>
      </c>
      <c r="F265" s="23">
        <v>873367</v>
      </c>
      <c r="G265" s="35">
        <v>2019</v>
      </c>
      <c r="H265">
        <f>Table_8[[#This Row],[Listing Price (USD)]]/10000</f>
        <v>87.336699999999993</v>
      </c>
      <c r="I265">
        <f>Table_8[[#This Row],[Length 
(ft)]]</f>
        <v>45</v>
      </c>
      <c r="J265" s="37">
        <f>2020-Table_8[[#This Row],[Year]]</f>
        <v>1</v>
      </c>
      <c r="K265">
        <v>2639008701648.2598</v>
      </c>
      <c r="L265">
        <v>39055.282928075401</v>
      </c>
      <c r="M265">
        <v>0.47649885272508302</v>
      </c>
      <c r="N265">
        <v>-7.7845864916787102</v>
      </c>
      <c r="O265" s="39">
        <v>47.92</v>
      </c>
      <c r="P265" s="40">
        <v>1184</v>
      </c>
      <c r="Q265" s="39">
        <v>185</v>
      </c>
      <c r="R265" s="39">
        <v>24.17</v>
      </c>
    </row>
    <row r="266" spans="1:18" x14ac:dyDescent="0.25">
      <c r="A266" s="1" t="s">
        <v>442</v>
      </c>
      <c r="B266" s="2">
        <v>46</v>
      </c>
      <c r="C266" s="19">
        <v>46</v>
      </c>
      <c r="D266" s="3" t="s">
        <v>497</v>
      </c>
      <c r="E266" s="3" t="s">
        <v>370</v>
      </c>
      <c r="F266" s="23">
        <v>126000</v>
      </c>
      <c r="G266" s="35">
        <v>2011</v>
      </c>
      <c r="H266">
        <f>Table_8[[#This Row],[Listing Price (USD)]]/10000</f>
        <v>12.6</v>
      </c>
      <c r="I266">
        <f>Table_8[[#This Row],[Length 
(ft)]]</f>
        <v>46</v>
      </c>
      <c r="J266" s="37">
        <f>2020-Table_8[[#This Row],[Year]]</f>
        <v>9</v>
      </c>
      <c r="K266">
        <v>500000000</v>
      </c>
      <c r="L266">
        <v>34200</v>
      </c>
      <c r="M266">
        <v>1.1000000000000001</v>
      </c>
      <c r="N266">
        <v>2</v>
      </c>
      <c r="O266" s="39">
        <v>44.59</v>
      </c>
      <c r="P266" s="39">
        <v>1592</v>
      </c>
      <c r="Q266" s="39">
        <v>188</v>
      </c>
      <c r="R266" s="39">
        <v>24.84</v>
      </c>
    </row>
    <row r="267" spans="1:18" x14ac:dyDescent="0.25">
      <c r="A267" s="1" t="s">
        <v>442</v>
      </c>
      <c r="B267" s="2">
        <v>46</v>
      </c>
      <c r="C267" s="19">
        <v>46</v>
      </c>
      <c r="D267" s="3" t="s">
        <v>497</v>
      </c>
      <c r="E267" s="3" t="s">
        <v>483</v>
      </c>
      <c r="F267" s="23">
        <v>299000</v>
      </c>
      <c r="G267" s="35">
        <v>2008</v>
      </c>
      <c r="H267">
        <f>Table_8[[#This Row],[Listing Price (USD)]]/10000</f>
        <v>29.9</v>
      </c>
      <c r="I267">
        <f>Table_8[[#This Row],[Length 
(ft)]]</f>
        <v>46</v>
      </c>
      <c r="J267" s="37">
        <f>2020-Table_8[[#This Row],[Year]]</f>
        <v>12</v>
      </c>
      <c r="K267">
        <v>4200000000</v>
      </c>
      <c r="L267">
        <v>39553.199999999997</v>
      </c>
      <c r="M267">
        <v>2.5</v>
      </c>
      <c r="N267">
        <v>-2.1</v>
      </c>
      <c r="O267" s="39">
        <v>44.59</v>
      </c>
      <c r="P267" s="39">
        <v>1592</v>
      </c>
      <c r="Q267" s="39">
        <v>188</v>
      </c>
      <c r="R267" s="39">
        <v>24.84</v>
      </c>
    </row>
    <row r="268" spans="1:18" x14ac:dyDescent="0.25">
      <c r="A268" s="1" t="s">
        <v>442</v>
      </c>
      <c r="B268" s="2">
        <v>46</v>
      </c>
      <c r="C268" s="19">
        <v>46</v>
      </c>
      <c r="D268" s="3" t="s">
        <v>497</v>
      </c>
      <c r="E268" s="3" t="s">
        <v>392</v>
      </c>
      <c r="F268" s="23">
        <v>335000</v>
      </c>
      <c r="G268" s="35">
        <v>2010</v>
      </c>
      <c r="H268">
        <f>Table_8[[#This Row],[Listing Price (USD)]]/10000</f>
        <v>33.5</v>
      </c>
      <c r="I268">
        <f>Table_8[[#This Row],[Length 
(ft)]]</f>
        <v>46</v>
      </c>
      <c r="J268" s="37">
        <f>2020-Table_8[[#This Row],[Year]]</f>
        <v>10</v>
      </c>
      <c r="K268">
        <v>1043414814.81481</v>
      </c>
      <c r="L268">
        <v>8437.5667322870595</v>
      </c>
      <c r="M268">
        <v>-0.74073259704550098</v>
      </c>
      <c r="N268">
        <v>-13.7559294530644</v>
      </c>
      <c r="O268" s="39">
        <v>44.59</v>
      </c>
      <c r="P268" s="39">
        <v>1592</v>
      </c>
      <c r="Q268" s="39">
        <v>188</v>
      </c>
      <c r="R268" s="39">
        <v>24.84</v>
      </c>
    </row>
    <row r="269" spans="1:18" x14ac:dyDescent="0.25">
      <c r="A269" s="1" t="s">
        <v>443</v>
      </c>
      <c r="B269" s="2">
        <v>46</v>
      </c>
      <c r="C269" s="19">
        <v>46</v>
      </c>
      <c r="D269" s="3" t="s">
        <v>496</v>
      </c>
      <c r="E269" s="4" t="s">
        <v>24</v>
      </c>
      <c r="F269" s="23">
        <v>339514</v>
      </c>
      <c r="G269" s="35">
        <v>2009</v>
      </c>
      <c r="H269">
        <f>Table_8[[#This Row],[Listing Price (USD)]]/10000</f>
        <v>33.9514</v>
      </c>
      <c r="I269">
        <f>Table_8[[#This Row],[Length 
(ft)]]</f>
        <v>46</v>
      </c>
      <c r="J269" s="37">
        <f>2020-Table_8[[#This Row],[Year]]</f>
        <v>11</v>
      </c>
      <c r="K269">
        <v>1896755301518.1399</v>
      </c>
      <c r="L269">
        <v>31911.0357890017</v>
      </c>
      <c r="M269">
        <v>-0.13770757391656999</v>
      </c>
      <c r="N269">
        <v>-9.0399534112288507</v>
      </c>
      <c r="O269" s="39">
        <v>44.59</v>
      </c>
      <c r="P269" s="39">
        <v>1592</v>
      </c>
      <c r="Q269" s="39">
        <v>188</v>
      </c>
      <c r="R269" s="39">
        <v>24.84</v>
      </c>
    </row>
    <row r="270" spans="1:18" x14ac:dyDescent="0.25">
      <c r="A270" s="1" t="s">
        <v>443</v>
      </c>
      <c r="B270" s="2">
        <v>46</v>
      </c>
      <c r="C270" s="19">
        <v>46</v>
      </c>
      <c r="D270" s="3" t="s">
        <v>495</v>
      </c>
      <c r="E270" s="3" t="s">
        <v>333</v>
      </c>
      <c r="F270" s="23">
        <v>385000</v>
      </c>
      <c r="G270" s="35">
        <v>2008</v>
      </c>
      <c r="H270">
        <f>Table_8[[#This Row],[Listing Price (USD)]]/10000</f>
        <v>38.5</v>
      </c>
      <c r="I270">
        <f>Table_8[[#This Row],[Length 
(ft)]]</f>
        <v>46</v>
      </c>
      <c r="J270" s="37">
        <f>2020-Table_8[[#This Row],[Year]]</f>
        <v>12</v>
      </c>
      <c r="K270">
        <v>1106036000000</v>
      </c>
      <c r="L270">
        <v>51276.72</v>
      </c>
      <c r="M270">
        <v>1.23</v>
      </c>
      <c r="N270">
        <v>2.9</v>
      </c>
      <c r="O270" s="39">
        <v>44.59</v>
      </c>
      <c r="P270" s="39">
        <v>1592</v>
      </c>
      <c r="Q270" s="39">
        <v>188</v>
      </c>
      <c r="R270" s="39">
        <v>24.84</v>
      </c>
    </row>
    <row r="271" spans="1:18" x14ac:dyDescent="0.25">
      <c r="A271" s="1" t="s">
        <v>442</v>
      </c>
      <c r="B271" s="2">
        <v>46</v>
      </c>
      <c r="C271" s="19">
        <v>46</v>
      </c>
      <c r="D271" s="3" t="s">
        <v>497</v>
      </c>
      <c r="E271" s="3" t="s">
        <v>559</v>
      </c>
      <c r="F271" s="23">
        <v>415000</v>
      </c>
      <c r="G271" s="35">
        <v>2010</v>
      </c>
      <c r="H271">
        <f>Table_8[[#This Row],[Listing Price (USD)]]/10000</f>
        <v>41.5</v>
      </c>
      <c r="I271">
        <f>Table_8[[#This Row],[Length 
(ft)]]</f>
        <v>46</v>
      </c>
      <c r="J271" s="37">
        <f>2020-Table_8[[#This Row],[Year]]</f>
        <v>10</v>
      </c>
      <c r="K271">
        <v>681973374534.10596</v>
      </c>
      <c r="L271">
        <v>27575.495000325591</v>
      </c>
      <c r="M271">
        <v>0.8848420113691905</v>
      </c>
      <c r="N271">
        <v>-6.3525291034127971</v>
      </c>
      <c r="O271" s="39">
        <v>44.59</v>
      </c>
      <c r="P271" s="39">
        <v>1592</v>
      </c>
      <c r="Q271" s="39">
        <v>188</v>
      </c>
      <c r="R271" s="39">
        <v>24.84</v>
      </c>
    </row>
    <row r="272" spans="1:18" x14ac:dyDescent="0.25">
      <c r="A272" s="1" t="s">
        <v>443</v>
      </c>
      <c r="B272" s="2">
        <v>46</v>
      </c>
      <c r="C272" s="19">
        <v>46</v>
      </c>
      <c r="D272" s="3" t="s">
        <v>495</v>
      </c>
      <c r="E272" s="3" t="s">
        <v>333</v>
      </c>
      <c r="F272" s="23">
        <v>449000</v>
      </c>
      <c r="G272" s="35">
        <v>2008</v>
      </c>
      <c r="H272">
        <f>Table_8[[#This Row],[Listing Price (USD)]]/10000</f>
        <v>44.9</v>
      </c>
      <c r="I272">
        <f>Table_8[[#This Row],[Length 
(ft)]]</f>
        <v>46</v>
      </c>
      <c r="J272" s="37">
        <f>2020-Table_8[[#This Row],[Year]]</f>
        <v>12</v>
      </c>
      <c r="K272">
        <v>1106036000000</v>
      </c>
      <c r="L272">
        <v>51276.72</v>
      </c>
      <c r="M272">
        <v>1.23</v>
      </c>
      <c r="N272">
        <v>2.9</v>
      </c>
      <c r="O272" s="39">
        <v>44.59</v>
      </c>
      <c r="P272" s="39">
        <v>1592</v>
      </c>
      <c r="Q272" s="39">
        <v>188</v>
      </c>
      <c r="R272" s="39">
        <v>24.84</v>
      </c>
    </row>
    <row r="273" spans="1:18" x14ac:dyDescent="0.25">
      <c r="A273" s="1" t="s">
        <v>443</v>
      </c>
      <c r="B273" s="2">
        <v>46</v>
      </c>
      <c r="C273" s="19">
        <v>46</v>
      </c>
      <c r="D273" s="3" t="s">
        <v>495</v>
      </c>
      <c r="E273" s="3" t="s">
        <v>333</v>
      </c>
      <c r="F273" s="23">
        <v>480000</v>
      </c>
      <c r="G273" s="35">
        <v>2011</v>
      </c>
      <c r="H273">
        <f>Table_8[[#This Row],[Listing Price (USD)]]/10000</f>
        <v>48</v>
      </c>
      <c r="I273">
        <f>Table_8[[#This Row],[Length 
(ft)]]</f>
        <v>46</v>
      </c>
      <c r="J273" s="37">
        <f>2020-Table_8[[#This Row],[Year]]</f>
        <v>9</v>
      </c>
      <c r="K273">
        <v>1106036000000</v>
      </c>
      <c r="L273">
        <v>51276.72</v>
      </c>
      <c r="M273">
        <v>1.23</v>
      </c>
      <c r="N273">
        <v>2.9</v>
      </c>
      <c r="O273" s="39">
        <v>44.59</v>
      </c>
      <c r="P273" s="39">
        <v>1592</v>
      </c>
      <c r="Q273" s="39">
        <v>188</v>
      </c>
      <c r="R273" s="39">
        <v>24.84</v>
      </c>
    </row>
    <row r="274" spans="1:18" x14ac:dyDescent="0.25">
      <c r="A274" s="1" t="s">
        <v>427</v>
      </c>
      <c r="B274" s="2">
        <v>46</v>
      </c>
      <c r="C274" s="19">
        <v>46</v>
      </c>
      <c r="D274" s="3" t="s">
        <v>497</v>
      </c>
      <c r="E274" s="3" t="s">
        <v>483</v>
      </c>
      <c r="F274" s="23">
        <v>715405</v>
      </c>
      <c r="G274" s="35">
        <v>2019</v>
      </c>
      <c r="H274">
        <f>Table_8[[#This Row],[Listing Price (USD)]]/10000</f>
        <v>71.540499999999994</v>
      </c>
      <c r="I274">
        <f>Table_8[[#This Row],[Length 
(ft)]]</f>
        <v>46</v>
      </c>
      <c r="J274" s="37">
        <f>2020-Table_8[[#This Row],[Year]]</f>
        <v>1</v>
      </c>
      <c r="K274">
        <v>4200000000</v>
      </c>
      <c r="L274">
        <v>39553.199999999997</v>
      </c>
      <c r="M274">
        <v>2.5</v>
      </c>
      <c r="N274">
        <v>-2.1</v>
      </c>
      <c r="O274" s="39">
        <v>45.51</v>
      </c>
      <c r="P274" s="39">
        <v>1323.96</v>
      </c>
      <c r="Q274" s="39">
        <v>275</v>
      </c>
      <c r="R274" s="39">
        <v>26.12</v>
      </c>
    </row>
    <row r="275" spans="1:18" x14ac:dyDescent="0.25">
      <c r="A275" s="1" t="s">
        <v>427</v>
      </c>
      <c r="B275" s="3">
        <v>46</v>
      </c>
      <c r="C275" s="19">
        <v>46</v>
      </c>
      <c r="D275" s="3" t="s">
        <v>497</v>
      </c>
      <c r="E275" s="3" t="s">
        <v>483</v>
      </c>
      <c r="F275" s="23">
        <v>716932</v>
      </c>
      <c r="G275" s="35">
        <v>2019</v>
      </c>
      <c r="H275">
        <f>Table_8[[#This Row],[Listing Price (USD)]]/10000</f>
        <v>71.693200000000004</v>
      </c>
      <c r="I275">
        <f>Table_8[[#This Row],[Length 
(ft)]]</f>
        <v>46</v>
      </c>
      <c r="J275" s="37">
        <f>2020-Table_8[[#This Row],[Year]]</f>
        <v>1</v>
      </c>
      <c r="K275">
        <v>4200000000</v>
      </c>
      <c r="L275">
        <v>39553.199999999997</v>
      </c>
      <c r="M275">
        <v>2.5</v>
      </c>
      <c r="N275">
        <v>-2.1</v>
      </c>
      <c r="O275" s="39">
        <v>45.51</v>
      </c>
      <c r="P275" s="39">
        <v>1323.96</v>
      </c>
      <c r="Q275" s="39">
        <v>275</v>
      </c>
      <c r="R275" s="39">
        <v>26.12</v>
      </c>
    </row>
    <row r="276" spans="1:18" x14ac:dyDescent="0.25">
      <c r="A276" s="1" t="s">
        <v>442</v>
      </c>
      <c r="B276" s="2" t="s">
        <v>487</v>
      </c>
      <c r="C276" s="19">
        <v>47</v>
      </c>
      <c r="D276" s="3" t="s">
        <v>497</v>
      </c>
      <c r="E276" s="3" t="s">
        <v>370</v>
      </c>
      <c r="F276" s="23">
        <v>115000</v>
      </c>
      <c r="G276" s="35">
        <v>2008</v>
      </c>
      <c r="H276">
        <f>Table_8[[#This Row],[Listing Price (USD)]]/10000</f>
        <v>11.5</v>
      </c>
      <c r="I276">
        <f>Table_8[[#This Row],[Length 
(ft)]]</f>
        <v>47</v>
      </c>
      <c r="J276" s="37">
        <f>2020-Table_8[[#This Row],[Year]]</f>
        <v>12</v>
      </c>
      <c r="K276">
        <v>500000000</v>
      </c>
      <c r="L276">
        <v>34200</v>
      </c>
      <c r="M276">
        <v>1.1000000000000001</v>
      </c>
      <c r="N276">
        <v>2</v>
      </c>
      <c r="O276" s="39">
        <v>49</v>
      </c>
      <c r="P276" s="39">
        <v>137.00200000000001</v>
      </c>
      <c r="Q276" s="39">
        <v>254</v>
      </c>
      <c r="R276" s="39">
        <v>25.6</v>
      </c>
    </row>
    <row r="277" spans="1:18" x14ac:dyDescent="0.25">
      <c r="A277" s="1" t="s">
        <v>442</v>
      </c>
      <c r="B277" s="2">
        <v>47</v>
      </c>
      <c r="C277" s="19">
        <v>47</v>
      </c>
      <c r="D277" s="3" t="s">
        <v>497</v>
      </c>
      <c r="E277" s="3" t="s">
        <v>525</v>
      </c>
      <c r="F277" s="23">
        <v>235000</v>
      </c>
      <c r="G277" s="35">
        <v>2005</v>
      </c>
      <c r="H277">
        <f>Table_8[[#This Row],[Listing Price (USD)]]/10000</f>
        <v>23.5</v>
      </c>
      <c r="I277">
        <f>Table_8[[#This Row],[Length 
(ft)]]</f>
        <v>47</v>
      </c>
      <c r="J277" s="37">
        <f>2020-Table_8[[#This Row],[Year]]</f>
        <v>15</v>
      </c>
      <c r="K277">
        <v>4200000000</v>
      </c>
      <c r="L277">
        <v>39553.199999999997</v>
      </c>
      <c r="M277">
        <v>4.0999999999999996</v>
      </c>
      <c r="N277">
        <v>-2.1</v>
      </c>
      <c r="O277" s="39">
        <v>49</v>
      </c>
      <c r="P277" s="39">
        <v>137.00200000000001</v>
      </c>
      <c r="Q277" s="39">
        <v>254</v>
      </c>
      <c r="R277" s="39">
        <v>25.6</v>
      </c>
    </row>
    <row r="278" spans="1:18" x14ac:dyDescent="0.25">
      <c r="A278" s="1" t="s">
        <v>442</v>
      </c>
      <c r="B278" s="2">
        <v>47</v>
      </c>
      <c r="C278" s="19">
        <v>47</v>
      </c>
      <c r="D278" s="3" t="s">
        <v>497</v>
      </c>
      <c r="E278" s="3" t="s">
        <v>514</v>
      </c>
      <c r="F278" s="23">
        <v>257061</v>
      </c>
      <c r="G278" s="35">
        <v>2006</v>
      </c>
      <c r="H278">
        <f>Table_8[[#This Row],[Listing Price (USD)]]/10000</f>
        <v>25.706099999999999</v>
      </c>
      <c r="I278">
        <f>Table_8[[#This Row],[Length 
(ft)]]</f>
        <v>47</v>
      </c>
      <c r="J278" s="37">
        <f>2020-Table_8[[#This Row],[Year]]</f>
        <v>14</v>
      </c>
      <c r="K278">
        <v>681973374534.10596</v>
      </c>
      <c r="L278">
        <v>27575.495000325591</v>
      </c>
      <c r="M278">
        <v>0.8848420113691905</v>
      </c>
      <c r="N278">
        <v>-6.3525291034127971</v>
      </c>
      <c r="O278" s="39">
        <v>49</v>
      </c>
      <c r="P278" s="39">
        <v>137.00200000000001</v>
      </c>
      <c r="Q278" s="39">
        <v>254</v>
      </c>
      <c r="R278" s="39">
        <v>25.6</v>
      </c>
    </row>
    <row r="279" spans="1:18" x14ac:dyDescent="0.25">
      <c r="A279" s="1" t="s">
        <v>444</v>
      </c>
      <c r="B279" s="2">
        <v>47</v>
      </c>
      <c r="C279" s="19">
        <v>47</v>
      </c>
      <c r="D279" s="3" t="s">
        <v>497</v>
      </c>
      <c r="E279" s="3" t="s">
        <v>369</v>
      </c>
      <c r="F279" s="23">
        <v>266761</v>
      </c>
      <c r="G279" s="35">
        <v>2005</v>
      </c>
      <c r="H279">
        <f>Table_8[[#This Row],[Listing Price (USD)]]/10000</f>
        <v>26.676100000000002</v>
      </c>
      <c r="I279">
        <f>Table_8[[#This Row],[Length 
(ft)]]</f>
        <v>47</v>
      </c>
      <c r="J279" s="37">
        <f>2020-Table_8[[#This Row],[Year]]</f>
        <v>15</v>
      </c>
      <c r="K279">
        <v>78844702329.078506</v>
      </c>
      <c r="L279">
        <v>7167.9191590832697</v>
      </c>
      <c r="M279">
        <v>3.7810317991551599</v>
      </c>
      <c r="N279">
        <v>-6.7202393728340404</v>
      </c>
      <c r="O279" s="39">
        <v>49</v>
      </c>
      <c r="P279" s="39">
        <v>137.00200000000001</v>
      </c>
      <c r="Q279" s="39">
        <v>254</v>
      </c>
      <c r="R279" s="39">
        <v>25.6</v>
      </c>
    </row>
    <row r="280" spans="1:18" x14ac:dyDescent="0.25">
      <c r="A280" s="1" t="s">
        <v>444</v>
      </c>
      <c r="B280" s="2">
        <v>47</v>
      </c>
      <c r="C280" s="19">
        <v>47</v>
      </c>
      <c r="D280" s="3" t="s">
        <v>496</v>
      </c>
      <c r="E280" s="4" t="s">
        <v>18</v>
      </c>
      <c r="F280" s="23">
        <v>309506</v>
      </c>
      <c r="G280" s="35">
        <v>2008</v>
      </c>
      <c r="H280">
        <f>Table_8[[#This Row],[Listing Price (USD)]]/10000</f>
        <v>30.950600000000001</v>
      </c>
      <c r="I280">
        <f>Table_8[[#This Row],[Length 
(ft)]]</f>
        <v>47</v>
      </c>
      <c r="J280" s="37">
        <f>2020-Table_8[[#This Row],[Year]]</f>
        <v>12</v>
      </c>
      <c r="K280">
        <v>188925995936.80701</v>
      </c>
      <c r="L280">
        <v>17658.947301119199</v>
      </c>
      <c r="M280">
        <v>-1.2479835558140799</v>
      </c>
      <c r="N280">
        <v>-9.0040436420214593</v>
      </c>
      <c r="O280" s="39">
        <v>49</v>
      </c>
      <c r="P280" s="39">
        <v>137.00200000000001</v>
      </c>
      <c r="Q280" s="39">
        <v>254</v>
      </c>
      <c r="R280" s="39">
        <v>25.6</v>
      </c>
    </row>
    <row r="281" spans="1:18" x14ac:dyDescent="0.25">
      <c r="A281" s="1" t="s">
        <v>444</v>
      </c>
      <c r="B281" s="2">
        <v>47</v>
      </c>
      <c r="C281" s="19">
        <v>47</v>
      </c>
      <c r="D281" s="3" t="s">
        <v>496</v>
      </c>
      <c r="E281" s="4" t="s">
        <v>18</v>
      </c>
      <c r="F281" s="23">
        <v>318002</v>
      </c>
      <c r="G281" s="35">
        <v>2008</v>
      </c>
      <c r="H281">
        <f>Table_8[[#This Row],[Listing Price (USD)]]/10000</f>
        <v>31.8002</v>
      </c>
      <c r="I281">
        <f>Table_8[[#This Row],[Length 
(ft)]]</f>
        <v>47</v>
      </c>
      <c r="J281" s="37">
        <f>2020-Table_8[[#This Row],[Year]]</f>
        <v>12</v>
      </c>
      <c r="K281">
        <v>188925995936.80701</v>
      </c>
      <c r="L281">
        <v>17658.947301119199</v>
      </c>
      <c r="M281">
        <v>-1.2479835558140799</v>
      </c>
      <c r="N281">
        <v>-9.0040436420214593</v>
      </c>
      <c r="O281" s="39">
        <v>49</v>
      </c>
      <c r="P281" s="39">
        <v>137.00200000000001</v>
      </c>
      <c r="Q281" s="39">
        <v>254</v>
      </c>
      <c r="R281" s="39">
        <v>25.6</v>
      </c>
    </row>
    <row r="282" spans="1:18" x14ac:dyDescent="0.25">
      <c r="A282" s="1" t="s">
        <v>444</v>
      </c>
      <c r="B282" s="2">
        <v>47</v>
      </c>
      <c r="C282" s="19">
        <v>47</v>
      </c>
      <c r="D282" s="3" t="s">
        <v>496</v>
      </c>
      <c r="E282" s="4" t="s">
        <v>18</v>
      </c>
      <c r="F282" s="23">
        <v>339850</v>
      </c>
      <c r="G282" s="35">
        <v>2008</v>
      </c>
      <c r="H282">
        <f>Table_8[[#This Row],[Listing Price (USD)]]/10000</f>
        <v>33.984999999999999</v>
      </c>
      <c r="I282">
        <f>Table_8[[#This Row],[Length 
(ft)]]</f>
        <v>47</v>
      </c>
      <c r="J282" s="37">
        <f>2020-Table_8[[#This Row],[Year]]</f>
        <v>12</v>
      </c>
      <c r="K282">
        <v>188925995936.80701</v>
      </c>
      <c r="L282">
        <v>17658.947301119199</v>
      </c>
      <c r="M282">
        <v>-1.2479835558140799</v>
      </c>
      <c r="N282">
        <v>-9.0040436420214593</v>
      </c>
      <c r="O282" s="39">
        <v>49</v>
      </c>
      <c r="P282" s="39">
        <v>137.00200000000001</v>
      </c>
      <c r="Q282" s="39">
        <v>254</v>
      </c>
      <c r="R282" s="39">
        <v>25.6</v>
      </c>
    </row>
    <row r="283" spans="1:18" x14ac:dyDescent="0.25">
      <c r="A283" s="1" t="s">
        <v>444</v>
      </c>
      <c r="B283" s="2">
        <v>47</v>
      </c>
      <c r="C283" s="19">
        <v>47</v>
      </c>
      <c r="D283" s="3" t="s">
        <v>497</v>
      </c>
      <c r="E283" s="3" t="s">
        <v>506</v>
      </c>
      <c r="F283" s="23">
        <v>364000</v>
      </c>
      <c r="G283" s="35">
        <v>2009</v>
      </c>
      <c r="H283">
        <f>Table_8[[#This Row],[Listing Price (USD)]]/10000</f>
        <v>36.4</v>
      </c>
      <c r="I283">
        <f>Table_8[[#This Row],[Length 
(ft)]]</f>
        <v>47</v>
      </c>
      <c r="J283" s="37">
        <f>2020-Table_8[[#This Row],[Year]]</f>
        <v>11</v>
      </c>
      <c r="K283">
        <v>1370281481.4814799</v>
      </c>
      <c r="L283">
        <v>14787.6357752901</v>
      </c>
      <c r="M283">
        <v>0.62598970704669799</v>
      </c>
      <c r="N283">
        <v>-20.1923705722071</v>
      </c>
      <c r="O283" s="39">
        <v>49</v>
      </c>
      <c r="P283" s="39">
        <v>137.00200000000001</v>
      </c>
      <c r="Q283" s="39">
        <v>254</v>
      </c>
      <c r="R283" s="39">
        <v>25.6</v>
      </c>
    </row>
    <row r="284" spans="1:18" x14ac:dyDescent="0.25">
      <c r="A284" s="1" t="s">
        <v>444</v>
      </c>
      <c r="B284" s="2">
        <v>47</v>
      </c>
      <c r="C284" s="19">
        <v>47</v>
      </c>
      <c r="D284" s="3" t="s">
        <v>496</v>
      </c>
      <c r="E284" s="4" t="s">
        <v>18</v>
      </c>
      <c r="F284" s="23">
        <v>394469</v>
      </c>
      <c r="G284" s="35">
        <v>2007</v>
      </c>
      <c r="H284">
        <f>Table_8[[#This Row],[Listing Price (USD)]]/10000</f>
        <v>39.446899999999999</v>
      </c>
      <c r="I284">
        <f>Table_8[[#This Row],[Length 
(ft)]]</f>
        <v>47</v>
      </c>
      <c r="J284" s="37">
        <f>2020-Table_8[[#This Row],[Year]]</f>
        <v>13</v>
      </c>
      <c r="K284">
        <v>188925995936.80701</v>
      </c>
      <c r="L284">
        <v>17658.947301119199</v>
      </c>
      <c r="M284">
        <v>-1.2479835558140799</v>
      </c>
      <c r="N284">
        <v>-9.0040436420214593</v>
      </c>
      <c r="O284" s="39">
        <v>49</v>
      </c>
      <c r="P284" s="39">
        <v>137.00200000000001</v>
      </c>
      <c r="Q284" s="39">
        <v>254</v>
      </c>
      <c r="R284" s="39">
        <v>25.6</v>
      </c>
    </row>
    <row r="285" spans="1:18" x14ac:dyDescent="0.25">
      <c r="A285" s="1" t="s">
        <v>444</v>
      </c>
      <c r="B285" s="2">
        <v>47</v>
      </c>
      <c r="C285" s="19">
        <v>47</v>
      </c>
      <c r="D285" s="3" t="s">
        <v>496</v>
      </c>
      <c r="E285" s="4" t="s">
        <v>18</v>
      </c>
      <c r="F285" s="23">
        <v>497637</v>
      </c>
      <c r="G285" s="35">
        <v>2006</v>
      </c>
      <c r="H285">
        <f>Table_8[[#This Row],[Listing Price (USD)]]/10000</f>
        <v>49.7637</v>
      </c>
      <c r="I285">
        <f>Table_8[[#This Row],[Length 
(ft)]]</f>
        <v>47</v>
      </c>
      <c r="J285" s="37">
        <f>2020-Table_8[[#This Row],[Year]]</f>
        <v>14</v>
      </c>
      <c r="K285">
        <v>188925995936.80701</v>
      </c>
      <c r="L285">
        <v>17658.947301119199</v>
      </c>
      <c r="M285">
        <v>-1.2479835558140799</v>
      </c>
      <c r="N285">
        <v>-9.0040436420214593</v>
      </c>
      <c r="O285" s="39">
        <v>49</v>
      </c>
      <c r="P285" s="39">
        <v>137.00200000000001</v>
      </c>
      <c r="Q285" s="39">
        <v>254</v>
      </c>
      <c r="R285" s="39">
        <v>25.6</v>
      </c>
    </row>
    <row r="286" spans="1:18" x14ac:dyDescent="0.25">
      <c r="A286" s="1" t="s">
        <v>444</v>
      </c>
      <c r="B286" s="2">
        <v>47</v>
      </c>
      <c r="C286" s="19">
        <v>47</v>
      </c>
      <c r="D286" s="3" t="s">
        <v>496</v>
      </c>
      <c r="E286" s="3" t="s">
        <v>18</v>
      </c>
      <c r="F286" s="23">
        <v>498026</v>
      </c>
      <c r="G286" s="35">
        <v>2006</v>
      </c>
      <c r="H286">
        <f>Table_8[[#This Row],[Listing Price (USD)]]/10000</f>
        <v>49.802599999999998</v>
      </c>
      <c r="I286">
        <f>Table_8[[#This Row],[Length 
(ft)]]</f>
        <v>47</v>
      </c>
      <c r="J286" s="37">
        <f>2020-Table_8[[#This Row],[Year]]</f>
        <v>14</v>
      </c>
      <c r="K286">
        <v>188925995936.80701</v>
      </c>
      <c r="L286">
        <v>17658.947301119199</v>
      </c>
      <c r="M286">
        <v>-1.2479835558140799</v>
      </c>
      <c r="N286">
        <v>-9.0040436420214593</v>
      </c>
      <c r="O286" s="39">
        <v>49</v>
      </c>
      <c r="P286" s="39">
        <v>137.00200000000001</v>
      </c>
      <c r="Q286" s="39">
        <v>254</v>
      </c>
      <c r="R286" s="39">
        <v>25.6</v>
      </c>
    </row>
    <row r="287" spans="1:18" x14ac:dyDescent="0.25">
      <c r="A287" s="1" t="s">
        <v>404</v>
      </c>
      <c r="B287" s="2">
        <v>47</v>
      </c>
      <c r="C287" s="19">
        <v>47</v>
      </c>
      <c r="D287" s="3" t="s">
        <v>497</v>
      </c>
      <c r="E287" s="3" t="s">
        <v>483</v>
      </c>
      <c r="F287" s="23">
        <v>545648</v>
      </c>
      <c r="G287" s="35">
        <v>2010</v>
      </c>
      <c r="H287">
        <f>Table_8[[#This Row],[Listing Price (USD)]]/10000</f>
        <v>54.564799999999998</v>
      </c>
      <c r="I287">
        <f>Table_8[[#This Row],[Length 
(ft)]]</f>
        <v>47</v>
      </c>
      <c r="J287" s="37">
        <f>2020-Table_8[[#This Row],[Year]]</f>
        <v>10</v>
      </c>
      <c r="K287">
        <v>4200000000</v>
      </c>
      <c r="L287">
        <v>39553.199999999997</v>
      </c>
      <c r="M287">
        <v>2.5</v>
      </c>
      <c r="N287">
        <v>-2.1</v>
      </c>
      <c r="O287" s="39">
        <v>49</v>
      </c>
      <c r="P287" s="39">
        <v>137.00200000000001</v>
      </c>
      <c r="Q287" s="39">
        <v>254</v>
      </c>
      <c r="R287" s="39">
        <v>25.6</v>
      </c>
    </row>
    <row r="288" spans="1:18" x14ac:dyDescent="0.25">
      <c r="A288" s="1" t="s">
        <v>404</v>
      </c>
      <c r="B288" s="3">
        <v>47</v>
      </c>
      <c r="C288" s="19">
        <v>47</v>
      </c>
      <c r="D288" s="3" t="s">
        <v>497</v>
      </c>
      <c r="E288" s="3" t="s">
        <v>483</v>
      </c>
      <c r="F288" s="23">
        <v>546813</v>
      </c>
      <c r="G288" s="35">
        <v>2010</v>
      </c>
      <c r="H288">
        <f>Table_8[[#This Row],[Listing Price (USD)]]/10000</f>
        <v>54.6813</v>
      </c>
      <c r="I288">
        <f>Table_8[[#This Row],[Length 
(ft)]]</f>
        <v>47</v>
      </c>
      <c r="J288" s="37">
        <f>2020-Table_8[[#This Row],[Year]]</f>
        <v>10</v>
      </c>
      <c r="K288">
        <v>4200000000</v>
      </c>
      <c r="L288">
        <v>39553.199999999997</v>
      </c>
      <c r="M288">
        <v>2.5</v>
      </c>
      <c r="N288">
        <v>-2.1</v>
      </c>
      <c r="O288" s="39">
        <v>49</v>
      </c>
      <c r="P288" s="39">
        <v>137.00200000000001</v>
      </c>
      <c r="Q288" s="39">
        <v>254</v>
      </c>
      <c r="R288" s="39">
        <v>25.6</v>
      </c>
    </row>
    <row r="289" spans="1:18" x14ac:dyDescent="0.25">
      <c r="A289" s="1" t="s">
        <v>442</v>
      </c>
      <c r="B289" s="2">
        <v>48</v>
      </c>
      <c r="C289" s="19">
        <v>48</v>
      </c>
      <c r="D289" s="3" t="s">
        <v>497</v>
      </c>
      <c r="E289" s="3" t="s">
        <v>370</v>
      </c>
      <c r="F289" s="23">
        <v>149000</v>
      </c>
      <c r="G289" s="35">
        <v>2015</v>
      </c>
      <c r="H289">
        <f>Table_8[[#This Row],[Listing Price (USD)]]/10000</f>
        <v>14.9</v>
      </c>
      <c r="I289">
        <f>Table_8[[#This Row],[Length 
(ft)]]</f>
        <v>48</v>
      </c>
      <c r="J289" s="37">
        <f>2020-Table_8[[#This Row],[Year]]</f>
        <v>5</v>
      </c>
      <c r="K289">
        <v>500000000</v>
      </c>
      <c r="L289">
        <v>34200</v>
      </c>
      <c r="M289">
        <v>1.1000000000000001</v>
      </c>
      <c r="N289">
        <v>2</v>
      </c>
      <c r="O289" s="39">
        <v>45.44</v>
      </c>
      <c r="P289" s="39">
        <v>1554</v>
      </c>
      <c r="Q289" s="39">
        <v>185</v>
      </c>
      <c r="R289" s="39">
        <v>25.07</v>
      </c>
    </row>
    <row r="290" spans="1:18" x14ac:dyDescent="0.25">
      <c r="A290" s="1" t="s">
        <v>442</v>
      </c>
      <c r="B290" s="2">
        <v>48</v>
      </c>
      <c r="C290" s="19">
        <v>48</v>
      </c>
      <c r="D290" s="3" t="s">
        <v>497</v>
      </c>
      <c r="E290" s="3" t="s">
        <v>370</v>
      </c>
      <c r="F290" s="23">
        <v>195000</v>
      </c>
      <c r="G290" s="35">
        <v>2017</v>
      </c>
      <c r="H290">
        <f>Table_8[[#This Row],[Listing Price (USD)]]/10000</f>
        <v>19.5</v>
      </c>
      <c r="I290">
        <f>Table_8[[#This Row],[Length 
(ft)]]</f>
        <v>48</v>
      </c>
      <c r="J290" s="37">
        <f>2020-Table_8[[#This Row],[Year]]</f>
        <v>3</v>
      </c>
      <c r="K290">
        <v>500000000</v>
      </c>
      <c r="L290">
        <v>34200</v>
      </c>
      <c r="M290">
        <v>1.1000000000000001</v>
      </c>
      <c r="N290">
        <v>2</v>
      </c>
      <c r="O290" s="39">
        <v>45.44</v>
      </c>
      <c r="P290" s="39">
        <v>1554</v>
      </c>
      <c r="Q290" s="39">
        <v>185</v>
      </c>
      <c r="R290" s="39">
        <v>25.07</v>
      </c>
    </row>
    <row r="291" spans="1:18" x14ac:dyDescent="0.25">
      <c r="A291" s="1" t="s">
        <v>442</v>
      </c>
      <c r="B291" s="3">
        <v>48</v>
      </c>
      <c r="C291" s="19">
        <v>48</v>
      </c>
      <c r="D291" s="3" t="s">
        <v>497</v>
      </c>
      <c r="E291" s="3" t="s">
        <v>508</v>
      </c>
      <c r="F291" s="23">
        <v>339999</v>
      </c>
      <c r="G291" s="35">
        <v>2016</v>
      </c>
      <c r="H291">
        <f>Table_8[[#This Row],[Listing Price (USD)]]/10000</f>
        <v>33.999899999999997</v>
      </c>
      <c r="I291">
        <f>Table_8[[#This Row],[Length 
(ft)]]</f>
        <v>48</v>
      </c>
      <c r="J291" s="37">
        <f>2020-Table_8[[#This Row],[Year]]</f>
        <v>4</v>
      </c>
      <c r="K291">
        <v>9700000000</v>
      </c>
      <c r="L291">
        <v>26659</v>
      </c>
      <c r="M291">
        <v>-3.5</v>
      </c>
      <c r="N291">
        <v>-24.2</v>
      </c>
      <c r="O291" s="39">
        <v>45.44</v>
      </c>
      <c r="P291" s="39">
        <v>1554</v>
      </c>
      <c r="Q291" s="39">
        <v>185</v>
      </c>
      <c r="R291" s="39">
        <v>25.07</v>
      </c>
    </row>
    <row r="292" spans="1:18" x14ac:dyDescent="0.25">
      <c r="A292" s="1" t="s">
        <v>442</v>
      </c>
      <c r="B292" s="3">
        <v>48</v>
      </c>
      <c r="C292" s="19">
        <v>48</v>
      </c>
      <c r="D292" s="3" t="s">
        <v>497</v>
      </c>
      <c r="E292" s="3" t="s">
        <v>508</v>
      </c>
      <c r="F292" s="23">
        <v>379999</v>
      </c>
      <c r="G292" s="35">
        <v>2017</v>
      </c>
      <c r="H292">
        <f>Table_8[[#This Row],[Listing Price (USD)]]/10000</f>
        <v>37.999899999999997</v>
      </c>
      <c r="I292">
        <f>Table_8[[#This Row],[Length 
(ft)]]</f>
        <v>48</v>
      </c>
      <c r="J292" s="37">
        <f>2020-Table_8[[#This Row],[Year]]</f>
        <v>3</v>
      </c>
      <c r="K292">
        <v>9700000000</v>
      </c>
      <c r="L292">
        <v>26659</v>
      </c>
      <c r="M292">
        <v>-3.5</v>
      </c>
      <c r="N292">
        <v>-24.2</v>
      </c>
      <c r="O292" s="39">
        <v>45.44</v>
      </c>
      <c r="P292" s="39">
        <v>1554</v>
      </c>
      <c r="Q292" s="39">
        <v>185</v>
      </c>
      <c r="R292" s="39">
        <v>25.07</v>
      </c>
    </row>
    <row r="293" spans="1:18" x14ac:dyDescent="0.25">
      <c r="A293" s="1" t="s">
        <v>442</v>
      </c>
      <c r="B293" s="3">
        <v>48</v>
      </c>
      <c r="C293" s="19">
        <v>48</v>
      </c>
      <c r="D293" s="3" t="s">
        <v>497</v>
      </c>
      <c r="E293" s="3" t="s">
        <v>370</v>
      </c>
      <c r="F293" s="23">
        <v>419000</v>
      </c>
      <c r="G293" s="35">
        <v>2013</v>
      </c>
      <c r="H293">
        <f>Table_8[[#This Row],[Listing Price (USD)]]/10000</f>
        <v>41.9</v>
      </c>
      <c r="I293">
        <f>Table_8[[#This Row],[Length 
(ft)]]</f>
        <v>48</v>
      </c>
      <c r="J293" s="37">
        <f>2020-Table_8[[#This Row],[Year]]</f>
        <v>7</v>
      </c>
      <c r="K293">
        <v>500000000</v>
      </c>
      <c r="L293">
        <v>34200</v>
      </c>
      <c r="M293">
        <v>1.1000000000000001</v>
      </c>
      <c r="N293">
        <v>2</v>
      </c>
      <c r="O293" s="39">
        <v>45.44</v>
      </c>
      <c r="P293" s="39">
        <v>1554</v>
      </c>
      <c r="Q293" s="39">
        <v>185</v>
      </c>
      <c r="R293" s="39">
        <v>25.07</v>
      </c>
    </row>
    <row r="294" spans="1:18" x14ac:dyDescent="0.25">
      <c r="A294" s="1" t="s">
        <v>442</v>
      </c>
      <c r="B294" s="2">
        <v>48</v>
      </c>
      <c r="C294" s="19">
        <v>48</v>
      </c>
      <c r="D294" s="3" t="s">
        <v>497</v>
      </c>
      <c r="E294" s="3" t="s">
        <v>370</v>
      </c>
      <c r="F294" s="23">
        <v>429000</v>
      </c>
      <c r="G294" s="35">
        <v>2014</v>
      </c>
      <c r="H294">
        <f>Table_8[[#This Row],[Listing Price (USD)]]/10000</f>
        <v>42.9</v>
      </c>
      <c r="I294">
        <f>Table_8[[#This Row],[Length 
(ft)]]</f>
        <v>48</v>
      </c>
      <c r="J294" s="37">
        <f>2020-Table_8[[#This Row],[Year]]</f>
        <v>6</v>
      </c>
      <c r="K294">
        <v>500000000</v>
      </c>
      <c r="L294">
        <v>34200</v>
      </c>
      <c r="M294">
        <v>1.1000000000000001</v>
      </c>
      <c r="N294">
        <v>2</v>
      </c>
      <c r="O294" s="39">
        <v>45.44</v>
      </c>
      <c r="P294" s="39">
        <v>1554</v>
      </c>
      <c r="Q294" s="39">
        <v>185</v>
      </c>
      <c r="R294" s="39">
        <v>25.07</v>
      </c>
    </row>
    <row r="295" spans="1:18" x14ac:dyDescent="0.25">
      <c r="A295" s="1" t="s">
        <v>442</v>
      </c>
      <c r="B295" s="3">
        <v>48</v>
      </c>
      <c r="C295" s="19">
        <v>48</v>
      </c>
      <c r="D295" s="3" t="s">
        <v>497</v>
      </c>
      <c r="E295" s="3" t="s">
        <v>522</v>
      </c>
      <c r="F295" s="23">
        <v>439000</v>
      </c>
      <c r="G295" s="35">
        <v>2015</v>
      </c>
      <c r="H295">
        <f>Table_8[[#This Row],[Listing Price (USD)]]/10000</f>
        <v>43.9</v>
      </c>
      <c r="I295">
        <f>Table_8[[#This Row],[Length 
(ft)]]</f>
        <v>48</v>
      </c>
      <c r="J295" s="37">
        <f>2020-Table_8[[#This Row],[Year]]</f>
        <v>5</v>
      </c>
      <c r="K295">
        <v>209000000</v>
      </c>
      <c r="L295">
        <v>11726.7698</v>
      </c>
      <c r="M295">
        <v>3</v>
      </c>
      <c r="N295">
        <v>-0.7</v>
      </c>
      <c r="O295" s="39">
        <v>45.44</v>
      </c>
      <c r="P295" s="39">
        <v>1554</v>
      </c>
      <c r="Q295" s="39">
        <v>185</v>
      </c>
      <c r="R295" s="39">
        <v>25.07</v>
      </c>
    </row>
    <row r="296" spans="1:18" x14ac:dyDescent="0.25">
      <c r="A296" s="1" t="s">
        <v>442</v>
      </c>
      <c r="B296" s="2">
        <v>48</v>
      </c>
      <c r="C296" s="19">
        <v>48</v>
      </c>
      <c r="D296" s="3" t="s">
        <v>497</v>
      </c>
      <c r="E296" s="3" t="s">
        <v>370</v>
      </c>
      <c r="F296" s="23">
        <v>449000</v>
      </c>
      <c r="G296" s="35">
        <v>2013</v>
      </c>
      <c r="H296">
        <f>Table_8[[#This Row],[Listing Price (USD)]]/10000</f>
        <v>44.9</v>
      </c>
      <c r="I296">
        <f>Table_8[[#This Row],[Length 
(ft)]]</f>
        <v>48</v>
      </c>
      <c r="J296" s="37">
        <f>2020-Table_8[[#This Row],[Year]]</f>
        <v>7</v>
      </c>
      <c r="K296">
        <v>500000000</v>
      </c>
      <c r="L296">
        <v>34200</v>
      </c>
      <c r="M296">
        <v>1.1000000000000001</v>
      </c>
      <c r="N296">
        <v>2</v>
      </c>
      <c r="O296" s="39">
        <v>45.44</v>
      </c>
      <c r="P296" s="39">
        <v>1554</v>
      </c>
      <c r="Q296" s="39">
        <v>185</v>
      </c>
      <c r="R296" s="39">
        <v>25.07</v>
      </c>
    </row>
    <row r="297" spans="1:18" x14ac:dyDescent="0.25">
      <c r="A297" s="1" t="s">
        <v>442</v>
      </c>
      <c r="B297" s="3">
        <v>48</v>
      </c>
      <c r="C297" s="19">
        <v>48</v>
      </c>
      <c r="D297" s="3" t="s">
        <v>497</v>
      </c>
      <c r="E297" s="3" t="s">
        <v>370</v>
      </c>
      <c r="F297" s="23">
        <v>449000</v>
      </c>
      <c r="G297" s="35">
        <v>2013</v>
      </c>
      <c r="H297">
        <f>Table_8[[#This Row],[Listing Price (USD)]]/10000</f>
        <v>44.9</v>
      </c>
      <c r="I297">
        <f>Table_8[[#This Row],[Length 
(ft)]]</f>
        <v>48</v>
      </c>
      <c r="J297" s="37">
        <f>2020-Table_8[[#This Row],[Year]]</f>
        <v>7</v>
      </c>
      <c r="K297">
        <v>500000000</v>
      </c>
      <c r="L297">
        <v>34200</v>
      </c>
      <c r="M297">
        <v>1.1000000000000001</v>
      </c>
      <c r="N297">
        <v>2</v>
      </c>
      <c r="O297" s="39">
        <v>45.44</v>
      </c>
      <c r="P297" s="39">
        <v>1554</v>
      </c>
      <c r="Q297" s="39">
        <v>185</v>
      </c>
      <c r="R297" s="39">
        <v>25.07</v>
      </c>
    </row>
    <row r="298" spans="1:18" x14ac:dyDescent="0.25">
      <c r="A298" s="1" t="s">
        <v>442</v>
      </c>
      <c r="B298" s="2">
        <v>48</v>
      </c>
      <c r="C298" s="19">
        <v>48</v>
      </c>
      <c r="D298" s="3" t="s">
        <v>497</v>
      </c>
      <c r="E298" s="3" t="s">
        <v>370</v>
      </c>
      <c r="F298" s="23">
        <v>449000</v>
      </c>
      <c r="G298" s="35">
        <v>2014</v>
      </c>
      <c r="H298">
        <f>Table_8[[#This Row],[Listing Price (USD)]]/10000</f>
        <v>44.9</v>
      </c>
      <c r="I298">
        <f>Table_8[[#This Row],[Length 
(ft)]]</f>
        <v>48</v>
      </c>
      <c r="J298" s="37">
        <f>2020-Table_8[[#This Row],[Year]]</f>
        <v>6</v>
      </c>
      <c r="K298">
        <v>500000000</v>
      </c>
      <c r="L298">
        <v>34200</v>
      </c>
      <c r="M298">
        <v>1.1000000000000001</v>
      </c>
      <c r="N298">
        <v>2</v>
      </c>
      <c r="O298" s="39">
        <v>45.44</v>
      </c>
      <c r="P298" s="39">
        <v>1554</v>
      </c>
      <c r="Q298" s="39">
        <v>185</v>
      </c>
      <c r="R298" s="39">
        <v>25.07</v>
      </c>
    </row>
    <row r="299" spans="1:18" x14ac:dyDescent="0.25">
      <c r="A299" s="1" t="s">
        <v>442</v>
      </c>
      <c r="B299" s="3">
        <v>48</v>
      </c>
      <c r="C299" s="19">
        <v>48</v>
      </c>
      <c r="D299" s="3" t="s">
        <v>497</v>
      </c>
      <c r="E299" s="3" t="s">
        <v>370</v>
      </c>
      <c r="F299" s="23">
        <v>455000</v>
      </c>
      <c r="G299" s="35">
        <v>2014</v>
      </c>
      <c r="H299">
        <f>Table_8[[#This Row],[Listing Price (USD)]]/10000</f>
        <v>45.5</v>
      </c>
      <c r="I299">
        <f>Table_8[[#This Row],[Length 
(ft)]]</f>
        <v>48</v>
      </c>
      <c r="J299" s="37">
        <f>2020-Table_8[[#This Row],[Year]]</f>
        <v>6</v>
      </c>
      <c r="K299">
        <v>500000000</v>
      </c>
      <c r="L299">
        <v>34200</v>
      </c>
      <c r="M299">
        <v>1.1000000000000001</v>
      </c>
      <c r="N299">
        <v>2</v>
      </c>
      <c r="O299" s="39">
        <v>45.44</v>
      </c>
      <c r="P299" s="39">
        <v>1554</v>
      </c>
      <c r="Q299" s="39">
        <v>185</v>
      </c>
      <c r="R299" s="39">
        <v>25.07</v>
      </c>
    </row>
    <row r="300" spans="1:18" x14ac:dyDescent="0.25">
      <c r="A300" s="1" t="s">
        <v>442</v>
      </c>
      <c r="B300" s="3">
        <v>48</v>
      </c>
      <c r="C300" s="19">
        <v>48</v>
      </c>
      <c r="D300" s="3" t="s">
        <v>497</v>
      </c>
      <c r="E300" s="3" t="s">
        <v>370</v>
      </c>
      <c r="F300" s="23">
        <v>459000</v>
      </c>
      <c r="G300" s="35">
        <v>2016</v>
      </c>
      <c r="H300">
        <f>Table_8[[#This Row],[Listing Price (USD)]]/10000</f>
        <v>45.9</v>
      </c>
      <c r="I300">
        <f>Table_8[[#This Row],[Length 
(ft)]]</f>
        <v>48</v>
      </c>
      <c r="J300" s="37">
        <f>2020-Table_8[[#This Row],[Year]]</f>
        <v>4</v>
      </c>
      <c r="K300">
        <v>500000000</v>
      </c>
      <c r="L300">
        <v>34200</v>
      </c>
      <c r="M300">
        <v>1.1000000000000001</v>
      </c>
      <c r="N300">
        <v>2</v>
      </c>
      <c r="O300" s="39">
        <v>45.44</v>
      </c>
      <c r="P300" s="39">
        <v>1554</v>
      </c>
      <c r="Q300" s="39">
        <v>185</v>
      </c>
      <c r="R300" s="39">
        <v>25.07</v>
      </c>
    </row>
    <row r="301" spans="1:18" x14ac:dyDescent="0.25">
      <c r="A301" s="1" t="s">
        <v>442</v>
      </c>
      <c r="B301" s="2">
        <v>48</v>
      </c>
      <c r="C301" s="19">
        <v>48</v>
      </c>
      <c r="D301" s="3" t="s">
        <v>497</v>
      </c>
      <c r="E301" s="3" t="s">
        <v>370</v>
      </c>
      <c r="F301" s="23">
        <v>465000</v>
      </c>
      <c r="G301" s="35">
        <v>2016</v>
      </c>
      <c r="H301">
        <f>Table_8[[#This Row],[Listing Price (USD)]]/10000</f>
        <v>46.5</v>
      </c>
      <c r="I301">
        <f>Table_8[[#This Row],[Length 
(ft)]]</f>
        <v>48</v>
      </c>
      <c r="J301" s="37">
        <f>2020-Table_8[[#This Row],[Year]]</f>
        <v>4</v>
      </c>
      <c r="K301">
        <v>500000000</v>
      </c>
      <c r="L301">
        <v>34200</v>
      </c>
      <c r="M301">
        <v>1.1000000000000001</v>
      </c>
      <c r="N301">
        <v>2</v>
      </c>
      <c r="O301" s="39">
        <v>45.44</v>
      </c>
      <c r="P301" s="39">
        <v>1554</v>
      </c>
      <c r="Q301" s="39">
        <v>185</v>
      </c>
      <c r="R301" s="39">
        <v>25.07</v>
      </c>
    </row>
    <row r="302" spans="1:18" x14ac:dyDescent="0.25">
      <c r="A302" s="1" t="s">
        <v>442</v>
      </c>
      <c r="B302" s="2">
        <v>48</v>
      </c>
      <c r="C302" s="19">
        <v>48</v>
      </c>
      <c r="D302" s="3" t="s">
        <v>496</v>
      </c>
      <c r="E302" s="4" t="s">
        <v>31</v>
      </c>
      <c r="F302" s="23">
        <v>472149</v>
      </c>
      <c r="G302" s="35">
        <v>2014</v>
      </c>
      <c r="H302">
        <f>Table_8[[#This Row],[Listing Price (USD)]]/10000</f>
        <v>47.2149</v>
      </c>
      <c r="I302">
        <f>Table_8[[#This Row],[Length 
(ft)]]</f>
        <v>48</v>
      </c>
      <c r="J302" s="37">
        <f>2020-Table_8[[#This Row],[Year]]</f>
        <v>6</v>
      </c>
      <c r="K302">
        <v>57472012426.685303</v>
      </c>
      <c r="L302">
        <v>14198.753959474399</v>
      </c>
      <c r="M302">
        <v>0.15481137456202801</v>
      </c>
      <c r="N302">
        <v>-8.5803430210621805</v>
      </c>
      <c r="O302" s="39">
        <v>45.44</v>
      </c>
      <c r="P302" s="39">
        <v>1554</v>
      </c>
      <c r="Q302" s="39">
        <v>185</v>
      </c>
      <c r="R302" s="39">
        <v>25.07</v>
      </c>
    </row>
    <row r="303" spans="1:18" x14ac:dyDescent="0.25">
      <c r="A303" s="1" t="s">
        <v>442</v>
      </c>
      <c r="B303" s="2">
        <v>48</v>
      </c>
      <c r="C303" s="19">
        <v>48</v>
      </c>
      <c r="D303" s="3" t="s">
        <v>496</v>
      </c>
      <c r="E303" s="4" t="s">
        <v>31</v>
      </c>
      <c r="F303" s="23">
        <v>472149</v>
      </c>
      <c r="G303" s="35">
        <v>2014</v>
      </c>
      <c r="H303">
        <f>Table_8[[#This Row],[Listing Price (USD)]]/10000</f>
        <v>47.2149</v>
      </c>
      <c r="I303">
        <f>Table_8[[#This Row],[Length 
(ft)]]</f>
        <v>48</v>
      </c>
      <c r="J303" s="37">
        <f>2020-Table_8[[#This Row],[Year]]</f>
        <v>6</v>
      </c>
      <c r="K303">
        <v>57472012426.685303</v>
      </c>
      <c r="L303">
        <v>14198.753959474399</v>
      </c>
      <c r="M303">
        <v>0.15481137456202801</v>
      </c>
      <c r="N303">
        <v>-8.5803430210621805</v>
      </c>
      <c r="O303" s="39">
        <v>45.44</v>
      </c>
      <c r="P303" s="39">
        <v>1554</v>
      </c>
      <c r="Q303" s="39">
        <v>185</v>
      </c>
      <c r="R303" s="39">
        <v>25.07</v>
      </c>
    </row>
    <row r="304" spans="1:18" x14ac:dyDescent="0.25">
      <c r="A304" s="1" t="s">
        <v>442</v>
      </c>
      <c r="B304" s="3">
        <v>48</v>
      </c>
      <c r="C304" s="19">
        <v>48</v>
      </c>
      <c r="D304" s="3" t="s">
        <v>497</v>
      </c>
      <c r="E304" s="3" t="s">
        <v>370</v>
      </c>
      <c r="F304" s="23">
        <v>479000</v>
      </c>
      <c r="G304" s="35">
        <v>2013</v>
      </c>
      <c r="H304">
        <f>Table_8[[#This Row],[Listing Price (USD)]]/10000</f>
        <v>47.9</v>
      </c>
      <c r="I304">
        <f>Table_8[[#This Row],[Length 
(ft)]]</f>
        <v>48</v>
      </c>
      <c r="J304" s="37">
        <f>2020-Table_8[[#This Row],[Year]]</f>
        <v>7</v>
      </c>
      <c r="K304">
        <v>500000000</v>
      </c>
      <c r="L304">
        <v>34200</v>
      </c>
      <c r="M304">
        <v>1.1000000000000001</v>
      </c>
      <c r="N304">
        <v>2</v>
      </c>
      <c r="O304" s="39">
        <v>45.44</v>
      </c>
      <c r="P304" s="39">
        <v>1554</v>
      </c>
      <c r="Q304" s="39">
        <v>185</v>
      </c>
      <c r="R304" s="39">
        <v>25.07</v>
      </c>
    </row>
    <row r="305" spans="1:18" x14ac:dyDescent="0.25">
      <c r="A305" s="1" t="s">
        <v>442</v>
      </c>
      <c r="B305" s="2">
        <v>48</v>
      </c>
      <c r="C305" s="19">
        <v>48</v>
      </c>
      <c r="D305" s="3" t="s">
        <v>496</v>
      </c>
      <c r="E305" s="4" t="s">
        <v>63</v>
      </c>
      <c r="F305" s="23">
        <v>479999</v>
      </c>
      <c r="G305" s="35">
        <v>2017</v>
      </c>
      <c r="H305">
        <f>Table_8[[#This Row],[Listing Price (USD)]]/10000</f>
        <v>47.999899999999997</v>
      </c>
      <c r="I305">
        <f>Table_8[[#This Row],[Length 
(ft)]]</f>
        <v>48</v>
      </c>
      <c r="J305" s="37">
        <f>2020-Table_8[[#This Row],[Year]]</f>
        <v>3</v>
      </c>
      <c r="K305">
        <v>720290000000</v>
      </c>
      <c r="L305">
        <v>13341.6</v>
      </c>
      <c r="M305">
        <v>13</v>
      </c>
      <c r="N305">
        <v>-3</v>
      </c>
      <c r="O305" s="39">
        <v>45.44</v>
      </c>
      <c r="P305" s="39">
        <v>1554</v>
      </c>
      <c r="Q305" s="39">
        <v>185</v>
      </c>
      <c r="R305" s="39">
        <v>25.07</v>
      </c>
    </row>
    <row r="306" spans="1:18" x14ac:dyDescent="0.25">
      <c r="A306" s="1" t="s">
        <v>442</v>
      </c>
      <c r="B306" s="2">
        <v>48</v>
      </c>
      <c r="C306" s="19">
        <v>48</v>
      </c>
      <c r="D306" s="3" t="s">
        <v>496</v>
      </c>
      <c r="E306" s="4" t="s">
        <v>63</v>
      </c>
      <c r="F306" s="23">
        <v>479999</v>
      </c>
      <c r="G306" s="35">
        <v>2017</v>
      </c>
      <c r="H306">
        <f>Table_8[[#This Row],[Listing Price (USD)]]/10000</f>
        <v>47.999899999999997</v>
      </c>
      <c r="I306">
        <f>Table_8[[#This Row],[Length 
(ft)]]</f>
        <v>48</v>
      </c>
      <c r="J306" s="37">
        <f>2020-Table_8[[#This Row],[Year]]</f>
        <v>3</v>
      </c>
      <c r="K306">
        <v>720290000000</v>
      </c>
      <c r="L306">
        <v>13341.6</v>
      </c>
      <c r="M306">
        <v>13</v>
      </c>
      <c r="N306">
        <v>-3</v>
      </c>
      <c r="O306" s="39">
        <v>45.44</v>
      </c>
      <c r="P306" s="39">
        <v>1554</v>
      </c>
      <c r="Q306" s="39">
        <v>185</v>
      </c>
      <c r="R306" s="39">
        <v>25.07</v>
      </c>
    </row>
    <row r="307" spans="1:18" x14ac:dyDescent="0.25">
      <c r="A307" s="1" t="s">
        <v>442</v>
      </c>
      <c r="B307" s="2">
        <v>48</v>
      </c>
      <c r="C307" s="19">
        <v>48</v>
      </c>
      <c r="D307" s="3" t="s">
        <v>497</v>
      </c>
      <c r="E307" s="3" t="s">
        <v>522</v>
      </c>
      <c r="F307" s="23">
        <v>499000</v>
      </c>
      <c r="G307" s="35">
        <v>2015</v>
      </c>
      <c r="H307">
        <f>Table_8[[#This Row],[Listing Price (USD)]]/10000</f>
        <v>49.9</v>
      </c>
      <c r="I307">
        <f>Table_8[[#This Row],[Length 
(ft)]]</f>
        <v>48</v>
      </c>
      <c r="J307" s="37">
        <f>2020-Table_8[[#This Row],[Year]]</f>
        <v>5</v>
      </c>
      <c r="K307">
        <v>209000000</v>
      </c>
      <c r="L307">
        <v>11726.7698</v>
      </c>
      <c r="M307">
        <v>3</v>
      </c>
      <c r="N307">
        <v>-0.7</v>
      </c>
      <c r="O307" s="39">
        <v>45.44</v>
      </c>
      <c r="P307" s="39">
        <v>1554</v>
      </c>
      <c r="Q307" s="39">
        <v>185</v>
      </c>
      <c r="R307" s="39">
        <v>25.07</v>
      </c>
    </row>
    <row r="308" spans="1:18" x14ac:dyDescent="0.25">
      <c r="A308" s="1" t="s">
        <v>442</v>
      </c>
      <c r="B308" s="2">
        <v>48</v>
      </c>
      <c r="C308" s="19">
        <v>48</v>
      </c>
      <c r="D308" s="3" t="s">
        <v>496</v>
      </c>
      <c r="E308" s="4" t="s">
        <v>31</v>
      </c>
      <c r="F308" s="23">
        <v>508561</v>
      </c>
      <c r="G308" s="35">
        <v>2015</v>
      </c>
      <c r="H308">
        <f>Table_8[[#This Row],[Listing Price (USD)]]/10000</f>
        <v>50.856099999999998</v>
      </c>
      <c r="I308">
        <f>Table_8[[#This Row],[Length 
(ft)]]</f>
        <v>48</v>
      </c>
      <c r="J308" s="37">
        <f>2020-Table_8[[#This Row],[Year]]</f>
        <v>5</v>
      </c>
      <c r="K308">
        <v>57472012426.685303</v>
      </c>
      <c r="L308">
        <v>14198.753959474399</v>
      </c>
      <c r="M308">
        <v>0.15481137456202801</v>
      </c>
      <c r="N308">
        <v>-8.5803430210621805</v>
      </c>
      <c r="O308" s="39">
        <v>45.44</v>
      </c>
      <c r="P308" s="39">
        <v>1554</v>
      </c>
      <c r="Q308" s="39">
        <v>185</v>
      </c>
      <c r="R308" s="39">
        <v>25.07</v>
      </c>
    </row>
    <row r="309" spans="1:18" x14ac:dyDescent="0.25">
      <c r="A309" s="1" t="s">
        <v>442</v>
      </c>
      <c r="B309" s="2">
        <v>48</v>
      </c>
      <c r="C309" s="19">
        <v>48</v>
      </c>
      <c r="D309" s="3" t="s">
        <v>496</v>
      </c>
      <c r="E309" s="4" t="s">
        <v>18</v>
      </c>
      <c r="F309" s="23">
        <v>508561</v>
      </c>
      <c r="G309" s="35">
        <v>2015</v>
      </c>
      <c r="H309">
        <f>Table_8[[#This Row],[Listing Price (USD)]]/10000</f>
        <v>50.856099999999998</v>
      </c>
      <c r="I309">
        <f>Table_8[[#This Row],[Length 
(ft)]]</f>
        <v>48</v>
      </c>
      <c r="J309" s="37">
        <f>2020-Table_8[[#This Row],[Year]]</f>
        <v>5</v>
      </c>
      <c r="K309">
        <v>188925995936.80701</v>
      </c>
      <c r="L309">
        <v>17658.947301119199</v>
      </c>
      <c r="M309">
        <v>-1.2479835558140799</v>
      </c>
      <c r="N309">
        <v>-9.0040436420214593</v>
      </c>
      <c r="O309" s="39">
        <v>45.44</v>
      </c>
      <c r="P309" s="39">
        <v>1554</v>
      </c>
      <c r="Q309" s="39">
        <v>185</v>
      </c>
      <c r="R309" s="39">
        <v>25.07</v>
      </c>
    </row>
    <row r="310" spans="1:18" x14ac:dyDescent="0.25">
      <c r="A310" s="1" t="s">
        <v>451</v>
      </c>
      <c r="B310" s="2">
        <v>49</v>
      </c>
      <c r="C310" s="19">
        <v>49</v>
      </c>
      <c r="D310" s="3" t="s">
        <v>497</v>
      </c>
      <c r="E310" s="3" t="s">
        <v>392</v>
      </c>
      <c r="F310" s="23">
        <v>601884</v>
      </c>
      <c r="G310" s="35">
        <v>2011</v>
      </c>
      <c r="H310">
        <f>Table_8[[#This Row],[Listing Price (USD)]]/10000</f>
        <v>60.188400000000001</v>
      </c>
      <c r="I310">
        <f>Table_8[[#This Row],[Length 
(ft)]]</f>
        <v>49</v>
      </c>
      <c r="J310" s="37">
        <f>2020-Table_8[[#This Row],[Year]]</f>
        <v>9</v>
      </c>
      <c r="K310">
        <v>1043414814.81481</v>
      </c>
      <c r="L310">
        <v>8437.5667322870595</v>
      </c>
      <c r="M310">
        <v>-0.74073259704550098</v>
      </c>
      <c r="N310">
        <v>-13.7559294530644</v>
      </c>
      <c r="O310" s="39">
        <v>48.92</v>
      </c>
      <c r="P310" s="39">
        <v>1426.2</v>
      </c>
      <c r="Q310" s="39">
        <v>112</v>
      </c>
      <c r="R310" s="39">
        <v>24.44</v>
      </c>
    </row>
    <row r="311" spans="1:18" x14ac:dyDescent="0.25">
      <c r="A311" s="1" t="s">
        <v>451</v>
      </c>
      <c r="B311" s="2">
        <v>49</v>
      </c>
      <c r="C311" s="19">
        <v>49</v>
      </c>
      <c r="D311" s="3" t="s">
        <v>496</v>
      </c>
      <c r="E311" s="4" t="s">
        <v>3</v>
      </c>
      <c r="F311" s="23">
        <v>763449</v>
      </c>
      <c r="G311" s="35">
        <v>2010</v>
      </c>
      <c r="H311">
        <f>Table_8[[#This Row],[Listing Price (USD)]]/10000</f>
        <v>76.344899999999996</v>
      </c>
      <c r="I311">
        <f>Table_8[[#This Row],[Length 
(ft)]]</f>
        <v>49</v>
      </c>
      <c r="J311" s="37">
        <f>2020-Table_8[[#This Row],[Year]]</f>
        <v>10</v>
      </c>
      <c r="K311">
        <v>2639008701648.2598</v>
      </c>
      <c r="L311">
        <v>39055.282928075401</v>
      </c>
      <c r="M311">
        <v>0.47649885272508302</v>
      </c>
      <c r="N311">
        <v>-7.7845864916787102</v>
      </c>
      <c r="O311" s="39">
        <v>48.92</v>
      </c>
      <c r="P311" s="39">
        <v>1426.2</v>
      </c>
      <c r="Q311" s="39">
        <v>112</v>
      </c>
      <c r="R311" s="39">
        <v>24.44</v>
      </c>
    </row>
    <row r="312" spans="1:18" x14ac:dyDescent="0.25">
      <c r="A312" s="1" t="s">
        <v>451</v>
      </c>
      <c r="B312" s="2">
        <v>49</v>
      </c>
      <c r="C312" s="19">
        <v>49</v>
      </c>
      <c r="D312" s="3" t="s">
        <v>496</v>
      </c>
      <c r="E312" s="4" t="s">
        <v>3</v>
      </c>
      <c r="F312" s="23">
        <v>811999</v>
      </c>
      <c r="G312" s="35">
        <v>2011</v>
      </c>
      <c r="H312">
        <f>Table_8[[#This Row],[Listing Price (USD)]]/10000</f>
        <v>81.1999</v>
      </c>
      <c r="I312">
        <f>Table_8[[#This Row],[Length 
(ft)]]</f>
        <v>49</v>
      </c>
      <c r="J312" s="37">
        <f>2020-Table_8[[#This Row],[Year]]</f>
        <v>9</v>
      </c>
      <c r="K312">
        <v>2639008701648.2598</v>
      </c>
      <c r="L312">
        <v>39055.282928075401</v>
      </c>
      <c r="M312">
        <v>0.47649885272508302</v>
      </c>
      <c r="N312">
        <v>-7.7845864916787102</v>
      </c>
      <c r="O312" s="39">
        <v>48.92</v>
      </c>
      <c r="P312" s="39">
        <v>1426.2</v>
      </c>
      <c r="Q312" s="39">
        <v>112</v>
      </c>
      <c r="R312" s="39">
        <v>24.44</v>
      </c>
    </row>
    <row r="313" spans="1:18" x14ac:dyDescent="0.25">
      <c r="A313" s="1" t="s">
        <v>451</v>
      </c>
      <c r="B313" s="2">
        <v>49</v>
      </c>
      <c r="C313" s="19">
        <v>49</v>
      </c>
      <c r="D313" s="3" t="s">
        <v>496</v>
      </c>
      <c r="E313" s="4" t="s">
        <v>3</v>
      </c>
      <c r="F313" s="23">
        <v>812664</v>
      </c>
      <c r="G313" s="35">
        <v>2011</v>
      </c>
      <c r="H313">
        <f>Table_8[[#This Row],[Listing Price (USD)]]/10000</f>
        <v>81.266400000000004</v>
      </c>
      <c r="I313">
        <f>Table_8[[#This Row],[Length 
(ft)]]</f>
        <v>49</v>
      </c>
      <c r="J313" s="37">
        <f>2020-Table_8[[#This Row],[Year]]</f>
        <v>9</v>
      </c>
      <c r="K313">
        <v>2639008701648.2598</v>
      </c>
      <c r="L313">
        <v>39055.282928075401</v>
      </c>
      <c r="M313">
        <v>0.47649885272508302</v>
      </c>
      <c r="N313">
        <v>-7.7845864916787102</v>
      </c>
      <c r="O313" s="39">
        <v>48.92</v>
      </c>
      <c r="P313" s="39">
        <v>1426.2</v>
      </c>
      <c r="Q313" s="39">
        <v>112</v>
      </c>
      <c r="R313" s="39">
        <v>24.44</v>
      </c>
    </row>
    <row r="314" spans="1:18" x14ac:dyDescent="0.25">
      <c r="A314" s="1" t="s">
        <v>427</v>
      </c>
      <c r="B314" s="2">
        <v>50</v>
      </c>
      <c r="C314" s="19">
        <v>48</v>
      </c>
      <c r="D314" s="3" t="s">
        <v>497</v>
      </c>
      <c r="E314" s="3" t="s">
        <v>370</v>
      </c>
      <c r="F314" s="23">
        <v>449000</v>
      </c>
      <c r="G314" s="35">
        <v>2006</v>
      </c>
      <c r="H314">
        <f>Table_8[[#This Row],[Listing Price (USD)]]/10000</f>
        <v>44.9</v>
      </c>
      <c r="I314">
        <f>Table_8[[#This Row],[Length 
(ft)]]</f>
        <v>48</v>
      </c>
      <c r="J314" s="37">
        <f>2020-Table_8[[#This Row],[Year]]</f>
        <v>14</v>
      </c>
      <c r="K314">
        <v>500000000</v>
      </c>
      <c r="L314">
        <v>34200</v>
      </c>
      <c r="M314">
        <v>1.1000000000000001</v>
      </c>
      <c r="N314">
        <v>2</v>
      </c>
      <c r="O314" s="39">
        <v>48.69</v>
      </c>
      <c r="P314" s="39">
        <v>1829.86</v>
      </c>
      <c r="Q314" s="39">
        <v>227</v>
      </c>
      <c r="R314" s="39">
        <v>26.02</v>
      </c>
    </row>
    <row r="315" spans="1:18" x14ac:dyDescent="0.25">
      <c r="A315" s="1" t="s">
        <v>404</v>
      </c>
      <c r="B315" s="2">
        <v>50</v>
      </c>
      <c r="C315" s="19">
        <v>53</v>
      </c>
      <c r="D315" s="3" t="s">
        <v>496</v>
      </c>
      <c r="E315" s="4" t="s">
        <v>9</v>
      </c>
      <c r="F315" s="23">
        <v>632282</v>
      </c>
      <c r="G315" s="35">
        <v>2008</v>
      </c>
      <c r="H315">
        <f>Table_8[[#This Row],[Listing Price (USD)]]/10000</f>
        <v>63.228200000000001</v>
      </c>
      <c r="I315">
        <f>Table_8[[#This Row],[Length 
(ft)]]</f>
        <v>53</v>
      </c>
      <c r="J315" s="37">
        <f>2020-Table_8[[#This Row],[Year]]</f>
        <v>12</v>
      </c>
      <c r="K315">
        <v>1276962685648.25</v>
      </c>
      <c r="L315">
        <v>26959.675436732599</v>
      </c>
      <c r="M315">
        <v>-0.32275301729970501</v>
      </c>
      <c r="N315">
        <v>-11.3254383222864</v>
      </c>
      <c r="O315" s="39">
        <v>48.69</v>
      </c>
      <c r="P315" s="39">
        <v>1829.86</v>
      </c>
      <c r="Q315" s="39">
        <v>227</v>
      </c>
      <c r="R315" s="39">
        <v>26.02</v>
      </c>
    </row>
    <row r="316" spans="1:18" x14ac:dyDescent="0.25">
      <c r="A316" s="1" t="s">
        <v>404</v>
      </c>
      <c r="B316" s="2">
        <v>50</v>
      </c>
      <c r="C316" s="19">
        <v>50</v>
      </c>
      <c r="D316" s="3" t="s">
        <v>496</v>
      </c>
      <c r="E316" s="4" t="s">
        <v>3</v>
      </c>
      <c r="F316" s="23">
        <v>703279</v>
      </c>
      <c r="G316" s="35">
        <v>2007</v>
      </c>
      <c r="H316">
        <f>Table_8[[#This Row],[Listing Price (USD)]]/10000</f>
        <v>70.3279</v>
      </c>
      <c r="I316">
        <f>Table_8[[#This Row],[Length 
(ft)]]</f>
        <v>50</v>
      </c>
      <c r="J316" s="37">
        <f>2020-Table_8[[#This Row],[Year]]</f>
        <v>13</v>
      </c>
      <c r="K316">
        <v>2639008701648.2598</v>
      </c>
      <c r="L316">
        <v>39055.282928075401</v>
      </c>
      <c r="M316">
        <v>0.47649885272508302</v>
      </c>
      <c r="N316">
        <v>-7.7845864916787102</v>
      </c>
      <c r="O316" s="39">
        <v>48.69</v>
      </c>
      <c r="P316" s="39">
        <v>1829.86</v>
      </c>
      <c r="Q316" s="39">
        <v>227</v>
      </c>
      <c r="R316" s="39">
        <v>26.02</v>
      </c>
    </row>
    <row r="317" spans="1:18" x14ac:dyDescent="0.25">
      <c r="A317" s="1" t="s">
        <v>404</v>
      </c>
      <c r="B317" s="2">
        <v>50</v>
      </c>
      <c r="C317" s="19">
        <v>50</v>
      </c>
      <c r="D317" s="3" t="s">
        <v>496</v>
      </c>
      <c r="E317" s="4" t="s">
        <v>3</v>
      </c>
      <c r="F317" s="23">
        <v>709342</v>
      </c>
      <c r="G317" s="35">
        <v>2008</v>
      </c>
      <c r="H317">
        <f>Table_8[[#This Row],[Listing Price (USD)]]/10000</f>
        <v>70.934200000000004</v>
      </c>
      <c r="I317">
        <f>Table_8[[#This Row],[Length 
(ft)]]</f>
        <v>50</v>
      </c>
      <c r="J317" s="37">
        <f>2020-Table_8[[#This Row],[Year]]</f>
        <v>12</v>
      </c>
      <c r="K317">
        <v>2639008701648.2598</v>
      </c>
      <c r="L317">
        <v>39055.282928075401</v>
      </c>
      <c r="M317">
        <v>0.47649885272508302</v>
      </c>
      <c r="N317">
        <v>-7.7845864916787102</v>
      </c>
      <c r="O317" s="39">
        <v>48.69</v>
      </c>
      <c r="P317" s="39">
        <v>1829.86</v>
      </c>
      <c r="Q317" s="39">
        <v>227</v>
      </c>
      <c r="R317" s="39">
        <v>26.02</v>
      </c>
    </row>
    <row r="318" spans="1:18" x14ac:dyDescent="0.25">
      <c r="A318" s="1" t="s">
        <v>427</v>
      </c>
      <c r="B318" s="2">
        <v>50</v>
      </c>
      <c r="C318" s="19">
        <v>48</v>
      </c>
      <c r="D318" s="3" t="s">
        <v>496</v>
      </c>
      <c r="E318" s="4" t="s">
        <v>18</v>
      </c>
      <c r="F318" s="23">
        <v>788937</v>
      </c>
      <c r="G318" s="35">
        <v>2018</v>
      </c>
      <c r="H318">
        <f>Table_8[[#This Row],[Listing Price (USD)]]/10000</f>
        <v>78.893699999999995</v>
      </c>
      <c r="I318">
        <f>Table_8[[#This Row],[Length 
(ft)]]</f>
        <v>48</v>
      </c>
      <c r="J318" s="37">
        <f>2020-Table_8[[#This Row],[Year]]</f>
        <v>2</v>
      </c>
      <c r="K318">
        <v>188925995936.80701</v>
      </c>
      <c r="L318">
        <v>17658.947301119199</v>
      </c>
      <c r="M318">
        <v>-1.2479835558140799</v>
      </c>
      <c r="N318">
        <v>-9.0040436420214593</v>
      </c>
      <c r="O318" s="39">
        <v>48.69</v>
      </c>
      <c r="P318" s="39">
        <v>1829.86</v>
      </c>
      <c r="Q318" s="39">
        <v>227</v>
      </c>
      <c r="R318" s="39">
        <v>26.02</v>
      </c>
    </row>
    <row r="319" spans="1:18" x14ac:dyDescent="0.25">
      <c r="A319" s="1" t="s">
        <v>427</v>
      </c>
      <c r="B319" s="2">
        <v>50</v>
      </c>
      <c r="C319" s="19">
        <v>48</v>
      </c>
      <c r="D319" s="3" t="s">
        <v>496</v>
      </c>
      <c r="E319" s="4" t="s">
        <v>18</v>
      </c>
      <c r="F319" s="23">
        <v>788937</v>
      </c>
      <c r="G319" s="35">
        <v>2019</v>
      </c>
      <c r="H319">
        <f>Table_8[[#This Row],[Listing Price (USD)]]/10000</f>
        <v>78.893699999999995</v>
      </c>
      <c r="I319">
        <f>Table_8[[#This Row],[Length 
(ft)]]</f>
        <v>48</v>
      </c>
      <c r="J319" s="37">
        <f>2020-Table_8[[#This Row],[Year]]</f>
        <v>1</v>
      </c>
      <c r="K319">
        <v>188925995936.80701</v>
      </c>
      <c r="L319">
        <v>17658.947301119199</v>
      </c>
      <c r="M319">
        <v>-1.2479835558140799</v>
      </c>
      <c r="N319">
        <v>-9.0040436420214593</v>
      </c>
      <c r="O319" s="39">
        <v>48.69</v>
      </c>
      <c r="P319" s="39">
        <v>1829.86</v>
      </c>
      <c r="Q319" s="39">
        <v>227</v>
      </c>
      <c r="R319" s="39">
        <v>26.02</v>
      </c>
    </row>
    <row r="320" spans="1:18" x14ac:dyDescent="0.25">
      <c r="A320" s="1" t="s">
        <v>427</v>
      </c>
      <c r="B320" s="2">
        <v>50</v>
      </c>
      <c r="C320" s="19">
        <v>48</v>
      </c>
      <c r="D320" s="3" t="s">
        <v>496</v>
      </c>
      <c r="E320" s="4" t="s">
        <v>18</v>
      </c>
      <c r="F320" s="23">
        <v>788937</v>
      </c>
      <c r="G320" s="35">
        <v>2019</v>
      </c>
      <c r="H320">
        <f>Table_8[[#This Row],[Listing Price (USD)]]/10000</f>
        <v>78.893699999999995</v>
      </c>
      <c r="I320">
        <f>Table_8[[#This Row],[Length 
(ft)]]</f>
        <v>48</v>
      </c>
      <c r="J320" s="37">
        <f>2020-Table_8[[#This Row],[Year]]</f>
        <v>1</v>
      </c>
      <c r="K320">
        <v>188925995936.80701</v>
      </c>
      <c r="L320">
        <v>17658.947301119199</v>
      </c>
      <c r="M320">
        <v>-1.2479835558140799</v>
      </c>
      <c r="N320">
        <v>-9.0040436420214593</v>
      </c>
      <c r="O320" s="39">
        <v>48.69</v>
      </c>
      <c r="P320" s="39">
        <v>1829.86</v>
      </c>
      <c r="Q320" s="39">
        <v>227</v>
      </c>
      <c r="R320" s="39">
        <v>26.02</v>
      </c>
    </row>
    <row r="321" spans="1:18" x14ac:dyDescent="0.25">
      <c r="A321" s="1" t="s">
        <v>427</v>
      </c>
      <c r="B321" s="2">
        <v>50</v>
      </c>
      <c r="C321" s="19">
        <v>48</v>
      </c>
      <c r="D321" s="3" t="s">
        <v>496</v>
      </c>
      <c r="E321" s="4" t="s">
        <v>18</v>
      </c>
      <c r="F321" s="23">
        <v>789584</v>
      </c>
      <c r="G321" s="35">
        <v>2019</v>
      </c>
      <c r="H321">
        <f>Table_8[[#This Row],[Listing Price (USD)]]/10000</f>
        <v>78.958399999999997</v>
      </c>
      <c r="I321">
        <f>Table_8[[#This Row],[Length 
(ft)]]</f>
        <v>48</v>
      </c>
      <c r="J321" s="37">
        <f>2020-Table_8[[#This Row],[Year]]</f>
        <v>1</v>
      </c>
      <c r="K321">
        <v>188925995936.80701</v>
      </c>
      <c r="L321">
        <v>17658.947301119199</v>
      </c>
      <c r="M321">
        <v>-1.2479835558140799</v>
      </c>
      <c r="N321">
        <v>-9.0040436420214593</v>
      </c>
      <c r="O321" s="39">
        <v>48.69</v>
      </c>
      <c r="P321" s="39">
        <v>1829.86</v>
      </c>
      <c r="Q321" s="39">
        <v>227</v>
      </c>
      <c r="R321" s="39">
        <v>26.02</v>
      </c>
    </row>
    <row r="322" spans="1:18" x14ac:dyDescent="0.25">
      <c r="A322" s="1" t="s">
        <v>427</v>
      </c>
      <c r="B322" s="2">
        <v>50</v>
      </c>
      <c r="C322" s="19">
        <v>48</v>
      </c>
      <c r="D322" s="3" t="s">
        <v>496</v>
      </c>
      <c r="E322" s="4" t="s">
        <v>18</v>
      </c>
      <c r="F322" s="23">
        <v>849625</v>
      </c>
      <c r="G322" s="35">
        <v>2019</v>
      </c>
      <c r="H322">
        <f>Table_8[[#This Row],[Listing Price (USD)]]/10000</f>
        <v>84.962500000000006</v>
      </c>
      <c r="I322">
        <f>Table_8[[#This Row],[Length 
(ft)]]</f>
        <v>48</v>
      </c>
      <c r="J322" s="37">
        <f>2020-Table_8[[#This Row],[Year]]</f>
        <v>1</v>
      </c>
      <c r="K322">
        <v>188925995936.80701</v>
      </c>
      <c r="L322">
        <v>17658.947301119199</v>
      </c>
      <c r="M322">
        <v>-1.2479835558140799</v>
      </c>
      <c r="N322">
        <v>-9.0040436420214593</v>
      </c>
      <c r="O322" s="39">
        <v>48.69</v>
      </c>
      <c r="P322" s="39">
        <v>1829.86</v>
      </c>
      <c r="Q322" s="39">
        <v>227</v>
      </c>
      <c r="R322" s="39">
        <v>26.02</v>
      </c>
    </row>
    <row r="323" spans="1:18" x14ac:dyDescent="0.25">
      <c r="A323" s="1" t="s">
        <v>427</v>
      </c>
      <c r="B323" s="2">
        <v>50</v>
      </c>
      <c r="C323" s="19">
        <v>48</v>
      </c>
      <c r="D323" s="3" t="s">
        <v>496</v>
      </c>
      <c r="E323" s="4" t="s">
        <v>24</v>
      </c>
      <c r="F323" s="23">
        <v>873900</v>
      </c>
      <c r="G323" s="35">
        <v>2018</v>
      </c>
      <c r="H323">
        <f>Table_8[[#This Row],[Listing Price (USD)]]/10000</f>
        <v>87.39</v>
      </c>
      <c r="I323">
        <f>Table_8[[#This Row],[Length 
(ft)]]</f>
        <v>48</v>
      </c>
      <c r="J323" s="37">
        <f>2020-Table_8[[#This Row],[Year]]</f>
        <v>2</v>
      </c>
      <c r="K323">
        <v>1896755301518.1399</v>
      </c>
      <c r="L323">
        <v>31911.0357890017</v>
      </c>
      <c r="M323">
        <v>-0.13770757391656999</v>
      </c>
      <c r="N323">
        <v>-9.0399534112288507</v>
      </c>
      <c r="O323" s="39">
        <v>48.69</v>
      </c>
      <c r="P323" s="39">
        <v>1829.86</v>
      </c>
      <c r="Q323" s="39">
        <v>227</v>
      </c>
      <c r="R323" s="39">
        <v>26.02</v>
      </c>
    </row>
    <row r="324" spans="1:18" x14ac:dyDescent="0.25">
      <c r="A324" s="1" t="s">
        <v>427</v>
      </c>
      <c r="B324" s="2">
        <v>50</v>
      </c>
      <c r="C324" s="19">
        <v>48</v>
      </c>
      <c r="D324" s="3" t="s">
        <v>496</v>
      </c>
      <c r="E324" s="4" t="s">
        <v>24</v>
      </c>
      <c r="F324" s="23">
        <v>874616</v>
      </c>
      <c r="G324" s="35">
        <v>2018</v>
      </c>
      <c r="H324">
        <f>Table_8[[#This Row],[Listing Price (USD)]]/10000</f>
        <v>87.461600000000004</v>
      </c>
      <c r="I324">
        <f>Table_8[[#This Row],[Length 
(ft)]]</f>
        <v>48</v>
      </c>
      <c r="J324" s="37">
        <f>2020-Table_8[[#This Row],[Year]]</f>
        <v>2</v>
      </c>
      <c r="K324">
        <v>1896755301518.1399</v>
      </c>
      <c r="L324">
        <v>31911.0357890017</v>
      </c>
      <c r="M324">
        <v>-0.13770757391656999</v>
      </c>
      <c r="N324">
        <v>-9.0399534112288507</v>
      </c>
      <c r="O324" s="39">
        <v>48.69</v>
      </c>
      <c r="P324" s="39">
        <v>1829.86</v>
      </c>
      <c r="Q324" s="39">
        <v>227</v>
      </c>
      <c r="R324" s="39">
        <v>26.02</v>
      </c>
    </row>
    <row r="325" spans="1:18" x14ac:dyDescent="0.25">
      <c r="A325" s="1" t="s">
        <v>427</v>
      </c>
      <c r="B325" s="2">
        <v>52</v>
      </c>
      <c r="C325" s="19">
        <v>52</v>
      </c>
      <c r="D325" s="3" t="s">
        <v>497</v>
      </c>
      <c r="E325" s="3" t="s">
        <v>392</v>
      </c>
      <c r="F325" s="23">
        <v>627812</v>
      </c>
      <c r="G325" s="35">
        <v>2016</v>
      </c>
      <c r="H325">
        <f>Table_8[[#This Row],[Listing Price (USD)]]/10000</f>
        <v>62.781199999999998</v>
      </c>
      <c r="I325">
        <f>Table_8[[#This Row],[Length 
(ft)]]</f>
        <v>52</v>
      </c>
      <c r="J325" s="37">
        <f>2020-Table_8[[#This Row],[Year]]</f>
        <v>4</v>
      </c>
      <c r="K325">
        <v>1043414814.81481</v>
      </c>
      <c r="L325">
        <v>8437.5667322870595</v>
      </c>
      <c r="M325">
        <v>-0.74073259704550098</v>
      </c>
      <c r="N325">
        <v>-13.7559294530644</v>
      </c>
      <c r="O325" s="39">
        <v>47.95</v>
      </c>
      <c r="P325" s="39">
        <v>1679</v>
      </c>
      <c r="Q325" s="39">
        <v>262</v>
      </c>
      <c r="R325" s="39">
        <v>28.67</v>
      </c>
    </row>
    <row r="326" spans="1:18" x14ac:dyDescent="0.25">
      <c r="A326" s="1" t="s">
        <v>441</v>
      </c>
      <c r="B326" s="2">
        <v>52</v>
      </c>
      <c r="C326" s="19">
        <v>52</v>
      </c>
      <c r="D326" s="3" t="s">
        <v>496</v>
      </c>
      <c r="E326" s="4" t="s">
        <v>31</v>
      </c>
      <c r="F326" s="23">
        <v>753875</v>
      </c>
      <c r="G326" s="35">
        <v>2014</v>
      </c>
      <c r="H326">
        <f>Table_8[[#This Row],[Listing Price (USD)]]/10000</f>
        <v>75.387500000000003</v>
      </c>
      <c r="I326">
        <f>Table_8[[#This Row],[Length 
(ft)]]</f>
        <v>52</v>
      </c>
      <c r="J326" s="37">
        <f>2020-Table_8[[#This Row],[Year]]</f>
        <v>6</v>
      </c>
      <c r="K326">
        <v>57472012426.685303</v>
      </c>
      <c r="L326">
        <v>14198.753959474399</v>
      </c>
      <c r="M326">
        <v>0.15481137456202801</v>
      </c>
      <c r="N326">
        <v>-8.5803430210621805</v>
      </c>
      <c r="O326" s="39">
        <v>47.95</v>
      </c>
      <c r="P326" s="39">
        <v>1679</v>
      </c>
      <c r="Q326" s="39">
        <v>262</v>
      </c>
      <c r="R326" s="39">
        <v>28.67</v>
      </c>
    </row>
    <row r="327" spans="1:18" x14ac:dyDescent="0.25">
      <c r="A327" s="1" t="s">
        <v>427</v>
      </c>
      <c r="B327" s="2">
        <v>52</v>
      </c>
      <c r="C327" s="19">
        <v>52</v>
      </c>
      <c r="D327" s="3" t="s">
        <v>495</v>
      </c>
      <c r="E327" s="3" t="s">
        <v>333</v>
      </c>
      <c r="F327" s="23">
        <v>759000</v>
      </c>
      <c r="G327" s="35">
        <v>2013</v>
      </c>
      <c r="H327">
        <f>Table_8[[#This Row],[Listing Price (USD)]]/10000</f>
        <v>75.900000000000006</v>
      </c>
      <c r="I327">
        <f>Table_8[[#This Row],[Length 
(ft)]]</f>
        <v>52</v>
      </c>
      <c r="J327" s="37">
        <f>2020-Table_8[[#This Row],[Year]]</f>
        <v>7</v>
      </c>
      <c r="K327">
        <v>1106036000000</v>
      </c>
      <c r="L327">
        <v>51276.72</v>
      </c>
      <c r="M327">
        <v>1.23</v>
      </c>
      <c r="N327">
        <v>2.9</v>
      </c>
      <c r="O327" s="39">
        <v>47.95</v>
      </c>
      <c r="P327" s="39">
        <v>1679</v>
      </c>
      <c r="Q327" s="39">
        <v>262</v>
      </c>
      <c r="R327" s="39">
        <v>28.67</v>
      </c>
    </row>
    <row r="328" spans="1:18" x14ac:dyDescent="0.25">
      <c r="A328" s="1" t="s">
        <v>427</v>
      </c>
      <c r="B328" s="2">
        <v>52</v>
      </c>
      <c r="C328" s="19">
        <v>52</v>
      </c>
      <c r="D328" s="3" t="s">
        <v>495</v>
      </c>
      <c r="E328" s="3" t="s">
        <v>523</v>
      </c>
      <c r="F328" s="23">
        <v>799000</v>
      </c>
      <c r="G328" s="35">
        <v>2014</v>
      </c>
      <c r="H328">
        <f>Table_8[[#This Row],[Listing Price (USD)]]/10000</f>
        <v>79.900000000000006</v>
      </c>
      <c r="I328">
        <f>Table_8[[#This Row],[Length 
(ft)]]</f>
        <v>52</v>
      </c>
      <c r="J328" s="37">
        <f>2020-Table_8[[#This Row],[Year]]</f>
        <v>6</v>
      </c>
      <c r="K328">
        <v>1775588000000</v>
      </c>
      <c r="L328">
        <v>60771.06</v>
      </c>
      <c r="M328">
        <v>1.23</v>
      </c>
      <c r="N328">
        <v>5.0999999999999996</v>
      </c>
      <c r="O328" s="39">
        <v>47.95</v>
      </c>
      <c r="P328" s="39">
        <v>1679</v>
      </c>
      <c r="Q328" s="39">
        <v>262</v>
      </c>
      <c r="R328" s="39">
        <v>28.67</v>
      </c>
    </row>
    <row r="329" spans="1:18" x14ac:dyDescent="0.25">
      <c r="A329" s="1" t="s">
        <v>441</v>
      </c>
      <c r="B329" s="2">
        <v>52</v>
      </c>
      <c r="C329" s="19">
        <v>52</v>
      </c>
      <c r="D329" s="3" t="s">
        <v>496</v>
      </c>
      <c r="E329" s="4" t="s">
        <v>31</v>
      </c>
      <c r="F329" s="23">
        <v>802512</v>
      </c>
      <c r="G329" s="35">
        <v>2013</v>
      </c>
      <c r="H329">
        <f>Table_8[[#This Row],[Listing Price (USD)]]/10000</f>
        <v>80.251199999999997</v>
      </c>
      <c r="I329">
        <f>Table_8[[#This Row],[Length 
(ft)]]</f>
        <v>52</v>
      </c>
      <c r="J329" s="37">
        <f>2020-Table_8[[#This Row],[Year]]</f>
        <v>7</v>
      </c>
      <c r="K329">
        <v>57472012426.685303</v>
      </c>
      <c r="L329">
        <v>14198.753959474399</v>
      </c>
      <c r="M329">
        <v>0.15481137456202801</v>
      </c>
      <c r="N329">
        <v>-8.5803430210621805</v>
      </c>
      <c r="O329" s="39">
        <v>47.95</v>
      </c>
      <c r="P329" s="39">
        <v>1679</v>
      </c>
      <c r="Q329" s="39">
        <v>262</v>
      </c>
      <c r="R329" s="39">
        <v>28.67</v>
      </c>
    </row>
    <row r="330" spans="1:18" x14ac:dyDescent="0.25">
      <c r="A330" s="1" t="s">
        <v>441</v>
      </c>
      <c r="B330" s="2">
        <v>52</v>
      </c>
      <c r="C330" s="19">
        <v>52</v>
      </c>
      <c r="D330" s="3" t="s">
        <v>496</v>
      </c>
      <c r="E330" s="4" t="s">
        <v>31</v>
      </c>
      <c r="F330" s="23">
        <v>802512</v>
      </c>
      <c r="G330" s="35">
        <v>2013</v>
      </c>
      <c r="H330">
        <f>Table_8[[#This Row],[Listing Price (USD)]]/10000</f>
        <v>80.251199999999997</v>
      </c>
      <c r="I330">
        <f>Table_8[[#This Row],[Length 
(ft)]]</f>
        <v>52</v>
      </c>
      <c r="J330" s="37">
        <f>2020-Table_8[[#This Row],[Year]]</f>
        <v>7</v>
      </c>
      <c r="K330">
        <v>57472012426.685303</v>
      </c>
      <c r="L330">
        <v>14198.753959474399</v>
      </c>
      <c r="M330">
        <v>0.15481137456202801</v>
      </c>
      <c r="N330">
        <v>-8.5803430210621805</v>
      </c>
      <c r="O330" s="39">
        <v>47.95</v>
      </c>
      <c r="P330" s="39">
        <v>1679</v>
      </c>
      <c r="Q330" s="39">
        <v>262</v>
      </c>
      <c r="R330" s="39">
        <v>28.67</v>
      </c>
    </row>
    <row r="331" spans="1:18" x14ac:dyDescent="0.25">
      <c r="A331" s="1" t="s">
        <v>427</v>
      </c>
      <c r="B331" s="2">
        <v>52</v>
      </c>
      <c r="C331" s="19">
        <v>52</v>
      </c>
      <c r="D331" s="3" t="s">
        <v>497</v>
      </c>
      <c r="E331" s="3" t="s">
        <v>483</v>
      </c>
      <c r="F331" s="23">
        <v>836660</v>
      </c>
      <c r="G331" s="35">
        <v>2013</v>
      </c>
      <c r="H331">
        <f>Table_8[[#This Row],[Listing Price (USD)]]/10000</f>
        <v>83.665999999999997</v>
      </c>
      <c r="I331">
        <f>Table_8[[#This Row],[Length 
(ft)]]</f>
        <v>52</v>
      </c>
      <c r="J331" s="37">
        <f>2020-Table_8[[#This Row],[Year]]</f>
        <v>7</v>
      </c>
      <c r="K331">
        <v>4200000000</v>
      </c>
      <c r="L331">
        <v>39553.199999999997</v>
      </c>
      <c r="M331">
        <v>2.5</v>
      </c>
      <c r="N331">
        <v>-2.1</v>
      </c>
      <c r="O331" s="39">
        <v>47.95</v>
      </c>
      <c r="P331" s="39">
        <v>1679</v>
      </c>
      <c r="Q331" s="39">
        <v>262</v>
      </c>
      <c r="R331" s="39">
        <v>28.67</v>
      </c>
    </row>
    <row r="332" spans="1:18" x14ac:dyDescent="0.25">
      <c r="A332" s="1" t="s">
        <v>427</v>
      </c>
      <c r="B332" s="2">
        <v>52</v>
      </c>
      <c r="C332" s="19">
        <v>52</v>
      </c>
      <c r="D332" s="3" t="s">
        <v>497</v>
      </c>
      <c r="E332" s="3" t="s">
        <v>483</v>
      </c>
      <c r="F332" s="23">
        <v>836660</v>
      </c>
      <c r="G332" s="35">
        <v>2016</v>
      </c>
      <c r="H332">
        <f>Table_8[[#This Row],[Listing Price (USD)]]/10000</f>
        <v>83.665999999999997</v>
      </c>
      <c r="I332">
        <f>Table_8[[#This Row],[Length 
(ft)]]</f>
        <v>52</v>
      </c>
      <c r="J332" s="37">
        <f>2020-Table_8[[#This Row],[Year]]</f>
        <v>4</v>
      </c>
      <c r="K332">
        <v>4200000000</v>
      </c>
      <c r="L332">
        <v>39553.199999999997</v>
      </c>
      <c r="M332">
        <v>2.5</v>
      </c>
      <c r="N332">
        <v>-2.1</v>
      </c>
      <c r="O332" s="39">
        <v>47.95</v>
      </c>
      <c r="P332" s="39">
        <v>1679</v>
      </c>
      <c r="Q332" s="39">
        <v>262</v>
      </c>
      <c r="R332" s="39">
        <v>28.67</v>
      </c>
    </row>
    <row r="333" spans="1:18" x14ac:dyDescent="0.25">
      <c r="A333" s="1" t="s">
        <v>427</v>
      </c>
      <c r="B333" s="2">
        <v>52</v>
      </c>
      <c r="C333" s="19">
        <v>52</v>
      </c>
      <c r="D333" s="3" t="s">
        <v>496</v>
      </c>
      <c r="E333" s="3" t="s">
        <v>3</v>
      </c>
      <c r="F333" s="23">
        <v>838140</v>
      </c>
      <c r="G333" s="35">
        <v>2015</v>
      </c>
      <c r="H333">
        <f>Table_8[[#This Row],[Listing Price (USD)]]/10000</f>
        <v>83.813999999999993</v>
      </c>
      <c r="I333">
        <f>Table_8[[#This Row],[Length 
(ft)]]</f>
        <v>52</v>
      </c>
      <c r="J333" s="37">
        <f>2020-Table_8[[#This Row],[Year]]</f>
        <v>5</v>
      </c>
      <c r="K333">
        <v>2639008701648.2598</v>
      </c>
      <c r="L333">
        <v>39055.282928075401</v>
      </c>
      <c r="M333">
        <v>0.47649885272508302</v>
      </c>
      <c r="N333">
        <v>-7.7845864916787102</v>
      </c>
      <c r="O333" s="39">
        <v>47.95</v>
      </c>
      <c r="P333" s="39">
        <v>1679</v>
      </c>
      <c r="Q333" s="39">
        <v>262</v>
      </c>
      <c r="R333" s="39">
        <v>28.67</v>
      </c>
    </row>
    <row r="334" spans="1:18" x14ac:dyDescent="0.25">
      <c r="A334" s="1" t="s">
        <v>427</v>
      </c>
      <c r="B334" s="3">
        <v>52</v>
      </c>
      <c r="C334" s="19">
        <v>52</v>
      </c>
      <c r="D334" s="3" t="s">
        <v>497</v>
      </c>
      <c r="E334" s="3" t="s">
        <v>483</v>
      </c>
      <c r="F334" s="23">
        <v>838446</v>
      </c>
      <c r="G334" s="35">
        <v>2013</v>
      </c>
      <c r="H334">
        <f>Table_8[[#This Row],[Listing Price (USD)]]/10000</f>
        <v>83.8446</v>
      </c>
      <c r="I334">
        <f>Table_8[[#This Row],[Length 
(ft)]]</f>
        <v>52</v>
      </c>
      <c r="J334" s="37">
        <f>2020-Table_8[[#This Row],[Year]]</f>
        <v>7</v>
      </c>
      <c r="K334">
        <v>4200000000</v>
      </c>
      <c r="L334">
        <v>39553.199999999997</v>
      </c>
      <c r="M334">
        <v>2.5</v>
      </c>
      <c r="N334">
        <v>-2.1</v>
      </c>
      <c r="O334" s="39">
        <v>47.95</v>
      </c>
      <c r="P334" s="39">
        <v>1679</v>
      </c>
      <c r="Q334" s="39">
        <v>262</v>
      </c>
      <c r="R334" s="39">
        <v>28.67</v>
      </c>
    </row>
    <row r="335" spans="1:18" x14ac:dyDescent="0.25">
      <c r="A335" s="1" t="s">
        <v>441</v>
      </c>
      <c r="B335" s="2">
        <v>52</v>
      </c>
      <c r="C335" s="19">
        <v>52</v>
      </c>
      <c r="D335" s="3" t="s">
        <v>496</v>
      </c>
      <c r="E335" s="4" t="s">
        <v>3</v>
      </c>
      <c r="F335" s="23">
        <v>838989</v>
      </c>
      <c r="G335" s="35">
        <v>2015</v>
      </c>
      <c r="H335">
        <f>Table_8[[#This Row],[Listing Price (USD)]]/10000</f>
        <v>83.898899999999998</v>
      </c>
      <c r="I335">
        <f>Table_8[[#This Row],[Length 
(ft)]]</f>
        <v>52</v>
      </c>
      <c r="J335" s="37">
        <f>2020-Table_8[[#This Row],[Year]]</f>
        <v>5</v>
      </c>
      <c r="K335">
        <v>2639008701648.2598</v>
      </c>
      <c r="L335">
        <v>39055.282928075401</v>
      </c>
      <c r="M335">
        <v>0.47649885272508302</v>
      </c>
      <c r="N335">
        <v>-7.7845864916787102</v>
      </c>
      <c r="O335" s="39">
        <v>47.95</v>
      </c>
      <c r="P335" s="39">
        <v>1679</v>
      </c>
      <c r="Q335" s="39">
        <v>262</v>
      </c>
      <c r="R335" s="39">
        <v>28.67</v>
      </c>
    </row>
    <row r="336" spans="1:18" x14ac:dyDescent="0.25">
      <c r="A336" s="1" t="s">
        <v>427</v>
      </c>
      <c r="B336" s="2">
        <v>52</v>
      </c>
      <c r="C336" s="19">
        <v>52</v>
      </c>
      <c r="D336" s="3" t="s">
        <v>496</v>
      </c>
      <c r="E336" s="4" t="s">
        <v>3</v>
      </c>
      <c r="F336" s="23">
        <v>840000</v>
      </c>
      <c r="G336" s="35">
        <v>2016</v>
      </c>
      <c r="H336">
        <f>Table_8[[#This Row],[Listing Price (USD)]]/10000</f>
        <v>84</v>
      </c>
      <c r="I336">
        <f>Table_8[[#This Row],[Length 
(ft)]]</f>
        <v>52</v>
      </c>
      <c r="J336" s="37">
        <f>2020-Table_8[[#This Row],[Year]]</f>
        <v>4</v>
      </c>
      <c r="K336">
        <v>2639008701648.2598</v>
      </c>
      <c r="L336">
        <v>39055.282928075401</v>
      </c>
      <c r="M336">
        <v>0.47649885272508302</v>
      </c>
      <c r="N336">
        <v>-7.7845864916787102</v>
      </c>
      <c r="O336" s="39">
        <v>47.95</v>
      </c>
      <c r="P336" s="39">
        <v>1679</v>
      </c>
      <c r="Q336" s="39">
        <v>262</v>
      </c>
      <c r="R336" s="39">
        <v>28.67</v>
      </c>
    </row>
    <row r="337" spans="1:18" x14ac:dyDescent="0.25">
      <c r="A337" s="1" t="s">
        <v>427</v>
      </c>
      <c r="B337" s="2">
        <v>52</v>
      </c>
      <c r="C337" s="19">
        <v>52</v>
      </c>
      <c r="D337" s="3" t="s">
        <v>496</v>
      </c>
      <c r="E337" s="4" t="s">
        <v>3</v>
      </c>
      <c r="F337" s="23">
        <v>843556</v>
      </c>
      <c r="G337" s="35">
        <v>2016</v>
      </c>
      <c r="H337">
        <f>Table_8[[#This Row],[Listing Price (USD)]]/10000</f>
        <v>84.355599999999995</v>
      </c>
      <c r="I337">
        <f>Table_8[[#This Row],[Length 
(ft)]]</f>
        <v>52</v>
      </c>
      <c r="J337" s="37">
        <f>2020-Table_8[[#This Row],[Year]]</f>
        <v>4</v>
      </c>
      <c r="K337">
        <v>2639008701648.2598</v>
      </c>
      <c r="L337">
        <v>39055.282928075401</v>
      </c>
      <c r="M337">
        <v>0.47649885272508302</v>
      </c>
      <c r="N337">
        <v>-7.7845864916787102</v>
      </c>
      <c r="O337" s="39">
        <v>47.95</v>
      </c>
      <c r="P337" s="39">
        <v>1679</v>
      </c>
      <c r="Q337" s="39">
        <v>262</v>
      </c>
      <c r="R337" s="39">
        <v>28.67</v>
      </c>
    </row>
    <row r="338" spans="1:18" x14ac:dyDescent="0.25">
      <c r="A338" s="1" t="s">
        <v>441</v>
      </c>
      <c r="B338" s="2">
        <v>52</v>
      </c>
      <c r="C338" s="19">
        <v>52</v>
      </c>
      <c r="D338" s="3" t="s">
        <v>496</v>
      </c>
      <c r="E338" s="4" t="s">
        <v>18</v>
      </c>
      <c r="F338" s="23">
        <v>851149</v>
      </c>
      <c r="G338" s="35">
        <v>2013</v>
      </c>
      <c r="H338">
        <f>Table_8[[#This Row],[Listing Price (USD)]]/10000</f>
        <v>85.114900000000006</v>
      </c>
      <c r="I338">
        <f>Table_8[[#This Row],[Length 
(ft)]]</f>
        <v>52</v>
      </c>
      <c r="J338" s="37">
        <f>2020-Table_8[[#This Row],[Year]]</f>
        <v>7</v>
      </c>
      <c r="K338">
        <v>188925995936.80701</v>
      </c>
      <c r="L338">
        <v>17658.947301119199</v>
      </c>
      <c r="M338">
        <v>-1.2479835558140799</v>
      </c>
      <c r="N338">
        <v>-9.0040436420214593</v>
      </c>
      <c r="O338" s="39">
        <v>47.95</v>
      </c>
      <c r="P338" s="39">
        <v>1679</v>
      </c>
      <c r="Q338" s="39">
        <v>262</v>
      </c>
      <c r="R338" s="39">
        <v>28.67</v>
      </c>
    </row>
    <row r="339" spans="1:18" x14ac:dyDescent="0.25">
      <c r="A339" s="1" t="s">
        <v>427</v>
      </c>
      <c r="B339" s="2">
        <v>52</v>
      </c>
      <c r="C339" s="19">
        <v>52</v>
      </c>
      <c r="D339" s="3" t="s">
        <v>496</v>
      </c>
      <c r="E339" s="4" t="s">
        <v>3</v>
      </c>
      <c r="F339" s="23">
        <v>923169</v>
      </c>
      <c r="G339" s="35">
        <v>2016</v>
      </c>
      <c r="H339">
        <f>Table_8[[#This Row],[Listing Price (USD)]]/10000</f>
        <v>92.316900000000004</v>
      </c>
      <c r="I339">
        <f>Table_8[[#This Row],[Length 
(ft)]]</f>
        <v>52</v>
      </c>
      <c r="J339" s="37">
        <f>2020-Table_8[[#This Row],[Year]]</f>
        <v>4</v>
      </c>
      <c r="K339">
        <v>2639008701648.2598</v>
      </c>
      <c r="L339">
        <v>39055.282928075401</v>
      </c>
      <c r="M339">
        <v>0.47649885272508302</v>
      </c>
      <c r="N339">
        <v>-7.7845864916787102</v>
      </c>
      <c r="O339" s="39">
        <v>47.95</v>
      </c>
      <c r="P339" s="39">
        <v>1679</v>
      </c>
      <c r="Q339" s="39">
        <v>262</v>
      </c>
      <c r="R339" s="39">
        <v>28.67</v>
      </c>
    </row>
    <row r="340" spans="1:18" x14ac:dyDescent="0.25">
      <c r="A340" s="1" t="s">
        <v>441</v>
      </c>
      <c r="B340" s="2">
        <v>52</v>
      </c>
      <c r="C340" s="19">
        <v>52</v>
      </c>
      <c r="D340" s="3" t="s">
        <v>496</v>
      </c>
      <c r="E340" s="4" t="s">
        <v>3</v>
      </c>
      <c r="F340" s="23">
        <v>924104</v>
      </c>
      <c r="G340" s="35">
        <v>2016</v>
      </c>
      <c r="H340">
        <f>Table_8[[#This Row],[Listing Price (USD)]]/10000</f>
        <v>92.410399999999996</v>
      </c>
      <c r="I340">
        <f>Table_8[[#This Row],[Length 
(ft)]]</f>
        <v>52</v>
      </c>
      <c r="J340" s="37">
        <f>2020-Table_8[[#This Row],[Year]]</f>
        <v>4</v>
      </c>
      <c r="K340">
        <v>2639008701648.2598</v>
      </c>
      <c r="L340">
        <v>39055.282928075401</v>
      </c>
      <c r="M340">
        <v>0.47649885272508302</v>
      </c>
      <c r="N340">
        <v>-7.7845864916787102</v>
      </c>
      <c r="O340" s="39">
        <v>47.95</v>
      </c>
      <c r="P340" s="39">
        <v>1679</v>
      </c>
      <c r="Q340" s="39">
        <v>262</v>
      </c>
      <c r="R340" s="39">
        <v>28.67</v>
      </c>
    </row>
    <row r="341" spans="1:18" x14ac:dyDescent="0.25">
      <c r="A341" s="1" t="s">
        <v>427</v>
      </c>
      <c r="B341" s="2">
        <v>52</v>
      </c>
      <c r="C341" s="19">
        <v>52</v>
      </c>
      <c r="D341" s="3" t="s">
        <v>495</v>
      </c>
      <c r="E341" s="3" t="s">
        <v>500</v>
      </c>
      <c r="F341" s="23">
        <v>949000</v>
      </c>
      <c r="G341" s="35">
        <v>2015</v>
      </c>
      <c r="H341">
        <f>Table_8[[#This Row],[Listing Price (USD)]]/10000</f>
        <v>94.9</v>
      </c>
      <c r="I341">
        <f>Table_8[[#This Row],[Length 
(ft)]]</f>
        <v>52</v>
      </c>
      <c r="J341" s="37">
        <f>2020-Table_8[[#This Row],[Year]]</f>
        <v>5</v>
      </c>
      <c r="K341">
        <v>3007188000000</v>
      </c>
      <c r="L341">
        <v>76131.839999999997</v>
      </c>
      <c r="M341">
        <v>1.23</v>
      </c>
      <c r="N341">
        <v>2.7</v>
      </c>
      <c r="O341" s="39">
        <v>47.95</v>
      </c>
      <c r="P341" s="39">
        <v>1679</v>
      </c>
      <c r="Q341" s="39">
        <v>262</v>
      </c>
      <c r="R341" s="39">
        <v>28.67</v>
      </c>
    </row>
    <row r="342" spans="1:18" x14ac:dyDescent="0.25">
      <c r="A342" s="1" t="s">
        <v>441</v>
      </c>
      <c r="B342" s="2">
        <v>52</v>
      </c>
      <c r="C342" s="19">
        <v>52</v>
      </c>
      <c r="D342" s="3" t="s">
        <v>496</v>
      </c>
      <c r="E342" s="4" t="s">
        <v>3</v>
      </c>
      <c r="F342" s="23">
        <v>972741</v>
      </c>
      <c r="G342" s="35">
        <v>2014</v>
      </c>
      <c r="H342">
        <f>Table_8[[#This Row],[Listing Price (USD)]]/10000</f>
        <v>97.274100000000004</v>
      </c>
      <c r="I342">
        <f>Table_8[[#This Row],[Length 
(ft)]]</f>
        <v>52</v>
      </c>
      <c r="J342" s="37">
        <f>2020-Table_8[[#This Row],[Year]]</f>
        <v>6</v>
      </c>
      <c r="K342">
        <v>2639008701648.2598</v>
      </c>
      <c r="L342">
        <v>39055.282928075401</v>
      </c>
      <c r="M342">
        <v>0.47649885272508302</v>
      </c>
      <c r="N342">
        <v>-7.7845864916787102</v>
      </c>
      <c r="O342" s="39">
        <v>47.95</v>
      </c>
      <c r="P342" s="39">
        <v>1679</v>
      </c>
      <c r="Q342" s="39">
        <v>262</v>
      </c>
      <c r="R342" s="39">
        <v>28.67</v>
      </c>
    </row>
    <row r="343" spans="1:18" x14ac:dyDescent="0.25">
      <c r="A343" s="1" t="s">
        <v>441</v>
      </c>
      <c r="B343" s="2">
        <v>52</v>
      </c>
      <c r="C343" s="19">
        <v>52</v>
      </c>
      <c r="D343" s="3" t="s">
        <v>496</v>
      </c>
      <c r="E343" s="4" t="s">
        <v>63</v>
      </c>
      <c r="F343" s="23">
        <v>972741</v>
      </c>
      <c r="G343" s="35">
        <v>2014</v>
      </c>
      <c r="H343">
        <f>Table_8[[#This Row],[Listing Price (USD)]]/10000</f>
        <v>97.274100000000004</v>
      </c>
      <c r="I343">
        <f>Table_8[[#This Row],[Length 
(ft)]]</f>
        <v>52</v>
      </c>
      <c r="J343" s="37">
        <f>2020-Table_8[[#This Row],[Year]]</f>
        <v>6</v>
      </c>
      <c r="K343">
        <v>720290000000</v>
      </c>
      <c r="L343">
        <v>13341.6</v>
      </c>
      <c r="M343">
        <v>13</v>
      </c>
      <c r="N343">
        <v>-3</v>
      </c>
      <c r="O343" s="39">
        <v>47.95</v>
      </c>
      <c r="P343" s="39">
        <v>1679</v>
      </c>
      <c r="Q343" s="39">
        <v>262</v>
      </c>
      <c r="R343" s="39">
        <v>28.67</v>
      </c>
    </row>
    <row r="344" spans="1:18" x14ac:dyDescent="0.25">
      <c r="A344" s="1" t="s">
        <v>427</v>
      </c>
      <c r="B344" s="2">
        <v>52</v>
      </c>
      <c r="C344" s="19">
        <v>52</v>
      </c>
      <c r="D344" s="3" t="s">
        <v>497</v>
      </c>
      <c r="E344" s="3" t="s">
        <v>525</v>
      </c>
      <c r="F344" s="23">
        <v>995000</v>
      </c>
      <c r="G344" s="35">
        <v>2017</v>
      </c>
      <c r="H344">
        <f>Table_8[[#This Row],[Listing Price (USD)]]/10000</f>
        <v>99.5</v>
      </c>
      <c r="I344">
        <f>Table_8[[#This Row],[Length 
(ft)]]</f>
        <v>52</v>
      </c>
      <c r="J344" s="37">
        <f>2020-Table_8[[#This Row],[Year]]</f>
        <v>3</v>
      </c>
      <c r="K344">
        <v>4200000000</v>
      </c>
      <c r="L344">
        <v>39553.199999999997</v>
      </c>
      <c r="M344">
        <v>4.0999999999999996</v>
      </c>
      <c r="N344">
        <v>-2.1</v>
      </c>
      <c r="O344" s="39">
        <v>47.95</v>
      </c>
      <c r="P344" s="39">
        <v>1679</v>
      </c>
      <c r="Q344" s="39">
        <v>262</v>
      </c>
      <c r="R344" s="39">
        <v>28.67</v>
      </c>
    </row>
    <row r="345" spans="1:18" x14ac:dyDescent="0.25">
      <c r="A345" s="1" t="s">
        <v>441</v>
      </c>
      <c r="B345" s="2">
        <v>52</v>
      </c>
      <c r="C345" s="19">
        <v>52</v>
      </c>
      <c r="D345" s="3" t="s">
        <v>496</v>
      </c>
      <c r="E345" s="4" t="s">
        <v>24</v>
      </c>
      <c r="F345" s="23">
        <v>997060</v>
      </c>
      <c r="G345" s="35">
        <v>2014</v>
      </c>
      <c r="H345">
        <f>Table_8[[#This Row],[Listing Price (USD)]]/10000</f>
        <v>99.706000000000003</v>
      </c>
      <c r="I345">
        <f>Table_8[[#This Row],[Length 
(ft)]]</f>
        <v>52</v>
      </c>
      <c r="J345" s="37">
        <f>2020-Table_8[[#This Row],[Year]]</f>
        <v>6</v>
      </c>
      <c r="K345">
        <v>1896755301518.1399</v>
      </c>
      <c r="L345">
        <v>31911.0357890017</v>
      </c>
      <c r="M345">
        <v>-0.13770757391656999</v>
      </c>
      <c r="N345">
        <v>-9.0399534112288507</v>
      </c>
      <c r="O345" s="39">
        <v>47.95</v>
      </c>
      <c r="P345" s="39">
        <v>1679</v>
      </c>
      <c r="Q345" s="39">
        <v>262</v>
      </c>
      <c r="R345" s="39">
        <v>28.67</v>
      </c>
    </row>
    <row r="346" spans="1:18" x14ac:dyDescent="0.25">
      <c r="A346" s="1" t="s">
        <v>427</v>
      </c>
      <c r="B346" s="2">
        <v>52</v>
      </c>
      <c r="C346" s="19">
        <v>52</v>
      </c>
      <c r="D346" s="3" t="s">
        <v>496</v>
      </c>
      <c r="E346" s="4" t="s">
        <v>31</v>
      </c>
      <c r="F346" s="23">
        <v>1003140</v>
      </c>
      <c r="G346" s="35">
        <v>2014</v>
      </c>
      <c r="H346">
        <f>Table_8[[#This Row],[Listing Price (USD)]]/10000</f>
        <v>100.31399999999999</v>
      </c>
      <c r="I346">
        <f>Table_8[[#This Row],[Length 
(ft)]]</f>
        <v>52</v>
      </c>
      <c r="J346" s="37">
        <f>2020-Table_8[[#This Row],[Year]]</f>
        <v>6</v>
      </c>
      <c r="K346">
        <v>57472012426.685303</v>
      </c>
      <c r="L346">
        <v>14198.753959474399</v>
      </c>
      <c r="M346">
        <v>0.15481137456202801</v>
      </c>
      <c r="N346">
        <v>-8.5803430210621805</v>
      </c>
      <c r="O346" s="39">
        <v>47.95</v>
      </c>
      <c r="P346" s="39">
        <v>1679</v>
      </c>
      <c r="Q346" s="39">
        <v>262</v>
      </c>
      <c r="R346" s="39">
        <v>28.67</v>
      </c>
    </row>
    <row r="347" spans="1:18" x14ac:dyDescent="0.25">
      <c r="A347" s="1" t="s">
        <v>441</v>
      </c>
      <c r="B347" s="2">
        <v>52</v>
      </c>
      <c r="C347" s="19">
        <v>52</v>
      </c>
      <c r="D347" s="3" t="s">
        <v>496</v>
      </c>
      <c r="E347" s="4" t="s">
        <v>31</v>
      </c>
      <c r="F347" s="23">
        <v>1003140</v>
      </c>
      <c r="G347" s="35">
        <v>2014</v>
      </c>
      <c r="H347">
        <f>Table_8[[#This Row],[Listing Price (USD)]]/10000</f>
        <v>100.31399999999999</v>
      </c>
      <c r="I347">
        <f>Table_8[[#This Row],[Length 
(ft)]]</f>
        <v>52</v>
      </c>
      <c r="J347" s="37">
        <f>2020-Table_8[[#This Row],[Year]]</f>
        <v>6</v>
      </c>
      <c r="K347">
        <v>57472012426.685303</v>
      </c>
      <c r="L347">
        <v>14198.753959474399</v>
      </c>
      <c r="M347">
        <v>0.15481137456202801</v>
      </c>
      <c r="N347">
        <v>-8.5803430210621805</v>
      </c>
      <c r="O347" s="39">
        <v>47.95</v>
      </c>
      <c r="P347" s="39">
        <v>1679</v>
      </c>
      <c r="Q347" s="39">
        <v>262</v>
      </c>
      <c r="R347" s="39">
        <v>28.67</v>
      </c>
    </row>
    <row r="348" spans="1:18" x14ac:dyDescent="0.25">
      <c r="A348" s="1" t="s">
        <v>441</v>
      </c>
      <c r="B348" s="2">
        <v>52</v>
      </c>
      <c r="C348" s="19">
        <v>52</v>
      </c>
      <c r="D348" s="3" t="s">
        <v>496</v>
      </c>
      <c r="E348" s="4" t="s">
        <v>18</v>
      </c>
      <c r="F348" s="23">
        <v>1033538</v>
      </c>
      <c r="G348" s="35">
        <v>2015</v>
      </c>
      <c r="H348">
        <f>Table_8[[#This Row],[Listing Price (USD)]]/10000</f>
        <v>103.35380000000001</v>
      </c>
      <c r="I348">
        <f>Table_8[[#This Row],[Length 
(ft)]]</f>
        <v>52</v>
      </c>
      <c r="J348" s="37">
        <f>2020-Table_8[[#This Row],[Year]]</f>
        <v>5</v>
      </c>
      <c r="K348">
        <v>188925995936.80701</v>
      </c>
      <c r="L348">
        <v>17658.947301119199</v>
      </c>
      <c r="M348">
        <v>-1.2479835558140799</v>
      </c>
      <c r="N348">
        <v>-9.0040436420214593</v>
      </c>
      <c r="O348" s="39">
        <v>47.95</v>
      </c>
      <c r="P348" s="39">
        <v>1679</v>
      </c>
      <c r="Q348" s="39">
        <v>262</v>
      </c>
      <c r="R348" s="39">
        <v>28.67</v>
      </c>
    </row>
    <row r="349" spans="1:18" x14ac:dyDescent="0.25">
      <c r="A349" s="1" t="s">
        <v>441</v>
      </c>
      <c r="B349" s="2">
        <v>52</v>
      </c>
      <c r="C349" s="19">
        <v>52</v>
      </c>
      <c r="D349" s="3" t="s">
        <v>496</v>
      </c>
      <c r="E349" s="4" t="s">
        <v>18</v>
      </c>
      <c r="F349" s="23">
        <v>1033538</v>
      </c>
      <c r="G349" s="35">
        <v>2015</v>
      </c>
      <c r="H349">
        <f>Table_8[[#This Row],[Listing Price (USD)]]/10000</f>
        <v>103.35380000000001</v>
      </c>
      <c r="I349">
        <f>Table_8[[#This Row],[Length 
(ft)]]</f>
        <v>52</v>
      </c>
      <c r="J349" s="37">
        <f>2020-Table_8[[#This Row],[Year]]</f>
        <v>5</v>
      </c>
      <c r="K349">
        <v>188925995936.80701</v>
      </c>
      <c r="L349">
        <v>17658.947301119199</v>
      </c>
      <c r="M349">
        <v>-1.2479835558140799</v>
      </c>
      <c r="N349">
        <v>-9.0040436420214593</v>
      </c>
      <c r="O349" s="39">
        <v>47.95</v>
      </c>
      <c r="P349" s="39">
        <v>1679</v>
      </c>
      <c r="Q349" s="39">
        <v>262</v>
      </c>
      <c r="R349" s="39">
        <v>28.67</v>
      </c>
    </row>
    <row r="350" spans="1:18" x14ac:dyDescent="0.25">
      <c r="A350" s="1" t="s">
        <v>427</v>
      </c>
      <c r="B350" s="2">
        <v>52</v>
      </c>
      <c r="C350" s="19">
        <v>52</v>
      </c>
      <c r="D350" s="3" t="s">
        <v>495</v>
      </c>
      <c r="E350" s="3" t="s">
        <v>333</v>
      </c>
      <c r="F350" s="23">
        <v>1045000</v>
      </c>
      <c r="G350" s="35">
        <v>2017</v>
      </c>
      <c r="H350">
        <f>Table_8[[#This Row],[Listing Price (USD)]]/10000</f>
        <v>104.5</v>
      </c>
      <c r="I350">
        <f>Table_8[[#This Row],[Length 
(ft)]]</f>
        <v>52</v>
      </c>
      <c r="J350" s="37">
        <f>2020-Table_8[[#This Row],[Year]]</f>
        <v>3</v>
      </c>
      <c r="K350">
        <v>1106036000000</v>
      </c>
      <c r="L350">
        <v>51276.72</v>
      </c>
      <c r="M350">
        <v>1.23</v>
      </c>
      <c r="N350">
        <v>2.9</v>
      </c>
      <c r="O350" s="39">
        <v>47.95</v>
      </c>
      <c r="P350" s="39">
        <v>1679</v>
      </c>
      <c r="Q350" s="39">
        <v>262</v>
      </c>
      <c r="R350" s="39">
        <v>28.67</v>
      </c>
    </row>
    <row r="351" spans="1:18" x14ac:dyDescent="0.25">
      <c r="A351" s="1" t="s">
        <v>427</v>
      </c>
      <c r="B351" s="2">
        <v>52</v>
      </c>
      <c r="C351" s="19">
        <v>52</v>
      </c>
      <c r="D351" s="3" t="s">
        <v>496</v>
      </c>
      <c r="E351" s="4" t="s">
        <v>18</v>
      </c>
      <c r="F351" s="23">
        <v>1093227</v>
      </c>
      <c r="G351" s="35">
        <v>2015</v>
      </c>
      <c r="H351">
        <f>Table_8[[#This Row],[Listing Price (USD)]]/10000</f>
        <v>109.3227</v>
      </c>
      <c r="I351">
        <f>Table_8[[#This Row],[Length 
(ft)]]</f>
        <v>52</v>
      </c>
      <c r="J351" s="37">
        <f>2020-Table_8[[#This Row],[Year]]</f>
        <v>5</v>
      </c>
      <c r="K351">
        <v>188925995936.80701</v>
      </c>
      <c r="L351">
        <v>17658.947301119199</v>
      </c>
      <c r="M351">
        <v>-1.2479835558140799</v>
      </c>
      <c r="N351">
        <v>-9.0040436420214593</v>
      </c>
      <c r="O351" s="39">
        <v>47.95</v>
      </c>
      <c r="P351" s="39">
        <v>1679</v>
      </c>
      <c r="Q351" s="39">
        <v>262</v>
      </c>
      <c r="R351" s="39">
        <v>28.67</v>
      </c>
    </row>
    <row r="352" spans="1:18" x14ac:dyDescent="0.25">
      <c r="A352" s="1" t="s">
        <v>441</v>
      </c>
      <c r="B352" s="2">
        <v>52</v>
      </c>
      <c r="C352" s="19">
        <v>52</v>
      </c>
      <c r="D352" s="3" t="s">
        <v>496</v>
      </c>
      <c r="E352" s="4" t="s">
        <v>18</v>
      </c>
      <c r="F352" s="23">
        <v>1094334</v>
      </c>
      <c r="G352" s="35">
        <v>2015</v>
      </c>
      <c r="H352">
        <f>Table_8[[#This Row],[Listing Price (USD)]]/10000</f>
        <v>109.43340000000001</v>
      </c>
      <c r="I352">
        <f>Table_8[[#This Row],[Length 
(ft)]]</f>
        <v>52</v>
      </c>
      <c r="J352" s="37">
        <f>2020-Table_8[[#This Row],[Year]]</f>
        <v>5</v>
      </c>
      <c r="K352">
        <v>188925995936.80701</v>
      </c>
      <c r="L352">
        <v>17658.947301119199</v>
      </c>
      <c r="M352">
        <v>-1.2479835558140799</v>
      </c>
      <c r="N352">
        <v>-9.0040436420214593</v>
      </c>
      <c r="O352" s="39">
        <v>47.95</v>
      </c>
      <c r="P352" s="39">
        <v>1679</v>
      </c>
      <c r="Q352" s="39">
        <v>262</v>
      </c>
      <c r="R352" s="39">
        <v>28.67</v>
      </c>
    </row>
    <row r="353" spans="1:18" x14ac:dyDescent="0.25">
      <c r="A353" s="1" t="s">
        <v>427</v>
      </c>
      <c r="B353" s="2">
        <v>52</v>
      </c>
      <c r="C353" s="19">
        <v>52</v>
      </c>
      <c r="D353" s="3" t="s">
        <v>496</v>
      </c>
      <c r="E353" s="4" t="s">
        <v>63</v>
      </c>
      <c r="F353" s="23">
        <v>1155130</v>
      </c>
      <c r="G353" s="35">
        <v>2017</v>
      </c>
      <c r="H353">
        <f>Table_8[[#This Row],[Listing Price (USD)]]/10000</f>
        <v>115.51300000000001</v>
      </c>
      <c r="I353">
        <f>Table_8[[#This Row],[Length 
(ft)]]</f>
        <v>52</v>
      </c>
      <c r="J353" s="37">
        <f>2020-Table_8[[#This Row],[Year]]</f>
        <v>3</v>
      </c>
      <c r="K353">
        <v>720290000000</v>
      </c>
      <c r="L353">
        <v>13341.6</v>
      </c>
      <c r="M353">
        <v>13</v>
      </c>
      <c r="N353">
        <v>-3</v>
      </c>
      <c r="O353" s="39">
        <v>47.95</v>
      </c>
      <c r="P353" s="39">
        <v>1679</v>
      </c>
      <c r="Q353" s="39">
        <v>262</v>
      </c>
      <c r="R353" s="39">
        <v>28.67</v>
      </c>
    </row>
    <row r="354" spans="1:18" x14ac:dyDescent="0.25">
      <c r="A354" s="1" t="s">
        <v>427</v>
      </c>
      <c r="B354" s="2" t="s">
        <v>428</v>
      </c>
      <c r="C354" s="19">
        <v>38</v>
      </c>
      <c r="D354" s="3" t="s">
        <v>497</v>
      </c>
      <c r="E354" s="3" t="s">
        <v>517</v>
      </c>
      <c r="F354" s="23">
        <v>149000</v>
      </c>
      <c r="G354" s="35">
        <v>2016</v>
      </c>
      <c r="H354">
        <f>Table_8[[#This Row],[Listing Price (USD)]]/10000</f>
        <v>14.9</v>
      </c>
      <c r="I354">
        <f>Table_8[[#This Row],[Length 
(ft)]]</f>
        <v>38</v>
      </c>
      <c r="J354" s="37">
        <f>2020-Table_8[[#This Row],[Year]]</f>
        <v>4</v>
      </c>
      <c r="K354">
        <v>681973374534.10596</v>
      </c>
      <c r="L354">
        <v>27575.495000325591</v>
      </c>
      <c r="M354">
        <v>0.8848420113691905</v>
      </c>
      <c r="N354">
        <v>-6.3525291034127971</v>
      </c>
      <c r="O354" s="39">
        <v>32.479999999999997</v>
      </c>
      <c r="P354" s="39">
        <v>691.00199999999995</v>
      </c>
      <c r="Q354" s="39">
        <v>40</v>
      </c>
      <c r="R354" s="39">
        <v>11.97</v>
      </c>
    </row>
    <row r="355" spans="1:18" x14ac:dyDescent="0.25">
      <c r="A355" s="1" t="s">
        <v>427</v>
      </c>
      <c r="B355" s="2" t="s">
        <v>428</v>
      </c>
      <c r="C355" s="19">
        <v>38</v>
      </c>
      <c r="D355" s="3" t="s">
        <v>497</v>
      </c>
      <c r="E355" s="3" t="s">
        <v>377</v>
      </c>
      <c r="F355" s="23">
        <v>200071</v>
      </c>
      <c r="G355" s="35">
        <v>2005</v>
      </c>
      <c r="H355">
        <f>Table_8[[#This Row],[Listing Price (USD)]]/10000</f>
        <v>20.007100000000001</v>
      </c>
      <c r="I355">
        <f>Table_8[[#This Row],[Length 
(ft)]]</f>
        <v>38</v>
      </c>
      <c r="J355" s="37">
        <f>2020-Table_8[[#This Row],[Year]]</f>
        <v>15</v>
      </c>
      <c r="K355">
        <v>681973374534.10596</v>
      </c>
      <c r="L355">
        <v>27575.495000325591</v>
      </c>
      <c r="M355">
        <v>0.8848420113691905</v>
      </c>
      <c r="N355">
        <v>-6.3525291034127971</v>
      </c>
      <c r="O355" s="39">
        <v>32.479999999999997</v>
      </c>
      <c r="P355" s="39">
        <v>691.00199999999995</v>
      </c>
      <c r="Q355" s="39">
        <v>40</v>
      </c>
      <c r="R355" s="39">
        <v>11.97</v>
      </c>
    </row>
    <row r="356" spans="1:18" x14ac:dyDescent="0.25">
      <c r="A356" s="1" t="s">
        <v>427</v>
      </c>
      <c r="B356" s="2" t="s">
        <v>428</v>
      </c>
      <c r="C356" s="19">
        <v>38</v>
      </c>
      <c r="D356" s="3" t="s">
        <v>497</v>
      </c>
      <c r="E356" s="3" t="s">
        <v>483</v>
      </c>
      <c r="F356" s="23">
        <v>204921</v>
      </c>
      <c r="G356" s="35">
        <v>2005</v>
      </c>
      <c r="H356">
        <f>Table_8[[#This Row],[Listing Price (USD)]]/10000</f>
        <v>20.492100000000001</v>
      </c>
      <c r="I356">
        <f>Table_8[[#This Row],[Length 
(ft)]]</f>
        <v>38</v>
      </c>
      <c r="J356" s="37">
        <f>2020-Table_8[[#This Row],[Year]]</f>
        <v>15</v>
      </c>
      <c r="K356">
        <v>4200000000</v>
      </c>
      <c r="L356">
        <v>39553.199999999997</v>
      </c>
      <c r="M356">
        <v>2.5</v>
      </c>
      <c r="N356">
        <v>-2.1</v>
      </c>
      <c r="O356" s="39">
        <v>32.479999999999997</v>
      </c>
      <c r="P356" s="39">
        <v>691.00199999999995</v>
      </c>
      <c r="Q356" s="39">
        <v>40</v>
      </c>
      <c r="R356" s="39">
        <v>11.97</v>
      </c>
    </row>
    <row r="357" spans="1:18" x14ac:dyDescent="0.25">
      <c r="A357" s="1" t="s">
        <v>427</v>
      </c>
      <c r="B357" s="2" t="s">
        <v>428</v>
      </c>
      <c r="C357" s="19">
        <v>38</v>
      </c>
      <c r="D357" s="3" t="s">
        <v>497</v>
      </c>
      <c r="E357" s="3" t="s">
        <v>483</v>
      </c>
      <c r="F357" s="23">
        <v>210000</v>
      </c>
      <c r="G357" s="35">
        <v>2016</v>
      </c>
      <c r="H357">
        <f>Table_8[[#This Row],[Listing Price (USD)]]/10000</f>
        <v>21</v>
      </c>
      <c r="I357">
        <f>Table_8[[#This Row],[Length 
(ft)]]</f>
        <v>38</v>
      </c>
      <c r="J357" s="37">
        <f>2020-Table_8[[#This Row],[Year]]</f>
        <v>4</v>
      </c>
      <c r="K357">
        <v>4200000000</v>
      </c>
      <c r="L357">
        <v>39553.199999999997</v>
      </c>
      <c r="M357">
        <v>2.5</v>
      </c>
      <c r="N357">
        <v>-2.1</v>
      </c>
      <c r="O357" s="39">
        <v>32.479999999999997</v>
      </c>
      <c r="P357" s="39">
        <v>691.00199999999995</v>
      </c>
      <c r="Q357" s="39">
        <v>40</v>
      </c>
      <c r="R357" s="39">
        <v>11.97</v>
      </c>
    </row>
    <row r="358" spans="1:18" x14ac:dyDescent="0.25">
      <c r="A358" s="1" t="s">
        <v>427</v>
      </c>
      <c r="B358" s="2" t="s">
        <v>428</v>
      </c>
      <c r="C358" s="19">
        <v>38</v>
      </c>
      <c r="D358" s="3" t="s">
        <v>497</v>
      </c>
      <c r="E358" s="3" t="s">
        <v>483</v>
      </c>
      <c r="F358" s="23">
        <v>217261</v>
      </c>
      <c r="G358" s="35">
        <v>2014</v>
      </c>
      <c r="H358">
        <f>Table_8[[#This Row],[Listing Price (USD)]]/10000</f>
        <v>21.726099999999999</v>
      </c>
      <c r="I358">
        <f>Table_8[[#This Row],[Length 
(ft)]]</f>
        <v>38</v>
      </c>
      <c r="J358" s="37">
        <f>2020-Table_8[[#This Row],[Year]]</f>
        <v>6</v>
      </c>
      <c r="K358">
        <v>4200000000</v>
      </c>
      <c r="L358">
        <v>39553.199999999997</v>
      </c>
      <c r="M358">
        <v>2.5</v>
      </c>
      <c r="N358">
        <v>-2.1</v>
      </c>
      <c r="O358" s="39">
        <v>32.479999999999997</v>
      </c>
      <c r="P358" s="39">
        <v>691.00199999999995</v>
      </c>
      <c r="Q358" s="39">
        <v>40</v>
      </c>
      <c r="R358" s="39">
        <v>11.97</v>
      </c>
    </row>
    <row r="359" spans="1:18" x14ac:dyDescent="0.25">
      <c r="A359" s="1" t="s">
        <v>427</v>
      </c>
      <c r="B359" s="2" t="s">
        <v>428</v>
      </c>
      <c r="C359" s="19">
        <v>38</v>
      </c>
      <c r="D359" s="3" t="s">
        <v>497</v>
      </c>
      <c r="E359" s="3" t="s">
        <v>483</v>
      </c>
      <c r="F359" s="23">
        <v>218259</v>
      </c>
      <c r="G359" s="35">
        <v>2014</v>
      </c>
      <c r="H359">
        <f>Table_8[[#This Row],[Listing Price (USD)]]/10000</f>
        <v>21.825900000000001</v>
      </c>
      <c r="I359">
        <f>Table_8[[#This Row],[Length 
(ft)]]</f>
        <v>38</v>
      </c>
      <c r="J359" s="37">
        <f>2020-Table_8[[#This Row],[Year]]</f>
        <v>6</v>
      </c>
      <c r="K359">
        <v>4200000000</v>
      </c>
      <c r="L359">
        <v>39553.199999999997</v>
      </c>
      <c r="M359">
        <v>2.5</v>
      </c>
      <c r="N359">
        <v>-2.1</v>
      </c>
      <c r="O359" s="39">
        <v>32.479999999999997</v>
      </c>
      <c r="P359" s="39">
        <v>691.00199999999995</v>
      </c>
      <c r="Q359" s="39">
        <v>40</v>
      </c>
      <c r="R359" s="39">
        <v>11.97</v>
      </c>
    </row>
    <row r="360" spans="1:18" x14ac:dyDescent="0.25">
      <c r="A360" s="1" t="s">
        <v>427</v>
      </c>
      <c r="B360" s="2" t="s">
        <v>428</v>
      </c>
      <c r="C360" s="19">
        <v>38</v>
      </c>
      <c r="D360" s="3" t="s">
        <v>497</v>
      </c>
      <c r="E360" s="3" t="s">
        <v>483</v>
      </c>
      <c r="F360" s="23">
        <v>218259</v>
      </c>
      <c r="G360" s="35">
        <v>2015</v>
      </c>
      <c r="H360">
        <f>Table_8[[#This Row],[Listing Price (USD)]]/10000</f>
        <v>21.825900000000001</v>
      </c>
      <c r="I360">
        <f>Table_8[[#This Row],[Length 
(ft)]]</f>
        <v>38</v>
      </c>
      <c r="J360" s="37">
        <f>2020-Table_8[[#This Row],[Year]]</f>
        <v>5</v>
      </c>
      <c r="K360">
        <v>4200000000</v>
      </c>
      <c r="L360">
        <v>39553.199999999997</v>
      </c>
      <c r="M360">
        <v>2.5</v>
      </c>
      <c r="N360">
        <v>-2.1</v>
      </c>
      <c r="O360" s="39">
        <v>32.479999999999997</v>
      </c>
      <c r="P360" s="39">
        <v>691.00199999999995</v>
      </c>
      <c r="Q360" s="39">
        <v>40</v>
      </c>
      <c r="R360" s="39">
        <v>11.97</v>
      </c>
    </row>
    <row r="361" spans="1:18" x14ac:dyDescent="0.25">
      <c r="A361" s="1" t="s">
        <v>427</v>
      </c>
      <c r="B361" s="2">
        <v>380</v>
      </c>
      <c r="C361" s="19">
        <v>38</v>
      </c>
      <c r="D361" s="3" t="s">
        <v>495</v>
      </c>
      <c r="E361" s="3" t="s">
        <v>333</v>
      </c>
      <c r="F361" s="23">
        <v>219000</v>
      </c>
      <c r="G361" s="35">
        <v>2005</v>
      </c>
      <c r="H361">
        <f>Table_8[[#This Row],[Listing Price (USD)]]/10000</f>
        <v>21.9</v>
      </c>
      <c r="I361">
        <f>Table_8[[#This Row],[Length 
(ft)]]</f>
        <v>38</v>
      </c>
      <c r="J361" s="37">
        <f>2020-Table_8[[#This Row],[Year]]</f>
        <v>15</v>
      </c>
      <c r="K361">
        <v>1106036000000</v>
      </c>
      <c r="L361">
        <v>51276.72</v>
      </c>
      <c r="M361">
        <v>1.23</v>
      </c>
      <c r="N361">
        <v>2.9</v>
      </c>
      <c r="O361" s="39">
        <v>32.479999999999997</v>
      </c>
      <c r="P361" s="39">
        <v>691.00199999999995</v>
      </c>
      <c r="Q361" s="39">
        <v>40</v>
      </c>
      <c r="R361" s="39">
        <v>11.97</v>
      </c>
    </row>
    <row r="362" spans="1:18" x14ac:dyDescent="0.25">
      <c r="A362" s="1" t="s">
        <v>427</v>
      </c>
      <c r="B362" s="2" t="s">
        <v>428</v>
      </c>
      <c r="C362" s="19">
        <v>38</v>
      </c>
      <c r="D362" s="3" t="s">
        <v>496</v>
      </c>
      <c r="E362" s="4" t="s">
        <v>31</v>
      </c>
      <c r="F362" s="23">
        <v>220078</v>
      </c>
      <c r="G362" s="35">
        <v>2015</v>
      </c>
      <c r="H362">
        <f>Table_8[[#This Row],[Listing Price (USD)]]/10000</f>
        <v>22.0078</v>
      </c>
      <c r="I362">
        <f>Table_8[[#This Row],[Length 
(ft)]]</f>
        <v>38</v>
      </c>
      <c r="J362" s="37">
        <f>2020-Table_8[[#This Row],[Year]]</f>
        <v>5</v>
      </c>
      <c r="K362">
        <v>57472012426.685303</v>
      </c>
      <c r="L362">
        <v>14198.753959474399</v>
      </c>
      <c r="M362">
        <v>0.15481137456202801</v>
      </c>
      <c r="N362">
        <v>-8.5803430210621805</v>
      </c>
      <c r="O362" s="39">
        <v>32.479999999999997</v>
      </c>
      <c r="P362" s="39">
        <v>691.00199999999995</v>
      </c>
      <c r="Q362" s="39">
        <v>40</v>
      </c>
      <c r="R362" s="39">
        <v>11.97</v>
      </c>
    </row>
    <row r="363" spans="1:18" x14ac:dyDescent="0.25">
      <c r="A363" s="1" t="s">
        <v>427</v>
      </c>
      <c r="B363" s="2">
        <v>380</v>
      </c>
      <c r="C363" s="19">
        <v>38</v>
      </c>
      <c r="D363" s="3" t="s">
        <v>495</v>
      </c>
      <c r="E363" s="3" t="s">
        <v>333</v>
      </c>
      <c r="F363" s="23">
        <v>229000</v>
      </c>
      <c r="G363" s="35">
        <v>2008</v>
      </c>
      <c r="H363">
        <f>Table_8[[#This Row],[Listing Price (USD)]]/10000</f>
        <v>22.9</v>
      </c>
      <c r="I363">
        <f>Table_8[[#This Row],[Length 
(ft)]]</f>
        <v>38</v>
      </c>
      <c r="J363" s="37">
        <f>2020-Table_8[[#This Row],[Year]]</f>
        <v>12</v>
      </c>
      <c r="K363">
        <v>1106036000000</v>
      </c>
      <c r="L363">
        <v>51276.72</v>
      </c>
      <c r="M363">
        <v>1.23</v>
      </c>
      <c r="N363">
        <v>2.9</v>
      </c>
      <c r="O363" s="39">
        <v>32.479999999999997</v>
      </c>
      <c r="P363" s="39">
        <v>691.00199999999995</v>
      </c>
      <c r="Q363" s="39">
        <v>40</v>
      </c>
      <c r="R363" s="39">
        <v>11.97</v>
      </c>
    </row>
    <row r="364" spans="1:18" x14ac:dyDescent="0.25">
      <c r="A364" s="1" t="s">
        <v>427</v>
      </c>
      <c r="B364" s="2" t="s">
        <v>428</v>
      </c>
      <c r="C364" s="19">
        <v>38</v>
      </c>
      <c r="D364" s="3" t="s">
        <v>497</v>
      </c>
      <c r="E364" s="3" t="s">
        <v>370</v>
      </c>
      <c r="F364" s="23">
        <v>229000</v>
      </c>
      <c r="G364" s="35">
        <v>2014</v>
      </c>
      <c r="H364">
        <f>Table_8[[#This Row],[Listing Price (USD)]]/10000</f>
        <v>22.9</v>
      </c>
      <c r="I364">
        <f>Table_8[[#This Row],[Length 
(ft)]]</f>
        <v>38</v>
      </c>
      <c r="J364" s="37">
        <f>2020-Table_8[[#This Row],[Year]]</f>
        <v>6</v>
      </c>
      <c r="K364">
        <v>500000000</v>
      </c>
      <c r="L364">
        <v>34200</v>
      </c>
      <c r="M364">
        <v>1.1000000000000001</v>
      </c>
      <c r="N364">
        <v>2</v>
      </c>
      <c r="O364" s="39">
        <v>32.479999999999997</v>
      </c>
      <c r="P364" s="39">
        <v>691.00199999999995</v>
      </c>
      <c r="Q364" s="39">
        <v>40</v>
      </c>
      <c r="R364" s="39">
        <v>11.97</v>
      </c>
    </row>
    <row r="365" spans="1:18" x14ac:dyDescent="0.25">
      <c r="A365" s="1" t="s">
        <v>427</v>
      </c>
      <c r="B365" s="2" t="s">
        <v>428</v>
      </c>
      <c r="C365" s="19">
        <v>38</v>
      </c>
      <c r="D365" s="3" t="s">
        <v>496</v>
      </c>
      <c r="E365" s="4" t="s">
        <v>24</v>
      </c>
      <c r="F365" s="23">
        <v>236447</v>
      </c>
      <c r="G365" s="35">
        <v>2008</v>
      </c>
      <c r="H365">
        <f>Table_8[[#This Row],[Listing Price (USD)]]/10000</f>
        <v>23.6447</v>
      </c>
      <c r="I365">
        <f>Table_8[[#This Row],[Length 
(ft)]]</f>
        <v>38</v>
      </c>
      <c r="J365" s="37">
        <f>2020-Table_8[[#This Row],[Year]]</f>
        <v>12</v>
      </c>
      <c r="K365">
        <v>1896755301518.1399</v>
      </c>
      <c r="L365">
        <v>31911.0357890017</v>
      </c>
      <c r="M365">
        <v>-0.13770757391656999</v>
      </c>
      <c r="N365">
        <v>-9.0399534112288507</v>
      </c>
      <c r="O365" s="39">
        <v>32.479999999999997</v>
      </c>
      <c r="P365" s="39">
        <v>691.00199999999995</v>
      </c>
      <c r="Q365" s="39">
        <v>40</v>
      </c>
      <c r="R365" s="39">
        <v>11.97</v>
      </c>
    </row>
    <row r="366" spans="1:18" x14ac:dyDescent="0.25">
      <c r="A366" s="1" t="s">
        <v>427</v>
      </c>
      <c r="B366" s="2" t="s">
        <v>428</v>
      </c>
      <c r="C366" s="19">
        <v>38</v>
      </c>
      <c r="D366" s="3" t="s">
        <v>496</v>
      </c>
      <c r="E366" s="4" t="s">
        <v>18</v>
      </c>
      <c r="F366" s="23">
        <v>236447</v>
      </c>
      <c r="G366" s="35">
        <v>2011</v>
      </c>
      <c r="H366">
        <f>Table_8[[#This Row],[Listing Price (USD)]]/10000</f>
        <v>23.6447</v>
      </c>
      <c r="I366">
        <f>Table_8[[#This Row],[Length 
(ft)]]</f>
        <v>38</v>
      </c>
      <c r="J366" s="37">
        <f>2020-Table_8[[#This Row],[Year]]</f>
        <v>9</v>
      </c>
      <c r="K366">
        <v>188925995936.80701</v>
      </c>
      <c r="L366">
        <v>17658.947301119199</v>
      </c>
      <c r="M366">
        <v>-1.2479835558140799</v>
      </c>
      <c r="N366">
        <v>-9.0040436420214593</v>
      </c>
      <c r="O366" s="39">
        <v>32.479999999999997</v>
      </c>
      <c r="P366" s="39">
        <v>691.00199999999995</v>
      </c>
      <c r="Q366" s="39">
        <v>40</v>
      </c>
      <c r="R366" s="39">
        <v>11.97</v>
      </c>
    </row>
    <row r="367" spans="1:18" x14ac:dyDescent="0.25">
      <c r="A367" s="1" t="s">
        <v>427</v>
      </c>
      <c r="B367" s="2" t="s">
        <v>428</v>
      </c>
      <c r="C367" s="19">
        <v>38</v>
      </c>
      <c r="D367" s="3" t="s">
        <v>496</v>
      </c>
      <c r="E367" s="4" t="s">
        <v>24</v>
      </c>
      <c r="F367" s="23">
        <v>242510</v>
      </c>
      <c r="G367" s="35">
        <v>2015</v>
      </c>
      <c r="H367">
        <f>Table_8[[#This Row],[Listing Price (USD)]]/10000</f>
        <v>24.251000000000001</v>
      </c>
      <c r="I367">
        <f>Table_8[[#This Row],[Length 
(ft)]]</f>
        <v>38</v>
      </c>
      <c r="J367" s="37">
        <f>2020-Table_8[[#This Row],[Year]]</f>
        <v>5</v>
      </c>
      <c r="K367">
        <v>1896755301518.1399</v>
      </c>
      <c r="L367">
        <v>31911.0357890017</v>
      </c>
      <c r="M367">
        <v>-0.13770757391656999</v>
      </c>
      <c r="N367">
        <v>-9.0399534112288507</v>
      </c>
      <c r="O367" s="39">
        <v>32.479999999999997</v>
      </c>
      <c r="P367" s="39">
        <v>691.00199999999995</v>
      </c>
      <c r="Q367" s="39">
        <v>40</v>
      </c>
      <c r="R367" s="39">
        <v>11.97</v>
      </c>
    </row>
    <row r="368" spans="1:18" x14ac:dyDescent="0.25">
      <c r="A368" s="1" t="s">
        <v>427</v>
      </c>
      <c r="B368" s="2" t="s">
        <v>428</v>
      </c>
      <c r="C368" s="19">
        <v>38</v>
      </c>
      <c r="D368" s="3" t="s">
        <v>497</v>
      </c>
      <c r="E368" s="3" t="s">
        <v>483</v>
      </c>
      <c r="F368" s="23">
        <v>255984</v>
      </c>
      <c r="G368" s="35">
        <v>2014</v>
      </c>
      <c r="H368">
        <f>Table_8[[#This Row],[Listing Price (USD)]]/10000</f>
        <v>25.598400000000002</v>
      </c>
      <c r="I368">
        <f>Table_8[[#This Row],[Length 
(ft)]]</f>
        <v>38</v>
      </c>
      <c r="J368" s="37">
        <f>2020-Table_8[[#This Row],[Year]]</f>
        <v>6</v>
      </c>
      <c r="K368">
        <v>4200000000</v>
      </c>
      <c r="L368">
        <v>39553.199999999997</v>
      </c>
      <c r="M368">
        <v>2.5</v>
      </c>
      <c r="N368">
        <v>-2.1</v>
      </c>
      <c r="O368" s="39">
        <v>32.479999999999997</v>
      </c>
      <c r="P368" s="39">
        <v>691.00199999999995</v>
      </c>
      <c r="Q368" s="39">
        <v>40</v>
      </c>
      <c r="R368" s="39">
        <v>11.97</v>
      </c>
    </row>
    <row r="369" spans="1:18" x14ac:dyDescent="0.25">
      <c r="A369" s="1" t="s">
        <v>441</v>
      </c>
      <c r="B369" s="2">
        <v>380</v>
      </c>
      <c r="C369" s="19">
        <v>38</v>
      </c>
      <c r="D369" s="3" t="s">
        <v>495</v>
      </c>
      <c r="E369" s="3" t="s">
        <v>518</v>
      </c>
      <c r="F369" s="23">
        <v>292000</v>
      </c>
      <c r="G369" s="35">
        <v>2012</v>
      </c>
      <c r="H369">
        <f>Table_8[[#This Row],[Listing Price (USD)]]/10000</f>
        <v>29.2</v>
      </c>
      <c r="I369">
        <f>Table_8[[#This Row],[Length 
(ft)]]</f>
        <v>38</v>
      </c>
      <c r="J369" s="37">
        <f>2020-Table_8[[#This Row],[Year]]</f>
        <v>8</v>
      </c>
      <c r="K369">
        <v>1724759000000</v>
      </c>
      <c r="L369">
        <v>85575.039999999994</v>
      </c>
      <c r="M369">
        <v>1.23</v>
      </c>
      <c r="N369">
        <v>3.8</v>
      </c>
      <c r="O369" s="39">
        <v>32.479999999999997</v>
      </c>
      <c r="P369" s="39">
        <v>691.00199999999995</v>
      </c>
      <c r="Q369" s="39">
        <v>40</v>
      </c>
      <c r="R369" s="39">
        <v>11.97</v>
      </c>
    </row>
    <row r="370" spans="1:18" x14ac:dyDescent="0.25">
      <c r="A370" s="1" t="s">
        <v>427</v>
      </c>
      <c r="B370" s="2" t="s">
        <v>428</v>
      </c>
      <c r="C370" s="19">
        <v>38</v>
      </c>
      <c r="D370" s="3" t="s">
        <v>497</v>
      </c>
      <c r="E370" s="3" t="s">
        <v>483</v>
      </c>
      <c r="F370" s="23">
        <v>301925</v>
      </c>
      <c r="G370" s="35">
        <v>2019</v>
      </c>
      <c r="H370">
        <f>Table_8[[#This Row],[Listing Price (USD)]]/10000</f>
        <v>30.192499999999999</v>
      </c>
      <c r="I370">
        <f>Table_8[[#This Row],[Length 
(ft)]]</f>
        <v>38</v>
      </c>
      <c r="J370" s="37">
        <f>2020-Table_8[[#This Row],[Year]]</f>
        <v>1</v>
      </c>
      <c r="K370">
        <v>4200000000</v>
      </c>
      <c r="L370">
        <v>39553.199999999997</v>
      </c>
      <c r="M370">
        <v>2.5</v>
      </c>
      <c r="N370">
        <v>-2.1</v>
      </c>
      <c r="O370" s="39">
        <v>32.479999999999997</v>
      </c>
      <c r="P370" s="39">
        <v>691.00199999999995</v>
      </c>
      <c r="Q370" s="39">
        <v>40</v>
      </c>
      <c r="R370" s="39">
        <v>11.97</v>
      </c>
    </row>
    <row r="371" spans="1:18" x14ac:dyDescent="0.25">
      <c r="A371" s="1" t="s">
        <v>427</v>
      </c>
      <c r="B371" s="2" t="s">
        <v>428</v>
      </c>
      <c r="C371" s="19">
        <v>38</v>
      </c>
      <c r="D371" s="3" t="s">
        <v>497</v>
      </c>
      <c r="E371" s="3" t="s">
        <v>483</v>
      </c>
      <c r="F371" s="23">
        <v>302224</v>
      </c>
      <c r="G371" s="35">
        <v>2019</v>
      </c>
      <c r="H371">
        <f>Table_8[[#This Row],[Listing Price (USD)]]/10000</f>
        <v>30.2224</v>
      </c>
      <c r="I371">
        <f>Table_8[[#This Row],[Length 
(ft)]]</f>
        <v>38</v>
      </c>
      <c r="J371" s="37">
        <f>2020-Table_8[[#This Row],[Year]]</f>
        <v>1</v>
      </c>
      <c r="K371">
        <v>4200000000</v>
      </c>
      <c r="L371">
        <v>39553.199999999997</v>
      </c>
      <c r="M371">
        <v>2.5</v>
      </c>
      <c r="N371">
        <v>-2.1</v>
      </c>
      <c r="O371" s="39">
        <v>32.479999999999997</v>
      </c>
      <c r="P371" s="39">
        <v>691.00199999999995</v>
      </c>
      <c r="Q371" s="39">
        <v>40</v>
      </c>
      <c r="R371" s="39">
        <v>11.97</v>
      </c>
    </row>
    <row r="372" spans="1:18" x14ac:dyDescent="0.25">
      <c r="A372" s="1" t="s">
        <v>427</v>
      </c>
      <c r="B372" s="3">
        <v>380</v>
      </c>
      <c r="C372" s="19">
        <v>38</v>
      </c>
      <c r="D372" s="3" t="s">
        <v>497</v>
      </c>
      <c r="E372" s="3" t="s">
        <v>483</v>
      </c>
      <c r="F372" s="23">
        <v>302570</v>
      </c>
      <c r="G372" s="35">
        <v>2019</v>
      </c>
      <c r="H372">
        <f>Table_8[[#This Row],[Listing Price (USD)]]/10000</f>
        <v>30.257000000000001</v>
      </c>
      <c r="I372">
        <f>Table_8[[#This Row],[Length 
(ft)]]</f>
        <v>38</v>
      </c>
      <c r="J372" s="37">
        <f>2020-Table_8[[#This Row],[Year]]</f>
        <v>1</v>
      </c>
      <c r="K372">
        <v>4200000000</v>
      </c>
      <c r="L372">
        <v>39553.199999999997</v>
      </c>
      <c r="M372">
        <v>2.5</v>
      </c>
      <c r="N372">
        <v>-2.1</v>
      </c>
      <c r="O372" s="39">
        <v>32.479999999999997</v>
      </c>
      <c r="P372" s="39">
        <v>691.00199999999995</v>
      </c>
      <c r="Q372" s="39">
        <v>40</v>
      </c>
      <c r="R372" s="39">
        <v>11.97</v>
      </c>
    </row>
    <row r="373" spans="1:18" x14ac:dyDescent="0.25">
      <c r="A373" s="1" t="s">
        <v>427</v>
      </c>
      <c r="B373" s="2" t="s">
        <v>428</v>
      </c>
      <c r="C373" s="19">
        <v>38</v>
      </c>
      <c r="D373" s="3" t="s">
        <v>497</v>
      </c>
      <c r="E373" s="3" t="s">
        <v>392</v>
      </c>
      <c r="F373" s="23">
        <v>330000</v>
      </c>
      <c r="G373" s="35">
        <v>2018</v>
      </c>
      <c r="H373">
        <f>Table_8[[#This Row],[Listing Price (USD)]]/10000</f>
        <v>33</v>
      </c>
      <c r="I373">
        <f>Table_8[[#This Row],[Length 
(ft)]]</f>
        <v>38</v>
      </c>
      <c r="J373" s="37">
        <f>2020-Table_8[[#This Row],[Year]]</f>
        <v>2</v>
      </c>
      <c r="K373">
        <v>1043414814.81481</v>
      </c>
      <c r="L373">
        <v>8437.5667322870595</v>
      </c>
      <c r="M373">
        <v>-0.74073259704550098</v>
      </c>
      <c r="N373">
        <v>-13.7559294530644</v>
      </c>
      <c r="O373" s="39">
        <v>32.479999999999997</v>
      </c>
      <c r="P373" s="39">
        <v>691.00199999999995</v>
      </c>
      <c r="Q373" s="39">
        <v>40</v>
      </c>
      <c r="R373" s="39">
        <v>11.97</v>
      </c>
    </row>
    <row r="374" spans="1:18" x14ac:dyDescent="0.25">
      <c r="A374" s="1" t="s">
        <v>402</v>
      </c>
      <c r="B374" s="2" t="s">
        <v>403</v>
      </c>
      <c r="C374" s="19">
        <v>38.700000000000003</v>
      </c>
      <c r="D374" s="3" t="s">
        <v>496</v>
      </c>
      <c r="E374" s="4" t="s">
        <v>18</v>
      </c>
      <c r="F374" s="23">
        <v>193332</v>
      </c>
      <c r="G374" s="35">
        <v>2008</v>
      </c>
      <c r="H374">
        <f>Table_8[[#This Row],[Listing Price (USD)]]/10000</f>
        <v>19.333200000000001</v>
      </c>
      <c r="I374">
        <f>Table_8[[#This Row],[Length 
(ft)]]</f>
        <v>38.700000000000003</v>
      </c>
      <c r="J374" s="37">
        <f>2020-Table_8[[#This Row],[Year]]</f>
        <v>12</v>
      </c>
      <c r="K374">
        <v>188925995936.80701</v>
      </c>
      <c r="L374">
        <v>17658.947301119199</v>
      </c>
      <c r="M374">
        <v>-1.2479835558140799</v>
      </c>
      <c r="N374">
        <v>-9.0040436420214593</v>
      </c>
      <c r="O374" s="39">
        <v>34.78</v>
      </c>
      <c r="P374" s="39">
        <v>831.00199999999995</v>
      </c>
      <c r="Q374" s="39">
        <v>36</v>
      </c>
      <c r="R374" s="39">
        <v>12.47</v>
      </c>
    </row>
    <row r="375" spans="1:18" x14ac:dyDescent="0.25">
      <c r="A375" s="1" t="s">
        <v>402</v>
      </c>
      <c r="B375" s="2" t="s">
        <v>403</v>
      </c>
      <c r="C375" s="19">
        <v>38.700000000000003</v>
      </c>
      <c r="D375" s="3" t="s">
        <v>496</v>
      </c>
      <c r="E375" s="4" t="s">
        <v>18</v>
      </c>
      <c r="F375" s="23">
        <v>200071</v>
      </c>
      <c r="G375" s="35">
        <v>2008</v>
      </c>
      <c r="H375">
        <f>Table_8[[#This Row],[Listing Price (USD)]]/10000</f>
        <v>20.007100000000001</v>
      </c>
      <c r="I375">
        <f>Table_8[[#This Row],[Length 
(ft)]]</f>
        <v>38.700000000000003</v>
      </c>
      <c r="J375" s="37">
        <f>2020-Table_8[[#This Row],[Year]]</f>
        <v>12</v>
      </c>
      <c r="K375">
        <v>188925995936.80701</v>
      </c>
      <c r="L375">
        <v>17658.947301119199</v>
      </c>
      <c r="M375">
        <v>-1.2479835558140799</v>
      </c>
      <c r="N375">
        <v>-9.0040436420214593</v>
      </c>
      <c r="O375" s="39">
        <v>34.78</v>
      </c>
      <c r="P375" s="39">
        <v>831.00199999999995</v>
      </c>
      <c r="Q375" s="39">
        <v>36</v>
      </c>
      <c r="R375" s="39">
        <v>12.47</v>
      </c>
    </row>
    <row r="376" spans="1:18" x14ac:dyDescent="0.25">
      <c r="A376" s="1" t="s">
        <v>402</v>
      </c>
      <c r="B376" s="2" t="s">
        <v>403</v>
      </c>
      <c r="C376" s="19">
        <v>38.700000000000003</v>
      </c>
      <c r="D376" s="3" t="s">
        <v>496</v>
      </c>
      <c r="E376" s="4" t="s">
        <v>19</v>
      </c>
      <c r="F376" s="23">
        <v>200493</v>
      </c>
      <c r="G376" s="35">
        <v>2007</v>
      </c>
      <c r="H376">
        <f>Table_8[[#This Row],[Listing Price (USD)]]/10000</f>
        <v>20.049299999999999</v>
      </c>
      <c r="I376">
        <f>Table_8[[#This Row],[Length 
(ft)]]</f>
        <v>38.700000000000003</v>
      </c>
      <c r="J376" s="37">
        <f>2020-Table_8[[#This Row],[Year]]</f>
        <v>13</v>
      </c>
      <c r="K376">
        <v>4200000000</v>
      </c>
      <c r="L376">
        <v>39553.199999999997</v>
      </c>
      <c r="M376">
        <v>4.0999999999999996</v>
      </c>
      <c r="N376">
        <v>-2.1</v>
      </c>
      <c r="O376" s="39">
        <v>34.78</v>
      </c>
      <c r="P376" s="39">
        <v>831.00199999999995</v>
      </c>
      <c r="Q376" s="39">
        <v>36</v>
      </c>
      <c r="R376" s="39">
        <v>12.47</v>
      </c>
    </row>
    <row r="377" spans="1:18" x14ac:dyDescent="0.25">
      <c r="A377" s="1" t="s">
        <v>402</v>
      </c>
      <c r="B377" s="2" t="s">
        <v>403</v>
      </c>
      <c r="C377" s="19">
        <v>38.700000000000003</v>
      </c>
      <c r="D377" s="3" t="s">
        <v>496</v>
      </c>
      <c r="E377" s="4" t="s">
        <v>18</v>
      </c>
      <c r="F377" s="23">
        <v>202496</v>
      </c>
      <c r="G377" s="35">
        <v>2007</v>
      </c>
      <c r="H377">
        <f>Table_8[[#This Row],[Listing Price (USD)]]/10000</f>
        <v>20.249600000000001</v>
      </c>
      <c r="I377">
        <f>Table_8[[#This Row],[Length 
(ft)]]</f>
        <v>38.700000000000003</v>
      </c>
      <c r="J377" s="37">
        <f>2020-Table_8[[#This Row],[Year]]</f>
        <v>13</v>
      </c>
      <c r="K377">
        <v>188925995936.80701</v>
      </c>
      <c r="L377">
        <v>17658.947301119199</v>
      </c>
      <c r="M377">
        <v>-1.2479835558140799</v>
      </c>
      <c r="N377">
        <v>-9.0040436420214593</v>
      </c>
      <c r="O377" s="39">
        <v>34.78</v>
      </c>
      <c r="P377" s="39">
        <v>831.00199999999995</v>
      </c>
      <c r="Q377" s="39">
        <v>36</v>
      </c>
      <c r="R377" s="39">
        <v>12.47</v>
      </c>
    </row>
    <row r="378" spans="1:18" x14ac:dyDescent="0.25">
      <c r="A378" s="1" t="s">
        <v>402</v>
      </c>
      <c r="B378" s="2">
        <v>385</v>
      </c>
      <c r="C378" s="19">
        <v>38.700000000000003</v>
      </c>
      <c r="D378" s="3" t="s">
        <v>496</v>
      </c>
      <c r="E378" s="4" t="s">
        <v>18</v>
      </c>
      <c r="F378" s="23">
        <v>202496</v>
      </c>
      <c r="G378" s="35">
        <v>2008</v>
      </c>
      <c r="H378">
        <f>Table_8[[#This Row],[Listing Price (USD)]]/10000</f>
        <v>20.249600000000001</v>
      </c>
      <c r="I378">
        <f>Table_8[[#This Row],[Length 
(ft)]]</f>
        <v>38.700000000000003</v>
      </c>
      <c r="J378" s="37">
        <f>2020-Table_8[[#This Row],[Year]]</f>
        <v>12</v>
      </c>
      <c r="K378">
        <v>188925995936.80701</v>
      </c>
      <c r="L378">
        <v>17658.947301119199</v>
      </c>
      <c r="M378">
        <v>-1.2479835558140799</v>
      </c>
      <c r="N378">
        <v>-9.0040436420214593</v>
      </c>
      <c r="O378" s="39">
        <v>34.78</v>
      </c>
      <c r="P378" s="39">
        <v>831.00199999999995</v>
      </c>
      <c r="Q378" s="39">
        <v>36</v>
      </c>
      <c r="R378" s="39">
        <v>12.47</v>
      </c>
    </row>
    <row r="379" spans="1:18" x14ac:dyDescent="0.25">
      <c r="A379" s="1" t="s">
        <v>402</v>
      </c>
      <c r="B379" s="2" t="s">
        <v>403</v>
      </c>
      <c r="C379" s="19">
        <v>38.700000000000003</v>
      </c>
      <c r="D379" s="3" t="s">
        <v>497</v>
      </c>
      <c r="E379" s="3" t="s">
        <v>392</v>
      </c>
      <c r="F379" s="23">
        <v>210000</v>
      </c>
      <c r="G379" s="35">
        <v>2011</v>
      </c>
      <c r="H379">
        <f>Table_8[[#This Row],[Listing Price (USD)]]/10000</f>
        <v>21</v>
      </c>
      <c r="I379">
        <f>Table_8[[#This Row],[Length 
(ft)]]</f>
        <v>38.700000000000003</v>
      </c>
      <c r="J379" s="37">
        <f>2020-Table_8[[#This Row],[Year]]</f>
        <v>9</v>
      </c>
      <c r="K379">
        <v>1043414814.81481</v>
      </c>
      <c r="L379">
        <v>8437.5667322870595</v>
      </c>
      <c r="M379">
        <v>-0.74073259704550098</v>
      </c>
      <c r="N379">
        <v>-13.7559294530644</v>
      </c>
      <c r="O379" s="39">
        <v>34.78</v>
      </c>
      <c r="P379" s="39">
        <v>831.00199999999995</v>
      </c>
      <c r="Q379" s="39">
        <v>36</v>
      </c>
      <c r="R379" s="39">
        <v>12.47</v>
      </c>
    </row>
    <row r="380" spans="1:18" x14ac:dyDescent="0.25">
      <c r="A380" s="1" t="s">
        <v>402</v>
      </c>
      <c r="B380" s="2">
        <v>385</v>
      </c>
      <c r="C380" s="19">
        <v>38.700000000000003</v>
      </c>
      <c r="D380" s="3" t="s">
        <v>496</v>
      </c>
      <c r="E380" s="4" t="s">
        <v>9</v>
      </c>
      <c r="F380" s="23">
        <v>219766</v>
      </c>
      <c r="G380" s="35">
        <v>2006</v>
      </c>
      <c r="H380">
        <f>Table_8[[#This Row],[Listing Price (USD)]]/10000</f>
        <v>21.976600000000001</v>
      </c>
      <c r="I380">
        <f>Table_8[[#This Row],[Length 
(ft)]]</f>
        <v>38.700000000000003</v>
      </c>
      <c r="J380" s="37">
        <f>2020-Table_8[[#This Row],[Year]]</f>
        <v>14</v>
      </c>
      <c r="K380">
        <v>1276962685648.25</v>
      </c>
      <c r="L380">
        <v>26959.675436732599</v>
      </c>
      <c r="M380">
        <v>-0.32275301729970501</v>
      </c>
      <c r="N380">
        <v>-11.3254383222864</v>
      </c>
      <c r="O380" s="39">
        <v>34.78</v>
      </c>
      <c r="P380" s="39">
        <v>831.00199999999995</v>
      </c>
      <c r="Q380" s="39">
        <v>36</v>
      </c>
      <c r="R380" s="39">
        <v>12.47</v>
      </c>
    </row>
    <row r="381" spans="1:18" x14ac:dyDescent="0.25">
      <c r="A381" s="1" t="s">
        <v>402</v>
      </c>
      <c r="B381" s="2">
        <v>385</v>
      </c>
      <c r="C381" s="19">
        <v>38.700000000000003</v>
      </c>
      <c r="D381" s="3" t="s">
        <v>496</v>
      </c>
      <c r="E381" s="3" t="s">
        <v>19</v>
      </c>
      <c r="F381" s="23">
        <v>219923</v>
      </c>
      <c r="G381" s="35">
        <v>2006</v>
      </c>
      <c r="H381">
        <f>Table_8[[#This Row],[Listing Price (USD)]]/10000</f>
        <v>21.9923</v>
      </c>
      <c r="I381">
        <f>Table_8[[#This Row],[Length 
(ft)]]</f>
        <v>38.700000000000003</v>
      </c>
      <c r="J381" s="37">
        <f>2020-Table_8[[#This Row],[Year]]</f>
        <v>14</v>
      </c>
      <c r="K381">
        <v>4200000000</v>
      </c>
      <c r="L381">
        <v>39553.199999999997</v>
      </c>
      <c r="M381">
        <v>4.0999999999999996</v>
      </c>
      <c r="N381">
        <v>-2.1</v>
      </c>
      <c r="O381" s="39">
        <v>34.78</v>
      </c>
      <c r="P381" s="39">
        <v>831.00199999999995</v>
      </c>
      <c r="Q381" s="39">
        <v>36</v>
      </c>
      <c r="R381" s="39">
        <v>12.47</v>
      </c>
    </row>
    <row r="382" spans="1:18" x14ac:dyDescent="0.25">
      <c r="A382" s="1" t="s">
        <v>402</v>
      </c>
      <c r="B382" s="2" t="s">
        <v>403</v>
      </c>
      <c r="C382" s="19">
        <v>38.700000000000003</v>
      </c>
      <c r="D382" s="3" t="s">
        <v>496</v>
      </c>
      <c r="E382" s="4" t="s">
        <v>9</v>
      </c>
      <c r="F382" s="23">
        <v>220475</v>
      </c>
      <c r="G382" s="35">
        <v>2006</v>
      </c>
      <c r="H382">
        <f>Table_8[[#This Row],[Listing Price (USD)]]/10000</f>
        <v>22.047499999999999</v>
      </c>
      <c r="I382">
        <f>Table_8[[#This Row],[Length 
(ft)]]</f>
        <v>38.700000000000003</v>
      </c>
      <c r="J382" s="37">
        <f>2020-Table_8[[#This Row],[Year]]</f>
        <v>14</v>
      </c>
      <c r="K382">
        <v>1276962685648.25</v>
      </c>
      <c r="L382">
        <v>26959.675436732599</v>
      </c>
      <c r="M382">
        <v>-0.32275301729970501</v>
      </c>
      <c r="N382">
        <v>-11.3254383222864</v>
      </c>
      <c r="O382" s="39">
        <v>34.78</v>
      </c>
      <c r="P382" s="39">
        <v>831.00199999999995</v>
      </c>
      <c r="Q382" s="39">
        <v>36</v>
      </c>
      <c r="R382" s="39">
        <v>12.47</v>
      </c>
    </row>
    <row r="383" spans="1:18" x14ac:dyDescent="0.25">
      <c r="A383" s="1" t="s">
        <v>402</v>
      </c>
      <c r="B383" s="2" t="s">
        <v>403</v>
      </c>
      <c r="C383" s="19">
        <v>38.700000000000003</v>
      </c>
      <c r="D383" s="3" t="s">
        <v>496</v>
      </c>
      <c r="E383" s="4" t="s">
        <v>19</v>
      </c>
      <c r="F383" s="23">
        <v>220542</v>
      </c>
      <c r="G383" s="35">
        <v>2006</v>
      </c>
      <c r="H383">
        <f>Table_8[[#This Row],[Listing Price (USD)]]/10000</f>
        <v>22.054200000000002</v>
      </c>
      <c r="I383">
        <f>Table_8[[#This Row],[Length 
(ft)]]</f>
        <v>38.700000000000003</v>
      </c>
      <c r="J383" s="37">
        <f>2020-Table_8[[#This Row],[Year]]</f>
        <v>14</v>
      </c>
      <c r="K383">
        <v>4200000000</v>
      </c>
      <c r="L383">
        <v>39553.199999999997</v>
      </c>
      <c r="M383">
        <v>4.0999999999999996</v>
      </c>
      <c r="N383">
        <v>-2.1</v>
      </c>
      <c r="O383" s="39">
        <v>34.78</v>
      </c>
      <c r="P383" s="39">
        <v>831.00199999999995</v>
      </c>
      <c r="Q383" s="39">
        <v>36</v>
      </c>
      <c r="R383" s="39">
        <v>12.47</v>
      </c>
    </row>
    <row r="384" spans="1:18" x14ac:dyDescent="0.25">
      <c r="A384" s="1" t="s">
        <v>402</v>
      </c>
      <c r="B384" s="2" t="s">
        <v>403</v>
      </c>
      <c r="C384" s="19">
        <v>38.700000000000003</v>
      </c>
      <c r="D384" s="3" t="s">
        <v>496</v>
      </c>
      <c r="E384" s="4" t="s">
        <v>9</v>
      </c>
      <c r="F384" s="23">
        <v>223109</v>
      </c>
      <c r="G384" s="35">
        <v>2006</v>
      </c>
      <c r="H384">
        <f>Table_8[[#This Row],[Listing Price (USD)]]/10000</f>
        <v>22.3109</v>
      </c>
      <c r="I384">
        <f>Table_8[[#This Row],[Length 
(ft)]]</f>
        <v>38.700000000000003</v>
      </c>
      <c r="J384" s="37">
        <f>2020-Table_8[[#This Row],[Year]]</f>
        <v>14</v>
      </c>
      <c r="K384">
        <v>1276962685648.25</v>
      </c>
      <c r="L384">
        <v>26959.675436732599</v>
      </c>
      <c r="M384">
        <v>-0.32275301729970501</v>
      </c>
      <c r="N384">
        <v>-11.3254383222864</v>
      </c>
      <c r="O384" s="39">
        <v>34.78</v>
      </c>
      <c r="P384" s="39">
        <v>831.00199999999995</v>
      </c>
      <c r="Q384" s="39">
        <v>36</v>
      </c>
      <c r="R384" s="39">
        <v>12.47</v>
      </c>
    </row>
    <row r="385" spans="1:18" x14ac:dyDescent="0.25">
      <c r="A385" s="1" t="s">
        <v>427</v>
      </c>
      <c r="B385" s="3">
        <v>400</v>
      </c>
      <c r="C385" s="19">
        <v>39</v>
      </c>
      <c r="D385" s="3" t="s">
        <v>497</v>
      </c>
      <c r="E385" s="3" t="s">
        <v>370</v>
      </c>
      <c r="F385" s="23">
        <v>195000</v>
      </c>
      <c r="G385" s="35">
        <v>2010</v>
      </c>
      <c r="H385">
        <f>Table_8[[#This Row],[Listing Price (USD)]]/10000</f>
        <v>19.5</v>
      </c>
      <c r="I385">
        <f>Table_8[[#This Row],[Length 
(ft)]]</f>
        <v>39</v>
      </c>
      <c r="J385" s="37">
        <f>2020-Table_8[[#This Row],[Year]]</f>
        <v>10</v>
      </c>
      <c r="K385">
        <v>500000000</v>
      </c>
      <c r="L385">
        <v>34200</v>
      </c>
      <c r="M385">
        <v>1.1000000000000001</v>
      </c>
      <c r="N385">
        <v>2</v>
      </c>
      <c r="O385" s="39">
        <v>34.450000000000003</v>
      </c>
      <c r="P385" s="39">
        <v>868.00199999999995</v>
      </c>
      <c r="Q385" s="39">
        <v>40</v>
      </c>
      <c r="R385" s="39">
        <v>12.53</v>
      </c>
    </row>
    <row r="386" spans="1:18" x14ac:dyDescent="0.25">
      <c r="A386" s="1" t="s">
        <v>427</v>
      </c>
      <c r="B386" s="2">
        <v>400</v>
      </c>
      <c r="C386" s="19">
        <v>39</v>
      </c>
      <c r="D386" s="3" t="s">
        <v>496</v>
      </c>
      <c r="E386" s="4" t="s">
        <v>31</v>
      </c>
      <c r="F386" s="23">
        <v>206095</v>
      </c>
      <c r="G386" s="35">
        <v>2011</v>
      </c>
      <c r="H386">
        <f>Table_8[[#This Row],[Listing Price (USD)]]/10000</f>
        <v>20.609500000000001</v>
      </c>
      <c r="I386">
        <f>Table_8[[#This Row],[Length 
(ft)]]</f>
        <v>39</v>
      </c>
      <c r="J386" s="37">
        <f>2020-Table_8[[#This Row],[Year]]</f>
        <v>9</v>
      </c>
      <c r="K386">
        <v>57472012426.685303</v>
      </c>
      <c r="L386">
        <v>14198.753959474399</v>
      </c>
      <c r="M386">
        <v>0.15481137456202801</v>
      </c>
      <c r="N386">
        <v>-8.5803430210621805</v>
      </c>
      <c r="O386" s="39">
        <v>34.450000000000003</v>
      </c>
      <c r="P386" s="39">
        <v>868.00199999999995</v>
      </c>
      <c r="Q386" s="39">
        <v>40</v>
      </c>
      <c r="R386" s="39">
        <v>12.53</v>
      </c>
    </row>
    <row r="387" spans="1:18" x14ac:dyDescent="0.25">
      <c r="A387" s="1" t="s">
        <v>427</v>
      </c>
      <c r="B387" s="2" t="s">
        <v>431</v>
      </c>
      <c r="C387" s="19">
        <v>39</v>
      </c>
      <c r="D387" s="3" t="s">
        <v>496</v>
      </c>
      <c r="E387" s="4" t="s">
        <v>31</v>
      </c>
      <c r="F387" s="23">
        <v>217261</v>
      </c>
      <c r="G387" s="35">
        <v>2010</v>
      </c>
      <c r="H387">
        <f>Table_8[[#This Row],[Listing Price (USD)]]/10000</f>
        <v>21.726099999999999</v>
      </c>
      <c r="I387">
        <f>Table_8[[#This Row],[Length 
(ft)]]</f>
        <v>39</v>
      </c>
      <c r="J387" s="37">
        <f>2020-Table_8[[#This Row],[Year]]</f>
        <v>10</v>
      </c>
      <c r="K387">
        <v>57472012426.685303</v>
      </c>
      <c r="L387">
        <v>14198.753959474399</v>
      </c>
      <c r="M387">
        <v>0.15481137456202801</v>
      </c>
      <c r="N387">
        <v>-8.5803430210621805</v>
      </c>
      <c r="O387" s="39">
        <v>34.450000000000003</v>
      </c>
      <c r="P387" s="39">
        <v>868.00199999999995</v>
      </c>
      <c r="Q387" s="39">
        <v>40</v>
      </c>
      <c r="R387" s="39">
        <v>12.53</v>
      </c>
    </row>
    <row r="388" spans="1:18" x14ac:dyDescent="0.25">
      <c r="A388" s="1" t="s">
        <v>427</v>
      </c>
      <c r="B388" s="2" t="s">
        <v>431</v>
      </c>
      <c r="C388" s="19">
        <v>39</v>
      </c>
      <c r="D388" s="3" t="s">
        <v>496</v>
      </c>
      <c r="E388" s="4" t="s">
        <v>31</v>
      </c>
      <c r="F388" s="23">
        <v>217261</v>
      </c>
      <c r="G388" s="35">
        <v>2011</v>
      </c>
      <c r="H388">
        <f>Table_8[[#This Row],[Listing Price (USD)]]/10000</f>
        <v>21.726099999999999</v>
      </c>
      <c r="I388">
        <f>Table_8[[#This Row],[Length 
(ft)]]</f>
        <v>39</v>
      </c>
      <c r="J388" s="37">
        <f>2020-Table_8[[#This Row],[Year]]</f>
        <v>9</v>
      </c>
      <c r="K388">
        <v>57472012426.685303</v>
      </c>
      <c r="L388">
        <v>14198.753959474399</v>
      </c>
      <c r="M388">
        <v>0.15481137456202801</v>
      </c>
      <c r="N388">
        <v>-8.5803430210621805</v>
      </c>
      <c r="O388" s="39">
        <v>34.450000000000003</v>
      </c>
      <c r="P388" s="39">
        <v>868.00199999999995</v>
      </c>
      <c r="Q388" s="39">
        <v>40</v>
      </c>
      <c r="R388" s="39">
        <v>12.53</v>
      </c>
    </row>
    <row r="389" spans="1:18" x14ac:dyDescent="0.25">
      <c r="A389" s="1" t="s">
        <v>427</v>
      </c>
      <c r="B389" s="2">
        <v>400</v>
      </c>
      <c r="C389" s="19">
        <v>39</v>
      </c>
      <c r="D389" s="3" t="s">
        <v>496</v>
      </c>
      <c r="E389" s="4" t="s">
        <v>31</v>
      </c>
      <c r="F389" s="23">
        <v>217486</v>
      </c>
      <c r="G389" s="35">
        <v>2010</v>
      </c>
      <c r="H389">
        <f>Table_8[[#This Row],[Listing Price (USD)]]/10000</f>
        <v>21.7486</v>
      </c>
      <c r="I389">
        <f>Table_8[[#This Row],[Length 
(ft)]]</f>
        <v>39</v>
      </c>
      <c r="J389" s="37">
        <f>2020-Table_8[[#This Row],[Year]]</f>
        <v>10</v>
      </c>
      <c r="K389">
        <v>57472012426.685303</v>
      </c>
      <c r="L389">
        <v>14198.753959474399</v>
      </c>
      <c r="M389">
        <v>0.15481137456202801</v>
      </c>
      <c r="N389">
        <v>-8.5803430210621805</v>
      </c>
      <c r="O389" s="39">
        <v>34.450000000000003</v>
      </c>
      <c r="P389" s="39">
        <v>868.00199999999995</v>
      </c>
      <c r="Q389" s="39">
        <v>40</v>
      </c>
      <c r="R389" s="39">
        <v>12.53</v>
      </c>
    </row>
    <row r="390" spans="1:18" x14ac:dyDescent="0.25">
      <c r="A390" s="1" t="s">
        <v>427</v>
      </c>
      <c r="B390" s="2">
        <v>400</v>
      </c>
      <c r="C390" s="19">
        <v>39</v>
      </c>
      <c r="D390" s="3" t="s">
        <v>496</v>
      </c>
      <c r="E390" s="4" t="s">
        <v>31</v>
      </c>
      <c r="F390" s="23">
        <v>217486</v>
      </c>
      <c r="G390" s="35">
        <v>2011</v>
      </c>
      <c r="H390">
        <f>Table_8[[#This Row],[Listing Price (USD)]]/10000</f>
        <v>21.7486</v>
      </c>
      <c r="I390">
        <f>Table_8[[#This Row],[Length 
(ft)]]</f>
        <v>39</v>
      </c>
      <c r="J390" s="37">
        <f>2020-Table_8[[#This Row],[Year]]</f>
        <v>9</v>
      </c>
      <c r="K390">
        <v>57472012426.685303</v>
      </c>
      <c r="L390">
        <v>14198.753959474399</v>
      </c>
      <c r="M390">
        <v>0.15481137456202801</v>
      </c>
      <c r="N390">
        <v>-8.5803430210621805</v>
      </c>
      <c r="O390" s="39">
        <v>34.450000000000003</v>
      </c>
      <c r="P390" s="39">
        <v>868.00199999999995</v>
      </c>
      <c r="Q390" s="39">
        <v>40</v>
      </c>
      <c r="R390" s="39">
        <v>12.53</v>
      </c>
    </row>
    <row r="391" spans="1:18" x14ac:dyDescent="0.25">
      <c r="A391" s="1" t="s">
        <v>427</v>
      </c>
      <c r="B391" s="2">
        <v>400</v>
      </c>
      <c r="C391" s="19">
        <v>39</v>
      </c>
      <c r="D391" s="3" t="s">
        <v>496</v>
      </c>
      <c r="E391" s="4" t="s">
        <v>31</v>
      </c>
      <c r="F391" s="23">
        <v>218639</v>
      </c>
      <c r="G391" s="35">
        <v>2012</v>
      </c>
      <c r="H391">
        <f>Table_8[[#This Row],[Listing Price (USD)]]/10000</f>
        <v>21.863900000000001</v>
      </c>
      <c r="I391">
        <f>Table_8[[#This Row],[Length 
(ft)]]</f>
        <v>39</v>
      </c>
      <c r="J391" s="37">
        <f>2020-Table_8[[#This Row],[Year]]</f>
        <v>8</v>
      </c>
      <c r="K391">
        <v>57472012426.685303</v>
      </c>
      <c r="L391">
        <v>14198.753959474399</v>
      </c>
      <c r="M391">
        <v>0.15481137456202801</v>
      </c>
      <c r="N391">
        <v>-8.5803430210621805</v>
      </c>
      <c r="O391" s="39">
        <v>34.450000000000003</v>
      </c>
      <c r="P391" s="39">
        <v>868.00199999999995</v>
      </c>
      <c r="Q391" s="39">
        <v>40</v>
      </c>
      <c r="R391" s="39">
        <v>12.53</v>
      </c>
    </row>
    <row r="392" spans="1:18" x14ac:dyDescent="0.25">
      <c r="A392" s="1" t="s">
        <v>427</v>
      </c>
      <c r="B392" s="3">
        <v>400</v>
      </c>
      <c r="C392" s="19">
        <v>39</v>
      </c>
      <c r="D392" s="3" t="s">
        <v>497</v>
      </c>
      <c r="E392" s="3" t="s">
        <v>483</v>
      </c>
      <c r="F392" s="23">
        <v>234000</v>
      </c>
      <c r="G392" s="35">
        <v>2012</v>
      </c>
      <c r="H392">
        <f>Table_8[[#This Row],[Listing Price (USD)]]/10000</f>
        <v>23.4</v>
      </c>
      <c r="I392">
        <f>Table_8[[#This Row],[Length 
(ft)]]</f>
        <v>39</v>
      </c>
      <c r="J392" s="37">
        <f>2020-Table_8[[#This Row],[Year]]</f>
        <v>8</v>
      </c>
      <c r="K392">
        <v>4200000000</v>
      </c>
      <c r="L392">
        <v>39553.199999999997</v>
      </c>
      <c r="M392">
        <v>2.5</v>
      </c>
      <c r="N392">
        <v>-2.1</v>
      </c>
      <c r="O392" s="39">
        <v>34.450000000000003</v>
      </c>
      <c r="P392" s="39">
        <v>868.00199999999995</v>
      </c>
      <c r="Q392" s="39">
        <v>40</v>
      </c>
      <c r="R392" s="39">
        <v>12.53</v>
      </c>
    </row>
    <row r="393" spans="1:18" x14ac:dyDescent="0.25">
      <c r="A393" s="1" t="s">
        <v>427</v>
      </c>
      <c r="B393" s="2">
        <v>400</v>
      </c>
      <c r="C393" s="19">
        <v>39</v>
      </c>
      <c r="D393" s="3" t="s">
        <v>496</v>
      </c>
      <c r="E393" s="4" t="s">
        <v>124</v>
      </c>
      <c r="F393" s="23">
        <v>236681</v>
      </c>
      <c r="G393" s="35">
        <v>2012</v>
      </c>
      <c r="H393">
        <f>Table_8[[#This Row],[Listing Price (USD)]]/10000</f>
        <v>23.668099999999999</v>
      </c>
      <c r="I393">
        <f>Table_8[[#This Row],[Length 
(ft)]]</f>
        <v>39</v>
      </c>
      <c r="J393" s="37">
        <f>2020-Table_8[[#This Row],[Year]]</f>
        <v>8</v>
      </c>
      <c r="K393">
        <v>547054174235.87598</v>
      </c>
      <c r="L393">
        <v>52837.903977814902</v>
      </c>
      <c r="M393">
        <v>0.497367318853562</v>
      </c>
      <c r="N393">
        <v>-2.1702131788587198</v>
      </c>
      <c r="O393" s="39">
        <v>34.450000000000003</v>
      </c>
      <c r="P393" s="39">
        <v>868.00199999999995</v>
      </c>
      <c r="Q393" s="39">
        <v>40</v>
      </c>
      <c r="R393" s="39">
        <v>12.53</v>
      </c>
    </row>
    <row r="394" spans="1:18" x14ac:dyDescent="0.25">
      <c r="A394" s="1" t="s">
        <v>427</v>
      </c>
      <c r="B394" s="2">
        <v>400</v>
      </c>
      <c r="C394" s="19">
        <v>39</v>
      </c>
      <c r="D394" s="3" t="s">
        <v>497</v>
      </c>
      <c r="E394" s="3" t="s">
        <v>483</v>
      </c>
      <c r="F394" s="23">
        <v>237000</v>
      </c>
      <c r="G394" s="35">
        <v>2012</v>
      </c>
      <c r="H394">
        <f>Table_8[[#This Row],[Listing Price (USD)]]/10000</f>
        <v>23.7</v>
      </c>
      <c r="I394">
        <f>Table_8[[#This Row],[Length 
(ft)]]</f>
        <v>39</v>
      </c>
      <c r="J394" s="37">
        <f>2020-Table_8[[#This Row],[Year]]</f>
        <v>8</v>
      </c>
      <c r="K394">
        <v>4200000000</v>
      </c>
      <c r="L394">
        <v>39553.199999999997</v>
      </c>
      <c r="M394">
        <v>2.5</v>
      </c>
      <c r="N394">
        <v>-2.1</v>
      </c>
      <c r="O394" s="39">
        <v>34.450000000000003</v>
      </c>
      <c r="P394" s="39">
        <v>868.00199999999995</v>
      </c>
      <c r="Q394" s="39">
        <v>40</v>
      </c>
      <c r="R394" s="39">
        <v>12.53</v>
      </c>
    </row>
    <row r="395" spans="1:18" x14ac:dyDescent="0.25">
      <c r="A395" s="1" t="s">
        <v>427</v>
      </c>
      <c r="B395" s="2">
        <v>400</v>
      </c>
      <c r="C395" s="19">
        <v>39</v>
      </c>
      <c r="D395" s="3" t="s">
        <v>497</v>
      </c>
      <c r="E395" s="3" t="s">
        <v>370</v>
      </c>
      <c r="F395" s="23">
        <v>240000</v>
      </c>
      <c r="G395" s="35">
        <v>2013</v>
      </c>
      <c r="H395">
        <f>Table_8[[#This Row],[Listing Price (USD)]]/10000</f>
        <v>24</v>
      </c>
      <c r="I395">
        <f>Table_8[[#This Row],[Length 
(ft)]]</f>
        <v>39</v>
      </c>
      <c r="J395" s="37">
        <f>2020-Table_8[[#This Row],[Year]]</f>
        <v>7</v>
      </c>
      <c r="K395">
        <v>500000000</v>
      </c>
      <c r="L395">
        <v>34200</v>
      </c>
      <c r="M395">
        <v>1.1000000000000001</v>
      </c>
      <c r="N395">
        <v>2</v>
      </c>
      <c r="O395" s="39">
        <v>34.450000000000003</v>
      </c>
      <c r="P395" s="39">
        <v>868.00199999999995</v>
      </c>
      <c r="Q395" s="39">
        <v>40</v>
      </c>
      <c r="R395" s="39">
        <v>12.53</v>
      </c>
    </row>
    <row r="396" spans="1:18" x14ac:dyDescent="0.25">
      <c r="A396" s="1" t="s">
        <v>427</v>
      </c>
      <c r="B396" s="2">
        <v>400</v>
      </c>
      <c r="C396" s="19">
        <v>39</v>
      </c>
      <c r="D396" s="3" t="s">
        <v>497</v>
      </c>
      <c r="E396" s="3" t="s">
        <v>483</v>
      </c>
      <c r="F396" s="23">
        <v>241298</v>
      </c>
      <c r="G396" s="35">
        <v>2012</v>
      </c>
      <c r="H396">
        <f>Table_8[[#This Row],[Listing Price (USD)]]/10000</f>
        <v>24.129799999999999</v>
      </c>
      <c r="I396">
        <f>Table_8[[#This Row],[Length 
(ft)]]</f>
        <v>39</v>
      </c>
      <c r="J396" s="37">
        <f>2020-Table_8[[#This Row],[Year]]</f>
        <v>8</v>
      </c>
      <c r="K396">
        <v>4200000000</v>
      </c>
      <c r="L396">
        <v>39553.199999999997</v>
      </c>
      <c r="M396">
        <v>2.5</v>
      </c>
      <c r="N396">
        <v>-2.1</v>
      </c>
      <c r="O396" s="39">
        <v>34.450000000000003</v>
      </c>
      <c r="P396" s="39">
        <v>868.00199999999995</v>
      </c>
      <c r="Q396" s="39">
        <v>40</v>
      </c>
      <c r="R396" s="39">
        <v>12.53</v>
      </c>
    </row>
    <row r="397" spans="1:18" x14ac:dyDescent="0.25">
      <c r="A397" s="1" t="s">
        <v>427</v>
      </c>
      <c r="B397" s="2" t="s">
        <v>431</v>
      </c>
      <c r="C397" s="19">
        <v>39</v>
      </c>
      <c r="D397" s="3" t="s">
        <v>496</v>
      </c>
      <c r="E397" s="4" t="s">
        <v>31</v>
      </c>
      <c r="F397" s="23">
        <v>241536</v>
      </c>
      <c r="G397" s="35">
        <v>2012</v>
      </c>
      <c r="H397">
        <f>Table_8[[#This Row],[Listing Price (USD)]]/10000</f>
        <v>24.153600000000001</v>
      </c>
      <c r="I397">
        <f>Table_8[[#This Row],[Length 
(ft)]]</f>
        <v>39</v>
      </c>
      <c r="J397" s="37">
        <f>2020-Table_8[[#This Row],[Year]]</f>
        <v>8</v>
      </c>
      <c r="K397">
        <v>57472012426.685303</v>
      </c>
      <c r="L397">
        <v>14198.753959474399</v>
      </c>
      <c r="M397">
        <v>0.15481137456202801</v>
      </c>
      <c r="N397">
        <v>-8.5803430210621805</v>
      </c>
      <c r="O397" s="39">
        <v>34.450000000000003</v>
      </c>
      <c r="P397" s="39">
        <v>868.00199999999995</v>
      </c>
      <c r="Q397" s="39">
        <v>40</v>
      </c>
      <c r="R397" s="39">
        <v>12.53</v>
      </c>
    </row>
    <row r="398" spans="1:18" x14ac:dyDescent="0.25">
      <c r="A398" s="1" t="s">
        <v>427</v>
      </c>
      <c r="B398" s="2" t="s">
        <v>431</v>
      </c>
      <c r="C398" s="19">
        <v>39</v>
      </c>
      <c r="D398" s="3" t="s">
        <v>496</v>
      </c>
      <c r="E398" s="4" t="s">
        <v>31</v>
      </c>
      <c r="F398" s="23">
        <v>241536</v>
      </c>
      <c r="G398" s="35">
        <v>2012</v>
      </c>
      <c r="H398">
        <f>Table_8[[#This Row],[Listing Price (USD)]]/10000</f>
        <v>24.153600000000001</v>
      </c>
      <c r="I398">
        <f>Table_8[[#This Row],[Length 
(ft)]]</f>
        <v>39</v>
      </c>
      <c r="J398" s="37">
        <f>2020-Table_8[[#This Row],[Year]]</f>
        <v>8</v>
      </c>
      <c r="K398">
        <v>57472012426.685303</v>
      </c>
      <c r="L398">
        <v>14198.753959474399</v>
      </c>
      <c r="M398">
        <v>0.15481137456202801</v>
      </c>
      <c r="N398">
        <v>-8.5803430210621805</v>
      </c>
      <c r="O398" s="39">
        <v>34.450000000000003</v>
      </c>
      <c r="P398" s="39">
        <v>868.00199999999995</v>
      </c>
      <c r="Q398" s="39">
        <v>40</v>
      </c>
      <c r="R398" s="39">
        <v>12.53</v>
      </c>
    </row>
    <row r="399" spans="1:18" x14ac:dyDescent="0.25">
      <c r="A399" s="1" t="s">
        <v>427</v>
      </c>
      <c r="B399" s="2">
        <v>400</v>
      </c>
      <c r="C399" s="19">
        <v>39</v>
      </c>
      <c r="D399" s="3" t="s">
        <v>496</v>
      </c>
      <c r="E399" s="4" t="s">
        <v>31</v>
      </c>
      <c r="F399" s="23">
        <v>241786</v>
      </c>
      <c r="G399" s="35">
        <v>2012</v>
      </c>
      <c r="H399">
        <f>Table_8[[#This Row],[Listing Price (USD)]]/10000</f>
        <v>24.178599999999999</v>
      </c>
      <c r="I399">
        <f>Table_8[[#This Row],[Length 
(ft)]]</f>
        <v>39</v>
      </c>
      <c r="J399" s="37">
        <f>2020-Table_8[[#This Row],[Year]]</f>
        <v>8</v>
      </c>
      <c r="K399">
        <v>57472012426.685303</v>
      </c>
      <c r="L399">
        <v>14198.753959474399</v>
      </c>
      <c r="M399">
        <v>0.15481137456202801</v>
      </c>
      <c r="N399">
        <v>-8.5803430210621805</v>
      </c>
      <c r="O399" s="39">
        <v>34.450000000000003</v>
      </c>
      <c r="P399" s="39">
        <v>868.00199999999995</v>
      </c>
      <c r="Q399" s="39">
        <v>40</v>
      </c>
      <c r="R399" s="39">
        <v>12.53</v>
      </c>
    </row>
    <row r="400" spans="1:18" x14ac:dyDescent="0.25">
      <c r="A400" s="1" t="s">
        <v>427</v>
      </c>
      <c r="B400" s="2">
        <v>400</v>
      </c>
      <c r="C400" s="19">
        <v>39</v>
      </c>
      <c r="D400" s="3" t="s">
        <v>496</v>
      </c>
      <c r="E400" s="4" t="s">
        <v>31</v>
      </c>
      <c r="F400" s="23">
        <v>242507</v>
      </c>
      <c r="G400" s="35">
        <v>2013</v>
      </c>
      <c r="H400">
        <f>Table_8[[#This Row],[Listing Price (USD)]]/10000</f>
        <v>24.250699999999998</v>
      </c>
      <c r="I400">
        <f>Table_8[[#This Row],[Length 
(ft)]]</f>
        <v>39</v>
      </c>
      <c r="J400" s="37">
        <f>2020-Table_8[[#This Row],[Year]]</f>
        <v>7</v>
      </c>
      <c r="K400">
        <v>57472012426.685303</v>
      </c>
      <c r="L400">
        <v>14198.753959474399</v>
      </c>
      <c r="M400">
        <v>0.15481137456202801</v>
      </c>
      <c r="N400">
        <v>-8.5803430210621805</v>
      </c>
      <c r="O400" s="39">
        <v>34.450000000000003</v>
      </c>
      <c r="P400" s="39">
        <v>868.00199999999995</v>
      </c>
      <c r="Q400" s="39">
        <v>40</v>
      </c>
      <c r="R400" s="39">
        <v>12.53</v>
      </c>
    </row>
    <row r="401" spans="1:18" x14ac:dyDescent="0.25">
      <c r="A401" s="1" t="s">
        <v>427</v>
      </c>
      <c r="B401" s="2" t="s">
        <v>431</v>
      </c>
      <c r="C401" s="19">
        <v>39</v>
      </c>
      <c r="D401" s="3" t="s">
        <v>496</v>
      </c>
      <c r="E401" s="4" t="s">
        <v>31</v>
      </c>
      <c r="F401" s="23">
        <v>264597</v>
      </c>
      <c r="G401" s="35">
        <v>2011</v>
      </c>
      <c r="H401">
        <f>Table_8[[#This Row],[Listing Price (USD)]]/10000</f>
        <v>26.459700000000002</v>
      </c>
      <c r="I401">
        <f>Table_8[[#This Row],[Length 
(ft)]]</f>
        <v>39</v>
      </c>
      <c r="J401" s="37">
        <f>2020-Table_8[[#This Row],[Year]]</f>
        <v>9</v>
      </c>
      <c r="K401">
        <v>57472012426.685303</v>
      </c>
      <c r="L401">
        <v>14198.753959474399</v>
      </c>
      <c r="M401">
        <v>0.15481137456202801</v>
      </c>
      <c r="N401">
        <v>-8.5803430210621805</v>
      </c>
      <c r="O401" s="39">
        <v>34.450000000000003</v>
      </c>
      <c r="P401" s="39">
        <v>868.00199999999995</v>
      </c>
      <c r="Q401" s="39">
        <v>40</v>
      </c>
      <c r="R401" s="39">
        <v>12.53</v>
      </c>
    </row>
    <row r="402" spans="1:18" x14ac:dyDescent="0.25">
      <c r="A402" s="1" t="s">
        <v>427</v>
      </c>
      <c r="B402" s="2">
        <v>400</v>
      </c>
      <c r="C402" s="19">
        <v>39</v>
      </c>
      <c r="D402" s="3" t="s">
        <v>496</v>
      </c>
      <c r="E402" s="4" t="s">
        <v>31</v>
      </c>
      <c r="F402" s="23">
        <v>264804</v>
      </c>
      <c r="G402" s="35">
        <v>2011</v>
      </c>
      <c r="H402">
        <f>Table_8[[#This Row],[Listing Price (USD)]]/10000</f>
        <v>26.480399999999999</v>
      </c>
      <c r="I402">
        <f>Table_8[[#This Row],[Length 
(ft)]]</f>
        <v>39</v>
      </c>
      <c r="J402" s="37">
        <f>2020-Table_8[[#This Row],[Year]]</f>
        <v>9</v>
      </c>
      <c r="K402">
        <v>57472012426.685303</v>
      </c>
      <c r="L402">
        <v>14198.753959474399</v>
      </c>
      <c r="M402">
        <v>0.15481137456202801</v>
      </c>
      <c r="N402">
        <v>-8.5803430210621805</v>
      </c>
      <c r="O402" s="39">
        <v>34.450000000000003</v>
      </c>
      <c r="P402" s="39">
        <v>868.00199999999995</v>
      </c>
      <c r="Q402" s="39">
        <v>40</v>
      </c>
      <c r="R402" s="39">
        <v>12.53</v>
      </c>
    </row>
    <row r="403" spans="1:18" x14ac:dyDescent="0.25">
      <c r="A403" s="1" t="s">
        <v>427</v>
      </c>
      <c r="B403" s="2" t="s">
        <v>431</v>
      </c>
      <c r="C403" s="19">
        <v>39</v>
      </c>
      <c r="D403" s="3" t="s">
        <v>496</v>
      </c>
      <c r="E403" s="4" t="s">
        <v>18</v>
      </c>
      <c r="F403" s="23">
        <v>267025</v>
      </c>
      <c r="G403" s="35">
        <v>2010</v>
      </c>
      <c r="H403">
        <f>Table_8[[#This Row],[Listing Price (USD)]]/10000</f>
        <v>26.702500000000001</v>
      </c>
      <c r="I403">
        <f>Table_8[[#This Row],[Length 
(ft)]]</f>
        <v>39</v>
      </c>
      <c r="J403" s="37">
        <f>2020-Table_8[[#This Row],[Year]]</f>
        <v>10</v>
      </c>
      <c r="K403">
        <v>188925995936.80701</v>
      </c>
      <c r="L403">
        <v>17658.947301119199</v>
      </c>
      <c r="M403">
        <v>-1.2479835558140799</v>
      </c>
      <c r="N403">
        <v>-9.0040436420214593</v>
      </c>
      <c r="O403" s="39">
        <v>34.450000000000003</v>
      </c>
      <c r="P403" s="39">
        <v>868.00199999999995</v>
      </c>
      <c r="Q403" s="39">
        <v>40</v>
      </c>
      <c r="R403" s="39">
        <v>12.53</v>
      </c>
    </row>
    <row r="404" spans="1:18" x14ac:dyDescent="0.25">
      <c r="A404" s="1" t="s">
        <v>427</v>
      </c>
      <c r="B404" s="2" t="s">
        <v>431</v>
      </c>
      <c r="C404" s="19">
        <v>39</v>
      </c>
      <c r="D404" s="3" t="s">
        <v>496</v>
      </c>
      <c r="E404" s="4" t="s">
        <v>31</v>
      </c>
      <c r="F404" s="23">
        <v>267025</v>
      </c>
      <c r="G404" s="35">
        <v>2013</v>
      </c>
      <c r="H404">
        <f>Table_8[[#This Row],[Listing Price (USD)]]/10000</f>
        <v>26.702500000000001</v>
      </c>
      <c r="I404">
        <f>Table_8[[#This Row],[Length 
(ft)]]</f>
        <v>39</v>
      </c>
      <c r="J404" s="37">
        <f>2020-Table_8[[#This Row],[Year]]</f>
        <v>7</v>
      </c>
      <c r="K404">
        <v>57472012426.685303</v>
      </c>
      <c r="L404">
        <v>14198.753959474399</v>
      </c>
      <c r="M404">
        <v>0.15481137456202801</v>
      </c>
      <c r="N404">
        <v>-8.5803430210621805</v>
      </c>
      <c r="O404" s="39">
        <v>34.450000000000003</v>
      </c>
      <c r="P404" s="39">
        <v>868.00199999999995</v>
      </c>
      <c r="Q404" s="39">
        <v>40</v>
      </c>
      <c r="R404" s="39">
        <v>12.53</v>
      </c>
    </row>
    <row r="405" spans="1:18" x14ac:dyDescent="0.25">
      <c r="A405" s="1" t="s">
        <v>427</v>
      </c>
      <c r="B405" s="2" t="s">
        <v>431</v>
      </c>
      <c r="C405" s="19">
        <v>39</v>
      </c>
      <c r="D405" s="3" t="s">
        <v>496</v>
      </c>
      <c r="E405" s="4" t="s">
        <v>31</v>
      </c>
      <c r="F405" s="23">
        <v>267025</v>
      </c>
      <c r="G405" s="35">
        <v>2013</v>
      </c>
      <c r="H405">
        <f>Table_8[[#This Row],[Listing Price (USD)]]/10000</f>
        <v>26.702500000000001</v>
      </c>
      <c r="I405">
        <f>Table_8[[#This Row],[Length 
(ft)]]</f>
        <v>39</v>
      </c>
      <c r="J405" s="37">
        <f>2020-Table_8[[#This Row],[Year]]</f>
        <v>7</v>
      </c>
      <c r="K405">
        <v>57472012426.685303</v>
      </c>
      <c r="L405">
        <v>14198.753959474399</v>
      </c>
      <c r="M405">
        <v>0.15481137456202801</v>
      </c>
      <c r="N405">
        <v>-8.5803430210621805</v>
      </c>
      <c r="O405" s="39">
        <v>34.450000000000003</v>
      </c>
      <c r="P405" s="39">
        <v>868.00199999999995</v>
      </c>
      <c r="Q405" s="39">
        <v>40</v>
      </c>
      <c r="R405" s="39">
        <v>12.53</v>
      </c>
    </row>
    <row r="406" spans="1:18" x14ac:dyDescent="0.25">
      <c r="A406" s="1" t="s">
        <v>427</v>
      </c>
      <c r="B406" s="2">
        <v>400</v>
      </c>
      <c r="C406" s="19">
        <v>39</v>
      </c>
      <c r="D406" s="3" t="s">
        <v>496</v>
      </c>
      <c r="E406" s="4" t="s">
        <v>18</v>
      </c>
      <c r="F406" s="23">
        <v>267233</v>
      </c>
      <c r="G406" s="35">
        <v>2010</v>
      </c>
      <c r="H406">
        <f>Table_8[[#This Row],[Listing Price (USD)]]/10000</f>
        <v>26.723299999999998</v>
      </c>
      <c r="I406">
        <f>Table_8[[#This Row],[Length 
(ft)]]</f>
        <v>39</v>
      </c>
      <c r="J406" s="37">
        <f>2020-Table_8[[#This Row],[Year]]</f>
        <v>10</v>
      </c>
      <c r="K406">
        <v>188925995936.80701</v>
      </c>
      <c r="L406">
        <v>17658.947301119199</v>
      </c>
      <c r="M406">
        <v>-1.2479835558140799</v>
      </c>
      <c r="N406">
        <v>-9.0040436420214593</v>
      </c>
      <c r="O406" s="39">
        <v>34.450000000000003</v>
      </c>
      <c r="P406" s="39">
        <v>868.00199999999995</v>
      </c>
      <c r="Q406" s="39">
        <v>40</v>
      </c>
      <c r="R406" s="39">
        <v>12.53</v>
      </c>
    </row>
    <row r="407" spans="1:18" x14ac:dyDescent="0.25">
      <c r="A407" s="1" t="s">
        <v>427</v>
      </c>
      <c r="B407" s="2">
        <v>400</v>
      </c>
      <c r="C407" s="19">
        <v>39</v>
      </c>
      <c r="D407" s="3" t="s">
        <v>497</v>
      </c>
      <c r="E407" s="3" t="s">
        <v>377</v>
      </c>
      <c r="F407" s="23">
        <v>269000</v>
      </c>
      <c r="G407" s="35">
        <v>2014</v>
      </c>
      <c r="H407">
        <f>Table_8[[#This Row],[Listing Price (USD)]]/10000</f>
        <v>26.9</v>
      </c>
      <c r="I407">
        <f>Table_8[[#This Row],[Length 
(ft)]]</f>
        <v>39</v>
      </c>
      <c r="J407" s="37">
        <f>2020-Table_8[[#This Row],[Year]]</f>
        <v>6</v>
      </c>
      <c r="K407">
        <v>681973374534.10596</v>
      </c>
      <c r="L407">
        <v>27575.495000325591</v>
      </c>
      <c r="M407">
        <v>0.8848420113691905</v>
      </c>
      <c r="N407">
        <v>-6.3525291034127971</v>
      </c>
      <c r="O407" s="39">
        <v>34.450000000000003</v>
      </c>
      <c r="P407" s="39">
        <v>868.00199999999995</v>
      </c>
      <c r="Q407" s="39">
        <v>40</v>
      </c>
      <c r="R407" s="39">
        <v>12.53</v>
      </c>
    </row>
    <row r="408" spans="1:18" x14ac:dyDescent="0.25">
      <c r="A408" s="1" t="s">
        <v>441</v>
      </c>
      <c r="B408" s="3">
        <v>400</v>
      </c>
      <c r="C408" s="19">
        <v>39</v>
      </c>
      <c r="D408" s="3" t="s">
        <v>497</v>
      </c>
      <c r="E408" s="3" t="s">
        <v>517</v>
      </c>
      <c r="F408" s="23">
        <v>275000</v>
      </c>
      <c r="G408" s="35">
        <v>2010</v>
      </c>
      <c r="H408">
        <f>Table_8[[#This Row],[Listing Price (USD)]]/10000</f>
        <v>27.5</v>
      </c>
      <c r="I408">
        <f>Table_8[[#This Row],[Length 
(ft)]]</f>
        <v>39</v>
      </c>
      <c r="J408" s="37">
        <f>2020-Table_8[[#This Row],[Year]]</f>
        <v>10</v>
      </c>
      <c r="K408">
        <v>681973374534.10596</v>
      </c>
      <c r="L408">
        <v>27575.495000325591</v>
      </c>
      <c r="M408">
        <v>0.8848420113691905</v>
      </c>
      <c r="N408">
        <v>-6.3525291034127971</v>
      </c>
      <c r="O408" s="39">
        <v>34.450000000000003</v>
      </c>
      <c r="P408" s="39">
        <v>868.00199999999995</v>
      </c>
      <c r="Q408" s="39">
        <v>40</v>
      </c>
      <c r="R408" s="39">
        <v>12.53</v>
      </c>
    </row>
    <row r="409" spans="1:18" x14ac:dyDescent="0.25">
      <c r="A409" s="1" t="s">
        <v>427</v>
      </c>
      <c r="B409" s="2">
        <v>400</v>
      </c>
      <c r="C409" s="19">
        <v>39</v>
      </c>
      <c r="D409" s="3" t="s">
        <v>497</v>
      </c>
      <c r="E409" s="3" t="s">
        <v>377</v>
      </c>
      <c r="F409" s="23">
        <v>278887</v>
      </c>
      <c r="G409" s="35">
        <v>2013</v>
      </c>
      <c r="H409">
        <f>Table_8[[#This Row],[Listing Price (USD)]]/10000</f>
        <v>27.8887</v>
      </c>
      <c r="I409">
        <f>Table_8[[#This Row],[Length 
(ft)]]</f>
        <v>39</v>
      </c>
      <c r="J409" s="37">
        <f>2020-Table_8[[#This Row],[Year]]</f>
        <v>7</v>
      </c>
      <c r="K409">
        <v>681973374534.10596</v>
      </c>
      <c r="L409">
        <v>27575.495000325591</v>
      </c>
      <c r="M409">
        <v>0.8848420113691905</v>
      </c>
      <c r="N409">
        <v>-6.3525291034127971</v>
      </c>
      <c r="O409" s="39">
        <v>34.450000000000003</v>
      </c>
      <c r="P409" s="39">
        <v>868.00199999999995</v>
      </c>
      <c r="Q409" s="39">
        <v>40</v>
      </c>
      <c r="R409" s="39">
        <v>12.53</v>
      </c>
    </row>
    <row r="410" spans="1:18" x14ac:dyDescent="0.25">
      <c r="A410" s="1" t="s">
        <v>427</v>
      </c>
      <c r="B410" s="2" t="s">
        <v>431</v>
      </c>
      <c r="C410" s="19">
        <v>39</v>
      </c>
      <c r="D410" s="3" t="s">
        <v>496</v>
      </c>
      <c r="E410" s="4" t="s">
        <v>63</v>
      </c>
      <c r="F410" s="23">
        <v>279162</v>
      </c>
      <c r="G410" s="35">
        <v>2010</v>
      </c>
      <c r="H410">
        <f>Table_8[[#This Row],[Listing Price (USD)]]/10000</f>
        <v>27.9162</v>
      </c>
      <c r="I410">
        <f>Table_8[[#This Row],[Length 
(ft)]]</f>
        <v>39</v>
      </c>
      <c r="J410" s="37">
        <f>2020-Table_8[[#This Row],[Year]]</f>
        <v>10</v>
      </c>
      <c r="K410">
        <v>720290000000</v>
      </c>
      <c r="L410">
        <v>13341.6</v>
      </c>
      <c r="M410">
        <v>13</v>
      </c>
      <c r="N410">
        <v>-3</v>
      </c>
      <c r="O410" s="39">
        <v>34.450000000000003</v>
      </c>
      <c r="P410" s="39">
        <v>868.00199999999995</v>
      </c>
      <c r="Q410" s="39">
        <v>40</v>
      </c>
      <c r="R410" s="39">
        <v>12.53</v>
      </c>
    </row>
    <row r="411" spans="1:18" x14ac:dyDescent="0.25">
      <c r="A411" s="1" t="s">
        <v>427</v>
      </c>
      <c r="B411" s="2" t="s">
        <v>431</v>
      </c>
      <c r="C411" s="19">
        <v>39</v>
      </c>
      <c r="D411" s="3" t="s">
        <v>496</v>
      </c>
      <c r="E411" s="4" t="s">
        <v>18</v>
      </c>
      <c r="F411" s="23">
        <v>279162</v>
      </c>
      <c r="G411" s="35">
        <v>2012</v>
      </c>
      <c r="H411">
        <f>Table_8[[#This Row],[Listing Price (USD)]]/10000</f>
        <v>27.9162</v>
      </c>
      <c r="I411">
        <f>Table_8[[#This Row],[Length 
(ft)]]</f>
        <v>39</v>
      </c>
      <c r="J411" s="37">
        <f>2020-Table_8[[#This Row],[Year]]</f>
        <v>8</v>
      </c>
      <c r="K411">
        <v>188925995936.80701</v>
      </c>
      <c r="L411">
        <v>17658.947301119199</v>
      </c>
      <c r="M411">
        <v>-1.2479835558140799</v>
      </c>
      <c r="N411">
        <v>-9.0040436420214593</v>
      </c>
      <c r="O411" s="39">
        <v>34.450000000000003</v>
      </c>
      <c r="P411" s="39">
        <v>868.00199999999995</v>
      </c>
      <c r="Q411" s="39">
        <v>40</v>
      </c>
      <c r="R411" s="39">
        <v>12.53</v>
      </c>
    </row>
    <row r="412" spans="1:18" x14ac:dyDescent="0.25">
      <c r="A412" s="1" t="s">
        <v>427</v>
      </c>
      <c r="B412" s="2">
        <v>400</v>
      </c>
      <c r="C412" s="19">
        <v>39</v>
      </c>
      <c r="D412" s="3" t="s">
        <v>496</v>
      </c>
      <c r="E412" s="4" t="s">
        <v>63</v>
      </c>
      <c r="F412" s="23">
        <v>279380</v>
      </c>
      <c r="G412" s="35">
        <v>2010</v>
      </c>
      <c r="H412">
        <f>Table_8[[#This Row],[Listing Price (USD)]]/10000</f>
        <v>27.937999999999999</v>
      </c>
      <c r="I412">
        <f>Table_8[[#This Row],[Length 
(ft)]]</f>
        <v>39</v>
      </c>
      <c r="J412" s="37">
        <f>2020-Table_8[[#This Row],[Year]]</f>
        <v>10</v>
      </c>
      <c r="K412">
        <v>720290000000</v>
      </c>
      <c r="L412">
        <v>13341.6</v>
      </c>
      <c r="M412">
        <v>13</v>
      </c>
      <c r="N412">
        <v>-3</v>
      </c>
      <c r="O412" s="39">
        <v>34.450000000000003</v>
      </c>
      <c r="P412" s="39">
        <v>868.00199999999995</v>
      </c>
      <c r="Q412" s="39">
        <v>40</v>
      </c>
      <c r="R412" s="39">
        <v>12.53</v>
      </c>
    </row>
    <row r="413" spans="1:18" x14ac:dyDescent="0.25">
      <c r="A413" s="1" t="s">
        <v>427</v>
      </c>
      <c r="B413" s="2" t="s">
        <v>431</v>
      </c>
      <c r="C413" s="19">
        <v>39</v>
      </c>
      <c r="D413" s="3" t="s">
        <v>496</v>
      </c>
      <c r="E413" s="4" t="s">
        <v>18</v>
      </c>
      <c r="F413" s="23">
        <v>291300</v>
      </c>
      <c r="G413" s="35">
        <v>2012</v>
      </c>
      <c r="H413">
        <f>Table_8[[#This Row],[Listing Price (USD)]]/10000</f>
        <v>29.13</v>
      </c>
      <c r="I413">
        <f>Table_8[[#This Row],[Length 
(ft)]]</f>
        <v>39</v>
      </c>
      <c r="J413" s="37">
        <f>2020-Table_8[[#This Row],[Year]]</f>
        <v>8</v>
      </c>
      <c r="K413">
        <v>188925995936.80701</v>
      </c>
      <c r="L413">
        <v>17658.947301119199</v>
      </c>
      <c r="M413">
        <v>-1.2479835558140799</v>
      </c>
      <c r="N413">
        <v>-9.0040436420214593</v>
      </c>
      <c r="O413" s="39">
        <v>34.450000000000003</v>
      </c>
      <c r="P413" s="39">
        <v>868.00199999999995</v>
      </c>
      <c r="Q413" s="39">
        <v>40</v>
      </c>
      <c r="R413" s="39">
        <v>12.53</v>
      </c>
    </row>
    <row r="414" spans="1:18" x14ac:dyDescent="0.25">
      <c r="A414" s="1" t="s">
        <v>427</v>
      </c>
      <c r="B414" s="2" t="s">
        <v>431</v>
      </c>
      <c r="C414" s="19">
        <v>39</v>
      </c>
      <c r="D414" s="3" t="s">
        <v>496</v>
      </c>
      <c r="E414" s="4" t="s">
        <v>24</v>
      </c>
      <c r="F414" s="23">
        <v>303437</v>
      </c>
      <c r="G414" s="35">
        <v>2015</v>
      </c>
      <c r="H414">
        <f>Table_8[[#This Row],[Listing Price (USD)]]/10000</f>
        <v>30.343699999999998</v>
      </c>
      <c r="I414">
        <f>Table_8[[#This Row],[Length 
(ft)]]</f>
        <v>39</v>
      </c>
      <c r="J414" s="37">
        <f>2020-Table_8[[#This Row],[Year]]</f>
        <v>5</v>
      </c>
      <c r="K414">
        <v>1896755301518.1399</v>
      </c>
      <c r="L414">
        <v>31911.0357890017</v>
      </c>
      <c r="M414">
        <v>-0.13770757391656999</v>
      </c>
      <c r="N414">
        <v>-9.0399534112288507</v>
      </c>
      <c r="O414" s="39">
        <v>34.450000000000003</v>
      </c>
      <c r="P414" s="39">
        <v>868.00199999999995</v>
      </c>
      <c r="Q414" s="39">
        <v>40</v>
      </c>
      <c r="R414" s="39">
        <v>12.53</v>
      </c>
    </row>
    <row r="415" spans="1:18" x14ac:dyDescent="0.25">
      <c r="A415" s="1" t="s">
        <v>427</v>
      </c>
      <c r="B415" s="2" t="s">
        <v>431</v>
      </c>
      <c r="C415" s="19">
        <v>39</v>
      </c>
      <c r="D415" s="3" t="s">
        <v>496</v>
      </c>
      <c r="E415" s="4" t="s">
        <v>24</v>
      </c>
      <c r="F415" s="23">
        <v>303437</v>
      </c>
      <c r="G415" s="35">
        <v>2015</v>
      </c>
      <c r="H415">
        <f>Table_8[[#This Row],[Listing Price (USD)]]/10000</f>
        <v>30.343699999999998</v>
      </c>
      <c r="I415">
        <f>Table_8[[#This Row],[Length 
(ft)]]</f>
        <v>39</v>
      </c>
      <c r="J415" s="37">
        <f>2020-Table_8[[#This Row],[Year]]</f>
        <v>5</v>
      </c>
      <c r="K415">
        <v>1896755301518.1399</v>
      </c>
      <c r="L415">
        <v>31911.0357890017</v>
      </c>
      <c r="M415">
        <v>-0.13770757391656999</v>
      </c>
      <c r="N415">
        <v>-9.0399534112288507</v>
      </c>
      <c r="O415" s="39">
        <v>34.450000000000003</v>
      </c>
      <c r="P415" s="39">
        <v>868.00199999999995</v>
      </c>
      <c r="Q415" s="39">
        <v>40</v>
      </c>
      <c r="R415" s="39">
        <v>12.53</v>
      </c>
    </row>
    <row r="416" spans="1:18" x14ac:dyDescent="0.25">
      <c r="A416" s="1" t="s">
        <v>427</v>
      </c>
      <c r="B416" s="2">
        <v>400</v>
      </c>
      <c r="C416" s="19">
        <v>39</v>
      </c>
      <c r="D416" s="3" t="s">
        <v>496</v>
      </c>
      <c r="E416" s="4" t="s">
        <v>24</v>
      </c>
      <c r="F416" s="23">
        <v>303674</v>
      </c>
      <c r="G416" s="35">
        <v>2015</v>
      </c>
      <c r="H416">
        <f>Table_8[[#This Row],[Listing Price (USD)]]/10000</f>
        <v>30.3674</v>
      </c>
      <c r="I416">
        <f>Table_8[[#This Row],[Length 
(ft)]]</f>
        <v>39</v>
      </c>
      <c r="J416" s="37">
        <f>2020-Table_8[[#This Row],[Year]]</f>
        <v>5</v>
      </c>
      <c r="K416">
        <v>1896755301518.1399</v>
      </c>
      <c r="L416">
        <v>31911.0357890017</v>
      </c>
      <c r="M416">
        <v>-0.13770757391656999</v>
      </c>
      <c r="N416">
        <v>-9.0399534112288507</v>
      </c>
      <c r="O416" s="39">
        <v>34.450000000000003</v>
      </c>
      <c r="P416" s="39">
        <v>868.00199999999995</v>
      </c>
      <c r="Q416" s="39">
        <v>40</v>
      </c>
      <c r="R416" s="39">
        <v>12.53</v>
      </c>
    </row>
    <row r="417" spans="1:18" x14ac:dyDescent="0.25">
      <c r="A417" s="1" t="s">
        <v>427</v>
      </c>
      <c r="B417" s="2">
        <v>400</v>
      </c>
      <c r="C417" s="19">
        <v>39</v>
      </c>
      <c r="D417" s="3" t="s">
        <v>496</v>
      </c>
      <c r="E417" s="4" t="s">
        <v>24</v>
      </c>
      <c r="F417" s="23">
        <v>303674</v>
      </c>
      <c r="G417" s="35">
        <v>2015</v>
      </c>
      <c r="H417">
        <f>Table_8[[#This Row],[Listing Price (USD)]]/10000</f>
        <v>30.3674</v>
      </c>
      <c r="I417">
        <f>Table_8[[#This Row],[Length 
(ft)]]</f>
        <v>39</v>
      </c>
      <c r="J417" s="37">
        <f>2020-Table_8[[#This Row],[Year]]</f>
        <v>5</v>
      </c>
      <c r="K417">
        <v>1896755301518.1399</v>
      </c>
      <c r="L417">
        <v>31911.0357890017</v>
      </c>
      <c r="M417">
        <v>-0.13770757391656999</v>
      </c>
      <c r="N417">
        <v>-9.0399534112288507</v>
      </c>
      <c r="O417" s="39">
        <v>34.450000000000003</v>
      </c>
      <c r="P417" s="39">
        <v>868.00199999999995</v>
      </c>
      <c r="Q417" s="39">
        <v>40</v>
      </c>
      <c r="R417" s="39">
        <v>12.53</v>
      </c>
    </row>
    <row r="418" spans="1:18" x14ac:dyDescent="0.25">
      <c r="A418" s="1" t="s">
        <v>427</v>
      </c>
      <c r="B418" s="2" t="s">
        <v>431</v>
      </c>
      <c r="C418" s="19">
        <v>39</v>
      </c>
      <c r="D418" s="3" t="s">
        <v>496</v>
      </c>
      <c r="E418" s="4" t="s">
        <v>18</v>
      </c>
      <c r="F418" s="23">
        <v>309506</v>
      </c>
      <c r="G418" s="35">
        <v>2014</v>
      </c>
      <c r="H418">
        <f>Table_8[[#This Row],[Listing Price (USD)]]/10000</f>
        <v>30.950600000000001</v>
      </c>
      <c r="I418">
        <f>Table_8[[#This Row],[Length 
(ft)]]</f>
        <v>39</v>
      </c>
      <c r="J418" s="37">
        <f>2020-Table_8[[#This Row],[Year]]</f>
        <v>6</v>
      </c>
      <c r="K418">
        <v>188925995936.80701</v>
      </c>
      <c r="L418">
        <v>17658.947301119199</v>
      </c>
      <c r="M418">
        <v>-1.2479835558140799</v>
      </c>
      <c r="N418">
        <v>-9.0040436420214593</v>
      </c>
      <c r="O418" s="39">
        <v>34.450000000000003</v>
      </c>
      <c r="P418" s="39">
        <v>868.00199999999995</v>
      </c>
      <c r="Q418" s="39">
        <v>40</v>
      </c>
      <c r="R418" s="39">
        <v>12.53</v>
      </c>
    </row>
    <row r="419" spans="1:18" x14ac:dyDescent="0.25">
      <c r="A419" s="1" t="s">
        <v>427</v>
      </c>
      <c r="B419" s="2">
        <v>400</v>
      </c>
      <c r="C419" s="19">
        <v>39</v>
      </c>
      <c r="D419" s="3" t="s">
        <v>496</v>
      </c>
      <c r="E419" s="4" t="s">
        <v>31</v>
      </c>
      <c r="F419" s="23">
        <v>309506</v>
      </c>
      <c r="G419" s="35">
        <v>2016</v>
      </c>
      <c r="H419">
        <f>Table_8[[#This Row],[Listing Price (USD)]]/10000</f>
        <v>30.950600000000001</v>
      </c>
      <c r="I419">
        <f>Table_8[[#This Row],[Length 
(ft)]]</f>
        <v>39</v>
      </c>
      <c r="J419" s="37">
        <f>2020-Table_8[[#This Row],[Year]]</f>
        <v>4</v>
      </c>
      <c r="K419">
        <v>57472012426.685303</v>
      </c>
      <c r="L419">
        <v>14198.753959474399</v>
      </c>
      <c r="M419">
        <v>0.15481137456202801</v>
      </c>
      <c r="N419">
        <v>-8.5803430210621805</v>
      </c>
      <c r="O419" s="39">
        <v>34.450000000000003</v>
      </c>
      <c r="P419" s="39">
        <v>868.00199999999995</v>
      </c>
      <c r="Q419" s="39">
        <v>40</v>
      </c>
      <c r="R419" s="39">
        <v>12.53</v>
      </c>
    </row>
    <row r="420" spans="1:18" x14ac:dyDescent="0.25">
      <c r="A420" s="1" t="s">
        <v>427</v>
      </c>
      <c r="B420" s="2" t="s">
        <v>431</v>
      </c>
      <c r="C420" s="19">
        <v>39</v>
      </c>
      <c r="D420" s="3" t="s">
        <v>496</v>
      </c>
      <c r="E420" s="4" t="s">
        <v>18</v>
      </c>
      <c r="F420" s="23">
        <v>310083</v>
      </c>
      <c r="G420" s="35">
        <v>2015</v>
      </c>
      <c r="H420">
        <f>Table_8[[#This Row],[Listing Price (USD)]]/10000</f>
        <v>31.008299999999998</v>
      </c>
      <c r="I420">
        <f>Table_8[[#This Row],[Length 
(ft)]]</f>
        <v>39</v>
      </c>
      <c r="J420" s="37">
        <f>2020-Table_8[[#This Row],[Year]]</f>
        <v>5</v>
      </c>
      <c r="K420">
        <v>188925995936.80701</v>
      </c>
      <c r="L420">
        <v>17658.947301119199</v>
      </c>
      <c r="M420">
        <v>-1.2479835558140799</v>
      </c>
      <c r="N420">
        <v>-9.0040436420214593</v>
      </c>
      <c r="O420" s="39">
        <v>34.450000000000003</v>
      </c>
      <c r="P420" s="39">
        <v>868.00199999999995</v>
      </c>
      <c r="Q420" s="39">
        <v>40</v>
      </c>
      <c r="R420" s="39">
        <v>12.53</v>
      </c>
    </row>
    <row r="421" spans="1:18" x14ac:dyDescent="0.25">
      <c r="A421" s="1" t="s">
        <v>427</v>
      </c>
      <c r="B421" s="2" t="s">
        <v>431</v>
      </c>
      <c r="C421" s="19">
        <v>39</v>
      </c>
      <c r="D421" s="3" t="s">
        <v>496</v>
      </c>
      <c r="E421" s="4" t="s">
        <v>237</v>
      </c>
      <c r="F421" s="23">
        <v>315575</v>
      </c>
      <c r="G421" s="35">
        <v>2012</v>
      </c>
      <c r="H421">
        <f>Table_8[[#This Row],[Listing Price (USD)]]/10000</f>
        <v>31.557500000000001</v>
      </c>
      <c r="I421">
        <f>Table_8[[#This Row],[Length 
(ft)]]</f>
        <v>39</v>
      </c>
      <c r="J421" s="37">
        <f>2020-Table_8[[#This Row],[Year]]</f>
        <v>8</v>
      </c>
      <c r="K421">
        <v>229031860520.77701</v>
      </c>
      <c r="L421">
        <v>22242.406417972001</v>
      </c>
      <c r="M421">
        <v>-1.2438329957616699E-2</v>
      </c>
      <c r="N421">
        <v>-8.3005160422115107</v>
      </c>
      <c r="O421" s="39">
        <v>34.450000000000003</v>
      </c>
      <c r="P421" s="39">
        <v>868.00199999999995</v>
      </c>
      <c r="Q421" s="39">
        <v>40</v>
      </c>
      <c r="R421" s="39">
        <v>12.53</v>
      </c>
    </row>
    <row r="422" spans="1:18" x14ac:dyDescent="0.25">
      <c r="A422" s="1" t="s">
        <v>427</v>
      </c>
      <c r="B422" s="2" t="s">
        <v>431</v>
      </c>
      <c r="C422" s="19">
        <v>39</v>
      </c>
      <c r="D422" s="3" t="s">
        <v>496</v>
      </c>
      <c r="E422" s="4" t="s">
        <v>3</v>
      </c>
      <c r="F422" s="23">
        <v>315575</v>
      </c>
      <c r="G422" s="35">
        <v>2014</v>
      </c>
      <c r="H422">
        <f>Table_8[[#This Row],[Listing Price (USD)]]/10000</f>
        <v>31.557500000000001</v>
      </c>
      <c r="I422">
        <f>Table_8[[#This Row],[Length 
(ft)]]</f>
        <v>39</v>
      </c>
      <c r="J422" s="37">
        <f>2020-Table_8[[#This Row],[Year]]</f>
        <v>6</v>
      </c>
      <c r="K422">
        <v>2639008701648.2598</v>
      </c>
      <c r="L422">
        <v>39055.282928075401</v>
      </c>
      <c r="M422">
        <v>0.47649885272508302</v>
      </c>
      <c r="N422">
        <v>-7.7845864916787102</v>
      </c>
      <c r="O422" s="39">
        <v>34.450000000000003</v>
      </c>
      <c r="P422" s="39">
        <v>868.00199999999995</v>
      </c>
      <c r="Q422" s="39">
        <v>40</v>
      </c>
      <c r="R422" s="39">
        <v>12.53</v>
      </c>
    </row>
    <row r="423" spans="1:18" x14ac:dyDescent="0.25">
      <c r="A423" s="1" t="s">
        <v>427</v>
      </c>
      <c r="B423" s="2" t="s">
        <v>431</v>
      </c>
      <c r="C423" s="19">
        <v>39</v>
      </c>
      <c r="D423" s="3" t="s">
        <v>496</v>
      </c>
      <c r="E423" s="4" t="s">
        <v>3</v>
      </c>
      <c r="F423" s="23">
        <v>315575</v>
      </c>
      <c r="G423" s="35">
        <v>2014</v>
      </c>
      <c r="H423">
        <f>Table_8[[#This Row],[Listing Price (USD)]]/10000</f>
        <v>31.557500000000001</v>
      </c>
      <c r="I423">
        <f>Table_8[[#This Row],[Length 
(ft)]]</f>
        <v>39</v>
      </c>
      <c r="J423" s="37">
        <f>2020-Table_8[[#This Row],[Year]]</f>
        <v>6</v>
      </c>
      <c r="K423">
        <v>2639008701648.2598</v>
      </c>
      <c r="L423">
        <v>39055.282928075401</v>
      </c>
      <c r="M423">
        <v>0.47649885272508302</v>
      </c>
      <c r="N423">
        <v>-7.7845864916787102</v>
      </c>
      <c r="O423" s="39">
        <v>34.450000000000003</v>
      </c>
      <c r="P423" s="39">
        <v>868.00199999999995</v>
      </c>
      <c r="Q423" s="39">
        <v>40</v>
      </c>
      <c r="R423" s="39">
        <v>12.53</v>
      </c>
    </row>
    <row r="424" spans="1:18" x14ac:dyDescent="0.25">
      <c r="A424" s="1" t="s">
        <v>427</v>
      </c>
      <c r="B424" s="2" t="s">
        <v>431</v>
      </c>
      <c r="C424" s="19">
        <v>39</v>
      </c>
      <c r="D424" s="3" t="s">
        <v>496</v>
      </c>
      <c r="E424" s="4" t="s">
        <v>3</v>
      </c>
      <c r="F424" s="23">
        <v>315575</v>
      </c>
      <c r="G424" s="35">
        <v>2014</v>
      </c>
      <c r="H424">
        <f>Table_8[[#This Row],[Listing Price (USD)]]/10000</f>
        <v>31.557500000000001</v>
      </c>
      <c r="I424">
        <f>Table_8[[#This Row],[Length 
(ft)]]</f>
        <v>39</v>
      </c>
      <c r="J424" s="37">
        <f>2020-Table_8[[#This Row],[Year]]</f>
        <v>6</v>
      </c>
      <c r="K424">
        <v>2639008701648.2598</v>
      </c>
      <c r="L424">
        <v>39055.282928075401</v>
      </c>
      <c r="M424">
        <v>0.47649885272508302</v>
      </c>
      <c r="N424">
        <v>-7.7845864916787102</v>
      </c>
      <c r="O424" s="39">
        <v>34.450000000000003</v>
      </c>
      <c r="P424" s="39">
        <v>868.00199999999995</v>
      </c>
      <c r="Q424" s="39">
        <v>40</v>
      </c>
      <c r="R424" s="39">
        <v>12.53</v>
      </c>
    </row>
    <row r="425" spans="1:18" x14ac:dyDescent="0.25">
      <c r="A425" s="1" t="s">
        <v>427</v>
      </c>
      <c r="B425" s="2" t="s">
        <v>431</v>
      </c>
      <c r="C425" s="19">
        <v>39</v>
      </c>
      <c r="D425" s="3" t="s">
        <v>496</v>
      </c>
      <c r="E425" s="4" t="s">
        <v>24</v>
      </c>
      <c r="F425" s="23">
        <v>315575</v>
      </c>
      <c r="G425" s="35">
        <v>2016</v>
      </c>
      <c r="H425">
        <f>Table_8[[#This Row],[Listing Price (USD)]]/10000</f>
        <v>31.557500000000001</v>
      </c>
      <c r="I425">
        <f>Table_8[[#This Row],[Length 
(ft)]]</f>
        <v>39</v>
      </c>
      <c r="J425" s="37">
        <f>2020-Table_8[[#This Row],[Year]]</f>
        <v>4</v>
      </c>
      <c r="K425">
        <v>1896755301518.1399</v>
      </c>
      <c r="L425">
        <v>31911.0357890017</v>
      </c>
      <c r="M425">
        <v>-0.13770757391656999</v>
      </c>
      <c r="N425">
        <v>-9.0399534112288507</v>
      </c>
      <c r="O425" s="39">
        <v>34.450000000000003</v>
      </c>
      <c r="P425" s="39">
        <v>868.00199999999995</v>
      </c>
      <c r="Q425" s="39">
        <v>40</v>
      </c>
      <c r="R425" s="39">
        <v>12.53</v>
      </c>
    </row>
    <row r="426" spans="1:18" x14ac:dyDescent="0.25">
      <c r="A426" s="1" t="s">
        <v>427</v>
      </c>
      <c r="B426" s="2" t="s">
        <v>431</v>
      </c>
      <c r="C426" s="19">
        <v>39</v>
      </c>
      <c r="D426" s="3" t="s">
        <v>496</v>
      </c>
      <c r="E426" s="4" t="s">
        <v>18</v>
      </c>
      <c r="F426" s="23">
        <v>321644</v>
      </c>
      <c r="G426" s="35">
        <v>2013</v>
      </c>
      <c r="H426">
        <f>Table_8[[#This Row],[Listing Price (USD)]]/10000</f>
        <v>32.164400000000001</v>
      </c>
      <c r="I426">
        <f>Table_8[[#This Row],[Length 
(ft)]]</f>
        <v>39</v>
      </c>
      <c r="J426" s="37">
        <f>2020-Table_8[[#This Row],[Year]]</f>
        <v>7</v>
      </c>
      <c r="K426">
        <v>188925995936.80701</v>
      </c>
      <c r="L426">
        <v>17658.947301119199</v>
      </c>
      <c r="M426">
        <v>-1.2479835558140799</v>
      </c>
      <c r="N426">
        <v>-9.0040436420214593</v>
      </c>
      <c r="O426" s="39">
        <v>34.450000000000003</v>
      </c>
      <c r="P426" s="39">
        <v>868.00199999999995</v>
      </c>
      <c r="Q426" s="39">
        <v>40</v>
      </c>
      <c r="R426" s="39">
        <v>12.53</v>
      </c>
    </row>
    <row r="427" spans="1:18" x14ac:dyDescent="0.25">
      <c r="A427" s="1" t="s">
        <v>427</v>
      </c>
      <c r="B427" s="2" t="s">
        <v>431</v>
      </c>
      <c r="C427" s="19">
        <v>39</v>
      </c>
      <c r="D427" s="3" t="s">
        <v>496</v>
      </c>
      <c r="E427" s="4" t="s">
        <v>3</v>
      </c>
      <c r="F427" s="23">
        <v>321644</v>
      </c>
      <c r="G427" s="35">
        <v>2014</v>
      </c>
      <c r="H427">
        <f>Table_8[[#This Row],[Listing Price (USD)]]/10000</f>
        <v>32.164400000000001</v>
      </c>
      <c r="I427">
        <f>Table_8[[#This Row],[Length 
(ft)]]</f>
        <v>39</v>
      </c>
      <c r="J427" s="37">
        <f>2020-Table_8[[#This Row],[Year]]</f>
        <v>6</v>
      </c>
      <c r="K427">
        <v>2639008701648.2598</v>
      </c>
      <c r="L427">
        <v>39055.282928075401</v>
      </c>
      <c r="M427">
        <v>0.47649885272508302</v>
      </c>
      <c r="N427">
        <v>-7.7845864916787102</v>
      </c>
      <c r="O427" s="39">
        <v>34.450000000000003</v>
      </c>
      <c r="P427" s="39">
        <v>868.00199999999995</v>
      </c>
      <c r="Q427" s="39">
        <v>40</v>
      </c>
      <c r="R427" s="39">
        <v>12.53</v>
      </c>
    </row>
    <row r="428" spans="1:18" x14ac:dyDescent="0.25">
      <c r="A428" s="1" t="s">
        <v>427</v>
      </c>
      <c r="B428" s="2">
        <v>400</v>
      </c>
      <c r="C428" s="19">
        <v>39</v>
      </c>
      <c r="D428" s="3" t="s">
        <v>496</v>
      </c>
      <c r="E428" s="4" t="s">
        <v>18</v>
      </c>
      <c r="F428" s="23">
        <v>321895</v>
      </c>
      <c r="G428" s="35">
        <v>2013</v>
      </c>
      <c r="H428">
        <f>Table_8[[#This Row],[Listing Price (USD)]]/10000</f>
        <v>32.189500000000002</v>
      </c>
      <c r="I428">
        <f>Table_8[[#This Row],[Length 
(ft)]]</f>
        <v>39</v>
      </c>
      <c r="J428" s="37">
        <f>2020-Table_8[[#This Row],[Year]]</f>
        <v>7</v>
      </c>
      <c r="K428">
        <v>188925995936.80701</v>
      </c>
      <c r="L428">
        <v>17658.947301119199</v>
      </c>
      <c r="M428">
        <v>-1.2479835558140799</v>
      </c>
      <c r="N428">
        <v>-9.0040436420214593</v>
      </c>
      <c r="O428" s="39">
        <v>34.450000000000003</v>
      </c>
      <c r="P428" s="39">
        <v>868.00199999999995</v>
      </c>
      <c r="Q428" s="39">
        <v>40</v>
      </c>
      <c r="R428" s="39">
        <v>12.53</v>
      </c>
    </row>
    <row r="429" spans="1:18" x14ac:dyDescent="0.25">
      <c r="A429" s="1" t="s">
        <v>427</v>
      </c>
      <c r="B429" s="2" t="s">
        <v>431</v>
      </c>
      <c r="C429" s="19">
        <v>39</v>
      </c>
      <c r="D429" s="3" t="s">
        <v>496</v>
      </c>
      <c r="E429" s="4" t="s">
        <v>31</v>
      </c>
      <c r="F429" s="23">
        <v>326499</v>
      </c>
      <c r="G429" s="35">
        <v>2016</v>
      </c>
      <c r="H429">
        <f>Table_8[[#This Row],[Listing Price (USD)]]/10000</f>
        <v>32.649900000000002</v>
      </c>
      <c r="I429">
        <f>Table_8[[#This Row],[Length 
(ft)]]</f>
        <v>39</v>
      </c>
      <c r="J429" s="37">
        <f>2020-Table_8[[#This Row],[Year]]</f>
        <v>4</v>
      </c>
      <c r="K429">
        <v>57472012426.685303</v>
      </c>
      <c r="L429">
        <v>14198.753959474399</v>
      </c>
      <c r="M429">
        <v>0.15481137456202801</v>
      </c>
      <c r="N429">
        <v>-8.5803430210621805</v>
      </c>
      <c r="O429" s="39">
        <v>34.450000000000003</v>
      </c>
      <c r="P429" s="39">
        <v>868.00199999999995</v>
      </c>
      <c r="Q429" s="39">
        <v>40</v>
      </c>
      <c r="R429" s="39">
        <v>12.53</v>
      </c>
    </row>
    <row r="430" spans="1:18" x14ac:dyDescent="0.25">
      <c r="A430" s="1" t="s">
        <v>427</v>
      </c>
      <c r="B430" s="2" t="s">
        <v>431</v>
      </c>
      <c r="C430" s="19">
        <v>39</v>
      </c>
      <c r="D430" s="3" t="s">
        <v>496</v>
      </c>
      <c r="E430" s="4" t="s">
        <v>18</v>
      </c>
      <c r="F430" s="23">
        <v>327712</v>
      </c>
      <c r="G430" s="35">
        <v>2014</v>
      </c>
      <c r="H430">
        <f>Table_8[[#This Row],[Listing Price (USD)]]/10000</f>
        <v>32.7712</v>
      </c>
      <c r="I430">
        <f>Table_8[[#This Row],[Length 
(ft)]]</f>
        <v>39</v>
      </c>
      <c r="J430" s="37">
        <f>2020-Table_8[[#This Row],[Year]]</f>
        <v>6</v>
      </c>
      <c r="K430">
        <v>188925995936.80701</v>
      </c>
      <c r="L430">
        <v>17658.947301119199</v>
      </c>
      <c r="M430">
        <v>-1.2479835558140799</v>
      </c>
      <c r="N430">
        <v>-9.0040436420214593</v>
      </c>
      <c r="O430" s="39">
        <v>34.450000000000003</v>
      </c>
      <c r="P430" s="39">
        <v>868.00199999999995</v>
      </c>
      <c r="Q430" s="39">
        <v>40</v>
      </c>
      <c r="R430" s="39">
        <v>12.53</v>
      </c>
    </row>
    <row r="431" spans="1:18" x14ac:dyDescent="0.25">
      <c r="A431" s="1" t="s">
        <v>427</v>
      </c>
      <c r="B431" s="2" t="s">
        <v>431</v>
      </c>
      <c r="C431" s="19">
        <v>39</v>
      </c>
      <c r="D431" s="3" t="s">
        <v>496</v>
      </c>
      <c r="E431" s="4" t="s">
        <v>18</v>
      </c>
      <c r="F431" s="23">
        <v>327712</v>
      </c>
      <c r="G431" s="35">
        <v>2014</v>
      </c>
      <c r="H431">
        <f>Table_8[[#This Row],[Listing Price (USD)]]/10000</f>
        <v>32.7712</v>
      </c>
      <c r="I431">
        <f>Table_8[[#This Row],[Length 
(ft)]]</f>
        <v>39</v>
      </c>
      <c r="J431" s="37">
        <f>2020-Table_8[[#This Row],[Year]]</f>
        <v>6</v>
      </c>
      <c r="K431">
        <v>188925995936.80701</v>
      </c>
      <c r="L431">
        <v>17658.947301119199</v>
      </c>
      <c r="M431">
        <v>-1.2479835558140799</v>
      </c>
      <c r="N431">
        <v>-9.0040436420214593</v>
      </c>
      <c r="O431" s="39">
        <v>34.450000000000003</v>
      </c>
      <c r="P431" s="39">
        <v>868.00199999999995</v>
      </c>
      <c r="Q431" s="39">
        <v>40</v>
      </c>
      <c r="R431" s="39">
        <v>12.53</v>
      </c>
    </row>
    <row r="432" spans="1:18" x14ac:dyDescent="0.25">
      <c r="A432" s="1" t="s">
        <v>427</v>
      </c>
      <c r="B432" s="2" t="s">
        <v>431</v>
      </c>
      <c r="C432" s="19">
        <v>39</v>
      </c>
      <c r="D432" s="3" t="s">
        <v>496</v>
      </c>
      <c r="E432" s="4" t="s">
        <v>18</v>
      </c>
      <c r="F432" s="23">
        <v>327712</v>
      </c>
      <c r="G432" s="35">
        <v>2014</v>
      </c>
      <c r="H432">
        <f>Table_8[[#This Row],[Listing Price (USD)]]/10000</f>
        <v>32.7712</v>
      </c>
      <c r="I432">
        <f>Table_8[[#This Row],[Length 
(ft)]]</f>
        <v>39</v>
      </c>
      <c r="J432" s="37">
        <f>2020-Table_8[[#This Row],[Year]]</f>
        <v>6</v>
      </c>
      <c r="K432">
        <v>188925995936.80701</v>
      </c>
      <c r="L432">
        <v>17658.947301119199</v>
      </c>
      <c r="M432">
        <v>-1.2479835558140799</v>
      </c>
      <c r="N432">
        <v>-9.0040436420214593</v>
      </c>
      <c r="O432" s="39">
        <v>34.450000000000003</v>
      </c>
      <c r="P432" s="39">
        <v>868.00199999999995</v>
      </c>
      <c r="Q432" s="39">
        <v>40</v>
      </c>
      <c r="R432" s="39">
        <v>12.53</v>
      </c>
    </row>
    <row r="433" spans="1:18" x14ac:dyDescent="0.25">
      <c r="A433" s="1" t="s">
        <v>427</v>
      </c>
      <c r="B433" s="2" t="s">
        <v>431</v>
      </c>
      <c r="C433" s="19">
        <v>39</v>
      </c>
      <c r="D433" s="3" t="s">
        <v>496</v>
      </c>
      <c r="E433" s="4" t="s">
        <v>18</v>
      </c>
      <c r="F433" s="23">
        <v>327712</v>
      </c>
      <c r="G433" s="35">
        <v>2014</v>
      </c>
      <c r="H433">
        <f>Table_8[[#This Row],[Listing Price (USD)]]/10000</f>
        <v>32.7712</v>
      </c>
      <c r="I433">
        <f>Table_8[[#This Row],[Length 
(ft)]]</f>
        <v>39</v>
      </c>
      <c r="J433" s="37">
        <f>2020-Table_8[[#This Row],[Year]]</f>
        <v>6</v>
      </c>
      <c r="K433">
        <v>188925995936.80701</v>
      </c>
      <c r="L433">
        <v>17658.947301119199</v>
      </c>
      <c r="M433">
        <v>-1.2479835558140799</v>
      </c>
      <c r="N433">
        <v>-9.0040436420214593</v>
      </c>
      <c r="O433" s="39">
        <v>34.450000000000003</v>
      </c>
      <c r="P433" s="39">
        <v>868.00199999999995</v>
      </c>
      <c r="Q433" s="39">
        <v>40</v>
      </c>
      <c r="R433" s="39">
        <v>12.53</v>
      </c>
    </row>
    <row r="434" spans="1:18" x14ac:dyDescent="0.25">
      <c r="A434" s="1" t="s">
        <v>427</v>
      </c>
      <c r="B434" s="2" t="s">
        <v>431</v>
      </c>
      <c r="C434" s="19">
        <v>39</v>
      </c>
      <c r="D434" s="3" t="s">
        <v>496</v>
      </c>
      <c r="E434" s="4" t="s">
        <v>18</v>
      </c>
      <c r="F434" s="23">
        <v>327712</v>
      </c>
      <c r="G434" s="35">
        <v>2014</v>
      </c>
      <c r="H434">
        <f>Table_8[[#This Row],[Listing Price (USD)]]/10000</f>
        <v>32.7712</v>
      </c>
      <c r="I434">
        <f>Table_8[[#This Row],[Length 
(ft)]]</f>
        <v>39</v>
      </c>
      <c r="J434" s="37">
        <f>2020-Table_8[[#This Row],[Year]]</f>
        <v>6</v>
      </c>
      <c r="K434">
        <v>188925995936.80701</v>
      </c>
      <c r="L434">
        <v>17658.947301119199</v>
      </c>
      <c r="M434">
        <v>-1.2479835558140799</v>
      </c>
      <c r="N434">
        <v>-9.0040436420214593</v>
      </c>
      <c r="O434" s="39">
        <v>34.450000000000003</v>
      </c>
      <c r="P434" s="39">
        <v>868.00199999999995</v>
      </c>
      <c r="Q434" s="39">
        <v>40</v>
      </c>
      <c r="R434" s="39">
        <v>12.53</v>
      </c>
    </row>
    <row r="435" spans="1:18" x14ac:dyDescent="0.25">
      <c r="A435" s="1" t="s">
        <v>427</v>
      </c>
      <c r="B435" s="2" t="s">
        <v>431</v>
      </c>
      <c r="C435" s="19">
        <v>39</v>
      </c>
      <c r="D435" s="3" t="s">
        <v>496</v>
      </c>
      <c r="E435" s="3" t="s">
        <v>56</v>
      </c>
      <c r="F435" s="23">
        <v>327712</v>
      </c>
      <c r="G435" s="35">
        <v>2014</v>
      </c>
      <c r="H435">
        <f>Table_8[[#This Row],[Listing Price (USD)]]/10000</f>
        <v>32.7712</v>
      </c>
      <c r="I435">
        <f>Table_8[[#This Row],[Length 
(ft)]]</f>
        <v>39</v>
      </c>
      <c r="J435" s="37">
        <f>2020-Table_8[[#This Row],[Year]]</f>
        <v>6</v>
      </c>
      <c r="K435">
        <v>14933066818.9606</v>
      </c>
      <c r="L435">
        <v>28977.565567363599</v>
      </c>
      <c r="M435">
        <v>0.63854495677665302</v>
      </c>
      <c r="N435">
        <v>-8.3242832319722009</v>
      </c>
      <c r="O435" s="39">
        <v>34.450000000000003</v>
      </c>
      <c r="P435" s="39">
        <v>868.00199999999995</v>
      </c>
      <c r="Q435" s="39">
        <v>40</v>
      </c>
      <c r="R435" s="39">
        <v>12.53</v>
      </c>
    </row>
    <row r="436" spans="1:18" x14ac:dyDescent="0.25">
      <c r="A436" s="1" t="s">
        <v>427</v>
      </c>
      <c r="B436" s="2" t="s">
        <v>431</v>
      </c>
      <c r="C436" s="19">
        <v>39</v>
      </c>
      <c r="D436" s="3" t="s">
        <v>496</v>
      </c>
      <c r="E436" s="4" t="s">
        <v>18</v>
      </c>
      <c r="F436" s="23">
        <v>327712</v>
      </c>
      <c r="G436" s="35">
        <v>2016</v>
      </c>
      <c r="H436">
        <f>Table_8[[#This Row],[Listing Price (USD)]]/10000</f>
        <v>32.7712</v>
      </c>
      <c r="I436">
        <f>Table_8[[#This Row],[Length 
(ft)]]</f>
        <v>39</v>
      </c>
      <c r="J436" s="37">
        <f>2020-Table_8[[#This Row],[Year]]</f>
        <v>4</v>
      </c>
      <c r="K436">
        <v>188925995936.80701</v>
      </c>
      <c r="L436">
        <v>17658.947301119199</v>
      </c>
      <c r="M436">
        <v>-1.2479835558140799</v>
      </c>
      <c r="N436">
        <v>-9.0040436420214593</v>
      </c>
      <c r="O436" s="39">
        <v>34.450000000000003</v>
      </c>
      <c r="P436" s="39">
        <v>868.00199999999995</v>
      </c>
      <c r="Q436" s="39">
        <v>40</v>
      </c>
      <c r="R436" s="39">
        <v>12.53</v>
      </c>
    </row>
    <row r="437" spans="1:18" x14ac:dyDescent="0.25">
      <c r="A437" s="1" t="s">
        <v>427</v>
      </c>
      <c r="B437" s="2" t="s">
        <v>431</v>
      </c>
      <c r="C437" s="19">
        <v>39</v>
      </c>
      <c r="D437" s="3" t="s">
        <v>496</v>
      </c>
      <c r="E437" s="4" t="s">
        <v>18</v>
      </c>
      <c r="F437" s="23">
        <v>333781</v>
      </c>
      <c r="G437" s="35">
        <v>2014</v>
      </c>
      <c r="H437">
        <f>Table_8[[#This Row],[Listing Price (USD)]]/10000</f>
        <v>33.378100000000003</v>
      </c>
      <c r="I437">
        <f>Table_8[[#This Row],[Length 
(ft)]]</f>
        <v>39</v>
      </c>
      <c r="J437" s="37">
        <f>2020-Table_8[[#This Row],[Year]]</f>
        <v>6</v>
      </c>
      <c r="K437">
        <v>188925995936.80701</v>
      </c>
      <c r="L437">
        <v>17658.947301119199</v>
      </c>
      <c r="M437">
        <v>-1.2479835558140799</v>
      </c>
      <c r="N437">
        <v>-9.0040436420214593</v>
      </c>
      <c r="O437" s="39">
        <v>34.450000000000003</v>
      </c>
      <c r="P437" s="39">
        <v>868.00199999999995</v>
      </c>
      <c r="Q437" s="39">
        <v>40</v>
      </c>
      <c r="R437" s="39">
        <v>12.53</v>
      </c>
    </row>
    <row r="438" spans="1:18" x14ac:dyDescent="0.25">
      <c r="A438" s="1" t="s">
        <v>427</v>
      </c>
      <c r="B438" s="2" t="s">
        <v>431</v>
      </c>
      <c r="C438" s="19">
        <v>39</v>
      </c>
      <c r="D438" s="3" t="s">
        <v>496</v>
      </c>
      <c r="E438" s="4" t="s">
        <v>18</v>
      </c>
      <c r="F438" s="23">
        <v>333781</v>
      </c>
      <c r="G438" s="35">
        <v>2014</v>
      </c>
      <c r="H438">
        <f>Table_8[[#This Row],[Listing Price (USD)]]/10000</f>
        <v>33.378100000000003</v>
      </c>
      <c r="I438">
        <f>Table_8[[#This Row],[Length 
(ft)]]</f>
        <v>39</v>
      </c>
      <c r="J438" s="37">
        <f>2020-Table_8[[#This Row],[Year]]</f>
        <v>6</v>
      </c>
      <c r="K438">
        <v>188925995936.80701</v>
      </c>
      <c r="L438">
        <v>17658.947301119199</v>
      </c>
      <c r="M438">
        <v>-1.2479835558140799</v>
      </c>
      <c r="N438">
        <v>-9.0040436420214593</v>
      </c>
      <c r="O438" s="39">
        <v>34.450000000000003</v>
      </c>
      <c r="P438" s="39">
        <v>868.00199999999995</v>
      </c>
      <c r="Q438" s="39">
        <v>40</v>
      </c>
      <c r="R438" s="39">
        <v>12.53</v>
      </c>
    </row>
    <row r="439" spans="1:18" x14ac:dyDescent="0.25">
      <c r="A439" s="1" t="s">
        <v>427</v>
      </c>
      <c r="B439" s="2" t="s">
        <v>431</v>
      </c>
      <c r="C439" s="19">
        <v>39</v>
      </c>
      <c r="D439" s="3" t="s">
        <v>496</v>
      </c>
      <c r="E439" s="4" t="s">
        <v>31</v>
      </c>
      <c r="F439" s="23">
        <v>338636</v>
      </c>
      <c r="G439" s="35">
        <v>2015</v>
      </c>
      <c r="H439">
        <f>Table_8[[#This Row],[Listing Price (USD)]]/10000</f>
        <v>33.863599999999998</v>
      </c>
      <c r="I439">
        <f>Table_8[[#This Row],[Length 
(ft)]]</f>
        <v>39</v>
      </c>
      <c r="J439" s="37">
        <f>2020-Table_8[[#This Row],[Year]]</f>
        <v>5</v>
      </c>
      <c r="K439">
        <v>57472012426.685303</v>
      </c>
      <c r="L439">
        <v>14198.753959474399</v>
      </c>
      <c r="M439">
        <v>0.15481137456202801</v>
      </c>
      <c r="N439">
        <v>-8.5803430210621805</v>
      </c>
      <c r="O439" s="39">
        <v>34.450000000000003</v>
      </c>
      <c r="P439" s="39">
        <v>868.00199999999995</v>
      </c>
      <c r="Q439" s="39">
        <v>40</v>
      </c>
      <c r="R439" s="39">
        <v>12.53</v>
      </c>
    </row>
    <row r="440" spans="1:18" x14ac:dyDescent="0.25">
      <c r="A440" s="1" t="s">
        <v>427</v>
      </c>
      <c r="B440" s="2" t="s">
        <v>431</v>
      </c>
      <c r="C440" s="19">
        <v>39</v>
      </c>
      <c r="D440" s="3" t="s">
        <v>496</v>
      </c>
      <c r="E440" s="4" t="s">
        <v>31</v>
      </c>
      <c r="F440" s="23">
        <v>339850</v>
      </c>
      <c r="G440" s="35">
        <v>2013</v>
      </c>
      <c r="H440">
        <f>Table_8[[#This Row],[Listing Price (USD)]]/10000</f>
        <v>33.984999999999999</v>
      </c>
      <c r="I440">
        <f>Table_8[[#This Row],[Length 
(ft)]]</f>
        <v>39</v>
      </c>
      <c r="J440" s="37">
        <f>2020-Table_8[[#This Row],[Year]]</f>
        <v>7</v>
      </c>
      <c r="K440">
        <v>57472012426.685303</v>
      </c>
      <c r="L440">
        <v>14198.753959474399</v>
      </c>
      <c r="M440">
        <v>0.15481137456202801</v>
      </c>
      <c r="N440">
        <v>-8.5803430210621805</v>
      </c>
      <c r="O440" s="39">
        <v>34.450000000000003</v>
      </c>
      <c r="P440" s="39">
        <v>868.00199999999995</v>
      </c>
      <c r="Q440" s="39">
        <v>40</v>
      </c>
      <c r="R440" s="39">
        <v>12.53</v>
      </c>
    </row>
    <row r="441" spans="1:18" x14ac:dyDescent="0.25">
      <c r="A441" s="1" t="s">
        <v>427</v>
      </c>
      <c r="B441" s="2" t="s">
        <v>431</v>
      </c>
      <c r="C441" s="19">
        <v>39</v>
      </c>
      <c r="D441" s="3" t="s">
        <v>497</v>
      </c>
      <c r="E441" s="3" t="s">
        <v>508</v>
      </c>
      <c r="F441" s="23">
        <v>340000</v>
      </c>
      <c r="G441" s="35">
        <v>2016</v>
      </c>
      <c r="H441">
        <f>Table_8[[#This Row],[Listing Price (USD)]]/10000</f>
        <v>34</v>
      </c>
      <c r="I441">
        <f>Table_8[[#This Row],[Length 
(ft)]]</f>
        <v>39</v>
      </c>
      <c r="J441" s="37">
        <f>2020-Table_8[[#This Row],[Year]]</f>
        <v>4</v>
      </c>
      <c r="K441">
        <v>9700000000</v>
      </c>
      <c r="L441">
        <v>26659</v>
      </c>
      <c r="M441">
        <v>-3.5</v>
      </c>
      <c r="N441">
        <v>-24.2</v>
      </c>
      <c r="O441" s="39">
        <v>34.450000000000003</v>
      </c>
      <c r="P441" s="39">
        <v>868.00199999999995</v>
      </c>
      <c r="Q441" s="39">
        <v>40</v>
      </c>
      <c r="R441" s="39">
        <v>12.53</v>
      </c>
    </row>
    <row r="442" spans="1:18" x14ac:dyDescent="0.25">
      <c r="A442" s="1" t="s">
        <v>427</v>
      </c>
      <c r="B442" s="2" t="s">
        <v>431</v>
      </c>
      <c r="C442" s="19">
        <v>39</v>
      </c>
      <c r="D442" s="3" t="s">
        <v>496</v>
      </c>
      <c r="E442" s="4" t="s">
        <v>18</v>
      </c>
      <c r="F442" s="23">
        <v>358056</v>
      </c>
      <c r="G442" s="35">
        <v>2014</v>
      </c>
      <c r="H442">
        <f>Table_8[[#This Row],[Listing Price (USD)]]/10000</f>
        <v>35.805599999999998</v>
      </c>
      <c r="I442">
        <f>Table_8[[#This Row],[Length 
(ft)]]</f>
        <v>39</v>
      </c>
      <c r="J442" s="37">
        <f>2020-Table_8[[#This Row],[Year]]</f>
        <v>6</v>
      </c>
      <c r="K442">
        <v>188925995936.80701</v>
      </c>
      <c r="L442">
        <v>17658.947301119199</v>
      </c>
      <c r="M442">
        <v>-1.2479835558140799</v>
      </c>
      <c r="N442">
        <v>-9.0040436420214593</v>
      </c>
      <c r="O442" s="39">
        <v>34.450000000000003</v>
      </c>
      <c r="P442" s="39">
        <v>868.00199999999995</v>
      </c>
      <c r="Q442" s="39">
        <v>40</v>
      </c>
      <c r="R442" s="39">
        <v>12.53</v>
      </c>
    </row>
    <row r="443" spans="1:18" x14ac:dyDescent="0.25">
      <c r="A443" s="1" t="s">
        <v>427</v>
      </c>
      <c r="B443" s="2" t="s">
        <v>431</v>
      </c>
      <c r="C443" s="19">
        <v>39</v>
      </c>
      <c r="D443" s="3" t="s">
        <v>496</v>
      </c>
      <c r="E443" s="4" t="s">
        <v>18</v>
      </c>
      <c r="F443" s="23">
        <v>358056</v>
      </c>
      <c r="G443" s="35">
        <v>2016</v>
      </c>
      <c r="H443">
        <f>Table_8[[#This Row],[Listing Price (USD)]]/10000</f>
        <v>35.805599999999998</v>
      </c>
      <c r="I443">
        <f>Table_8[[#This Row],[Length 
(ft)]]</f>
        <v>39</v>
      </c>
      <c r="J443" s="37">
        <f>2020-Table_8[[#This Row],[Year]]</f>
        <v>4</v>
      </c>
      <c r="K443">
        <v>188925995936.80701</v>
      </c>
      <c r="L443">
        <v>17658.947301119199</v>
      </c>
      <c r="M443">
        <v>-1.2479835558140799</v>
      </c>
      <c r="N443">
        <v>-9.0040436420214593</v>
      </c>
      <c r="O443" s="39">
        <v>34.450000000000003</v>
      </c>
      <c r="P443" s="39">
        <v>868.00199999999995</v>
      </c>
      <c r="Q443" s="39">
        <v>40</v>
      </c>
      <c r="R443" s="39">
        <v>12.53</v>
      </c>
    </row>
    <row r="444" spans="1:18" x14ac:dyDescent="0.25">
      <c r="A444" s="1" t="s">
        <v>427</v>
      </c>
      <c r="B444" s="2" t="s">
        <v>431</v>
      </c>
      <c r="C444" s="19">
        <v>39</v>
      </c>
      <c r="D444" s="3" t="s">
        <v>496</v>
      </c>
      <c r="E444" s="4" t="s">
        <v>18</v>
      </c>
      <c r="F444" s="23">
        <v>361697</v>
      </c>
      <c r="G444" s="35">
        <v>2014</v>
      </c>
      <c r="H444">
        <f>Table_8[[#This Row],[Listing Price (USD)]]/10000</f>
        <v>36.169699999999999</v>
      </c>
      <c r="I444">
        <f>Table_8[[#This Row],[Length 
(ft)]]</f>
        <v>39</v>
      </c>
      <c r="J444" s="37">
        <f>2020-Table_8[[#This Row],[Year]]</f>
        <v>6</v>
      </c>
      <c r="K444">
        <v>188925995936.80701</v>
      </c>
      <c r="L444">
        <v>17658.947301119199</v>
      </c>
      <c r="M444">
        <v>-1.2479835558140799</v>
      </c>
      <c r="N444">
        <v>-9.0040436420214593</v>
      </c>
      <c r="O444" s="39">
        <v>34.450000000000003</v>
      </c>
      <c r="P444" s="39">
        <v>868.00199999999995</v>
      </c>
      <c r="Q444" s="39">
        <v>40</v>
      </c>
      <c r="R444" s="39">
        <v>12.53</v>
      </c>
    </row>
    <row r="445" spans="1:18" x14ac:dyDescent="0.25">
      <c r="A445" s="1" t="s">
        <v>427</v>
      </c>
      <c r="B445" s="2">
        <v>400</v>
      </c>
      <c r="C445" s="19">
        <v>39</v>
      </c>
      <c r="D445" s="3" t="s">
        <v>496</v>
      </c>
      <c r="E445" s="4" t="s">
        <v>31</v>
      </c>
      <c r="F445" s="23">
        <v>362911</v>
      </c>
      <c r="G445" s="35">
        <v>2017</v>
      </c>
      <c r="H445">
        <f>Table_8[[#This Row],[Listing Price (USD)]]/10000</f>
        <v>36.2911</v>
      </c>
      <c r="I445">
        <f>Table_8[[#This Row],[Length 
(ft)]]</f>
        <v>39</v>
      </c>
      <c r="J445" s="37">
        <f>2020-Table_8[[#This Row],[Year]]</f>
        <v>3</v>
      </c>
      <c r="K445">
        <v>57472012426.685303</v>
      </c>
      <c r="L445">
        <v>14198.753959474399</v>
      </c>
      <c r="M445">
        <v>0.15481137456202801</v>
      </c>
      <c r="N445">
        <v>-8.5803430210621805</v>
      </c>
      <c r="O445" s="39">
        <v>34.450000000000003</v>
      </c>
      <c r="P445" s="39">
        <v>868.00199999999995</v>
      </c>
      <c r="Q445" s="39">
        <v>40</v>
      </c>
      <c r="R445" s="39">
        <v>12.53</v>
      </c>
    </row>
    <row r="446" spans="1:18" x14ac:dyDescent="0.25">
      <c r="A446" s="1" t="s">
        <v>427</v>
      </c>
      <c r="B446" s="2" t="s">
        <v>431</v>
      </c>
      <c r="C446" s="19">
        <v>39</v>
      </c>
      <c r="D446" s="3" t="s">
        <v>496</v>
      </c>
      <c r="E446" s="4" t="s">
        <v>24</v>
      </c>
      <c r="F446" s="23">
        <v>363765</v>
      </c>
      <c r="G446" s="35">
        <v>2018</v>
      </c>
      <c r="H446">
        <f>Table_8[[#This Row],[Listing Price (USD)]]/10000</f>
        <v>36.3765</v>
      </c>
      <c r="I446">
        <f>Table_8[[#This Row],[Length 
(ft)]]</f>
        <v>39</v>
      </c>
      <c r="J446" s="37">
        <f>2020-Table_8[[#This Row],[Year]]</f>
        <v>2</v>
      </c>
      <c r="K446">
        <v>1896755301518.1399</v>
      </c>
      <c r="L446">
        <v>31911.0357890017</v>
      </c>
      <c r="M446">
        <v>-0.13770757391656999</v>
      </c>
      <c r="N446">
        <v>-9.0399534112288507</v>
      </c>
      <c r="O446" s="39">
        <v>34.450000000000003</v>
      </c>
      <c r="P446" s="39">
        <v>868.00199999999995</v>
      </c>
      <c r="Q446" s="39">
        <v>40</v>
      </c>
      <c r="R446" s="39">
        <v>12.53</v>
      </c>
    </row>
    <row r="447" spans="1:18" x14ac:dyDescent="0.25">
      <c r="A447" s="1" t="s">
        <v>427</v>
      </c>
      <c r="B447" s="2" t="s">
        <v>431</v>
      </c>
      <c r="C447" s="19">
        <v>39</v>
      </c>
      <c r="D447" s="3" t="s">
        <v>496</v>
      </c>
      <c r="E447" s="4" t="s">
        <v>18</v>
      </c>
      <c r="F447" s="23">
        <v>364125</v>
      </c>
      <c r="G447" s="35">
        <v>2016</v>
      </c>
      <c r="H447">
        <f>Table_8[[#This Row],[Listing Price (USD)]]/10000</f>
        <v>36.412500000000001</v>
      </c>
      <c r="I447">
        <f>Table_8[[#This Row],[Length 
(ft)]]</f>
        <v>39</v>
      </c>
      <c r="J447" s="37">
        <f>2020-Table_8[[#This Row],[Year]]</f>
        <v>4</v>
      </c>
      <c r="K447">
        <v>188925995936.80701</v>
      </c>
      <c r="L447">
        <v>17658.947301119199</v>
      </c>
      <c r="M447">
        <v>-1.2479835558140799</v>
      </c>
      <c r="N447">
        <v>-9.0040436420214593</v>
      </c>
      <c r="O447" s="39">
        <v>34.450000000000003</v>
      </c>
      <c r="P447" s="39">
        <v>868.00199999999995</v>
      </c>
      <c r="Q447" s="39">
        <v>40</v>
      </c>
      <c r="R447" s="39">
        <v>12.53</v>
      </c>
    </row>
    <row r="448" spans="1:18" x14ac:dyDescent="0.25">
      <c r="A448" s="1" t="s">
        <v>427</v>
      </c>
      <c r="B448" s="2">
        <v>400</v>
      </c>
      <c r="C448" s="19">
        <v>39</v>
      </c>
      <c r="D448" s="3" t="s">
        <v>496</v>
      </c>
      <c r="E448" s="4" t="s">
        <v>24</v>
      </c>
      <c r="F448" s="23">
        <v>364359</v>
      </c>
      <c r="G448" s="35">
        <v>2018</v>
      </c>
      <c r="H448">
        <f>Table_8[[#This Row],[Listing Price (USD)]]/10000</f>
        <v>36.435899999999997</v>
      </c>
      <c r="I448">
        <f>Table_8[[#This Row],[Length 
(ft)]]</f>
        <v>39</v>
      </c>
      <c r="J448" s="37">
        <f>2020-Table_8[[#This Row],[Year]]</f>
        <v>2</v>
      </c>
      <c r="K448">
        <v>1896755301518.1399</v>
      </c>
      <c r="L448">
        <v>31911.0357890017</v>
      </c>
      <c r="M448">
        <v>-0.13770757391656999</v>
      </c>
      <c r="N448">
        <v>-9.0399534112288507</v>
      </c>
      <c r="O448" s="39">
        <v>34.450000000000003</v>
      </c>
      <c r="P448" s="39">
        <v>868.00199999999995</v>
      </c>
      <c r="Q448" s="39">
        <v>40</v>
      </c>
      <c r="R448" s="39">
        <v>12.53</v>
      </c>
    </row>
    <row r="449" spans="1:18" x14ac:dyDescent="0.25">
      <c r="A449" s="1" t="s">
        <v>427</v>
      </c>
      <c r="B449" s="2" t="s">
        <v>431</v>
      </c>
      <c r="C449" s="19">
        <v>39</v>
      </c>
      <c r="D449" s="3" t="s">
        <v>496</v>
      </c>
      <c r="E449" s="4" t="s">
        <v>24</v>
      </c>
      <c r="F449" s="23">
        <v>388400</v>
      </c>
      <c r="G449" s="35">
        <v>2013</v>
      </c>
      <c r="H449">
        <f>Table_8[[#This Row],[Listing Price (USD)]]/10000</f>
        <v>38.840000000000003</v>
      </c>
      <c r="I449">
        <f>Table_8[[#This Row],[Length 
(ft)]]</f>
        <v>39</v>
      </c>
      <c r="J449" s="37">
        <f>2020-Table_8[[#This Row],[Year]]</f>
        <v>7</v>
      </c>
      <c r="K449">
        <v>1896755301518.1399</v>
      </c>
      <c r="L449">
        <v>31911.0357890017</v>
      </c>
      <c r="M449">
        <v>-0.13770757391656999</v>
      </c>
      <c r="N449">
        <v>-9.0399534112288507</v>
      </c>
      <c r="O449" s="39">
        <v>34.450000000000003</v>
      </c>
      <c r="P449" s="39">
        <v>868.00199999999995</v>
      </c>
      <c r="Q449" s="39">
        <v>40</v>
      </c>
      <c r="R449" s="39">
        <v>12.53</v>
      </c>
    </row>
    <row r="450" spans="1:18" x14ac:dyDescent="0.25">
      <c r="A450" s="1" t="s">
        <v>427</v>
      </c>
      <c r="B450" s="2" t="s">
        <v>431</v>
      </c>
      <c r="C450" s="19">
        <v>39</v>
      </c>
      <c r="D450" s="3" t="s">
        <v>496</v>
      </c>
      <c r="E450" s="4" t="s">
        <v>24</v>
      </c>
      <c r="F450" s="23">
        <v>388400</v>
      </c>
      <c r="G450" s="35">
        <v>2013</v>
      </c>
      <c r="H450">
        <f>Table_8[[#This Row],[Listing Price (USD)]]/10000</f>
        <v>38.840000000000003</v>
      </c>
      <c r="I450">
        <f>Table_8[[#This Row],[Length 
(ft)]]</f>
        <v>39</v>
      </c>
      <c r="J450" s="37">
        <f>2020-Table_8[[#This Row],[Year]]</f>
        <v>7</v>
      </c>
      <c r="K450">
        <v>1896755301518.1399</v>
      </c>
      <c r="L450">
        <v>31911.0357890017</v>
      </c>
      <c r="M450">
        <v>-0.13770757391656999</v>
      </c>
      <c r="N450">
        <v>-9.0399534112288507</v>
      </c>
      <c r="O450" s="39">
        <v>34.450000000000003</v>
      </c>
      <c r="P450" s="39">
        <v>868.00199999999995</v>
      </c>
      <c r="Q450" s="39">
        <v>40</v>
      </c>
      <c r="R450" s="39">
        <v>12.53</v>
      </c>
    </row>
    <row r="451" spans="1:18" x14ac:dyDescent="0.25">
      <c r="A451" s="1" t="s">
        <v>427</v>
      </c>
      <c r="B451" s="2" t="s">
        <v>431</v>
      </c>
      <c r="C451" s="19">
        <v>39</v>
      </c>
      <c r="D451" s="3" t="s">
        <v>496</v>
      </c>
      <c r="E451" s="4" t="s">
        <v>18</v>
      </c>
      <c r="F451" s="23">
        <v>388400</v>
      </c>
      <c r="G451" s="35">
        <v>2017</v>
      </c>
      <c r="H451">
        <f>Table_8[[#This Row],[Listing Price (USD)]]/10000</f>
        <v>38.840000000000003</v>
      </c>
      <c r="I451">
        <f>Table_8[[#This Row],[Length 
(ft)]]</f>
        <v>39</v>
      </c>
      <c r="J451" s="37">
        <f>2020-Table_8[[#This Row],[Year]]</f>
        <v>3</v>
      </c>
      <c r="K451">
        <v>188925995936.80701</v>
      </c>
      <c r="L451">
        <v>17658.947301119199</v>
      </c>
      <c r="M451">
        <v>-1.2479835558140799</v>
      </c>
      <c r="N451">
        <v>-9.0040436420214593</v>
      </c>
      <c r="O451" s="39">
        <v>34.450000000000003</v>
      </c>
      <c r="P451" s="39">
        <v>868.00199999999995</v>
      </c>
      <c r="Q451" s="39">
        <v>40</v>
      </c>
      <c r="R451" s="39">
        <v>12.53</v>
      </c>
    </row>
    <row r="452" spans="1:18" x14ac:dyDescent="0.25">
      <c r="A452" s="1" t="s">
        <v>427</v>
      </c>
      <c r="B452" s="2">
        <v>400</v>
      </c>
      <c r="C452" s="19">
        <v>39</v>
      </c>
      <c r="D452" s="3" t="s">
        <v>496</v>
      </c>
      <c r="E452" s="4" t="s">
        <v>63</v>
      </c>
      <c r="F452" s="23">
        <v>400537</v>
      </c>
      <c r="G452" s="35">
        <v>2016</v>
      </c>
      <c r="H452">
        <f>Table_8[[#This Row],[Listing Price (USD)]]/10000</f>
        <v>40.053699999999999</v>
      </c>
      <c r="I452">
        <f>Table_8[[#This Row],[Length 
(ft)]]</f>
        <v>39</v>
      </c>
      <c r="J452" s="37">
        <f>2020-Table_8[[#This Row],[Year]]</f>
        <v>4</v>
      </c>
      <c r="K452">
        <v>720290000000</v>
      </c>
      <c r="L452">
        <v>13341.6</v>
      </c>
      <c r="M452">
        <v>13</v>
      </c>
      <c r="N452">
        <v>-3</v>
      </c>
      <c r="O452" s="39">
        <v>34.450000000000003</v>
      </c>
      <c r="P452" s="39">
        <v>868.00199999999995</v>
      </c>
      <c r="Q452" s="39">
        <v>40</v>
      </c>
      <c r="R452" s="39">
        <v>12.53</v>
      </c>
    </row>
    <row r="453" spans="1:18" x14ac:dyDescent="0.25">
      <c r="A453" s="1" t="s">
        <v>427</v>
      </c>
      <c r="B453" s="2">
        <v>400</v>
      </c>
      <c r="C453" s="19">
        <v>39</v>
      </c>
      <c r="D453" s="3" t="s">
        <v>495</v>
      </c>
      <c r="E453" s="3" t="s">
        <v>333</v>
      </c>
      <c r="F453" s="23">
        <v>429000</v>
      </c>
      <c r="G453" s="35">
        <v>2016</v>
      </c>
      <c r="H453">
        <f>Table_8[[#This Row],[Listing Price (USD)]]/10000</f>
        <v>42.9</v>
      </c>
      <c r="I453">
        <f>Table_8[[#This Row],[Length 
(ft)]]</f>
        <v>39</v>
      </c>
      <c r="J453" s="37">
        <f>2020-Table_8[[#This Row],[Year]]</f>
        <v>4</v>
      </c>
      <c r="K453">
        <v>1106036000000</v>
      </c>
      <c r="L453">
        <v>51276.72</v>
      </c>
      <c r="M453">
        <v>1.23</v>
      </c>
      <c r="N453">
        <v>2.9</v>
      </c>
      <c r="O453" s="39">
        <v>34.450000000000003</v>
      </c>
      <c r="P453" s="39">
        <v>868.00199999999995</v>
      </c>
      <c r="Q453" s="39">
        <v>40</v>
      </c>
      <c r="R453" s="39">
        <v>12.53</v>
      </c>
    </row>
    <row r="454" spans="1:18" x14ac:dyDescent="0.25">
      <c r="A454" s="1" t="s">
        <v>427</v>
      </c>
      <c r="B454" s="2">
        <v>400</v>
      </c>
      <c r="C454" s="19">
        <v>39</v>
      </c>
      <c r="D454" s="3" t="s">
        <v>496</v>
      </c>
      <c r="E454" s="4" t="s">
        <v>3</v>
      </c>
      <c r="F454" s="23">
        <v>454706</v>
      </c>
      <c r="G454" s="35">
        <v>2016</v>
      </c>
      <c r="H454">
        <f>Table_8[[#This Row],[Listing Price (USD)]]/10000</f>
        <v>45.470599999999997</v>
      </c>
      <c r="I454">
        <f>Table_8[[#This Row],[Length 
(ft)]]</f>
        <v>39</v>
      </c>
      <c r="J454" s="37">
        <f>2020-Table_8[[#This Row],[Year]]</f>
        <v>4</v>
      </c>
      <c r="K454">
        <v>2639008701648.2598</v>
      </c>
      <c r="L454">
        <v>39055.282928075401</v>
      </c>
      <c r="M454">
        <v>0.47649885272508302</v>
      </c>
      <c r="N454">
        <v>-7.7845864916787102</v>
      </c>
      <c r="O454" s="39">
        <v>34.450000000000003</v>
      </c>
      <c r="P454" s="39">
        <v>868.00199999999995</v>
      </c>
      <c r="Q454" s="39">
        <v>40</v>
      </c>
      <c r="R454" s="39">
        <v>12.53</v>
      </c>
    </row>
    <row r="455" spans="1:18" x14ac:dyDescent="0.25">
      <c r="A455" s="1" t="s">
        <v>427</v>
      </c>
      <c r="B455" s="2" t="s">
        <v>431</v>
      </c>
      <c r="C455" s="19">
        <v>39</v>
      </c>
      <c r="D455" s="3" t="s">
        <v>496</v>
      </c>
      <c r="E455" s="4" t="s">
        <v>3</v>
      </c>
      <c r="F455" s="23">
        <v>455156</v>
      </c>
      <c r="G455" s="35">
        <v>2016</v>
      </c>
      <c r="H455">
        <f>Table_8[[#This Row],[Listing Price (USD)]]/10000</f>
        <v>45.515599999999999</v>
      </c>
      <c r="I455">
        <f>Table_8[[#This Row],[Length 
(ft)]]</f>
        <v>39</v>
      </c>
      <c r="J455" s="37">
        <f>2020-Table_8[[#This Row],[Year]]</f>
        <v>4</v>
      </c>
      <c r="K455">
        <v>2639008701648.2598</v>
      </c>
      <c r="L455">
        <v>39055.282928075401</v>
      </c>
      <c r="M455">
        <v>0.47649885272508302</v>
      </c>
      <c r="N455">
        <v>-7.7845864916787102</v>
      </c>
      <c r="O455" s="39">
        <v>34.450000000000003</v>
      </c>
      <c r="P455" s="39">
        <v>868.00199999999995</v>
      </c>
      <c r="Q455" s="39">
        <v>40</v>
      </c>
      <c r="R455" s="39">
        <v>12.53</v>
      </c>
    </row>
    <row r="456" spans="1:18" x14ac:dyDescent="0.25">
      <c r="A456" s="1" t="s">
        <v>427</v>
      </c>
      <c r="B456" s="2">
        <v>400</v>
      </c>
      <c r="C456" s="19">
        <v>39</v>
      </c>
      <c r="D456" s="3" t="s">
        <v>496</v>
      </c>
      <c r="E456" s="4" t="s">
        <v>18</v>
      </c>
      <c r="F456" s="23">
        <v>455156</v>
      </c>
      <c r="G456" s="35">
        <v>2017</v>
      </c>
      <c r="H456">
        <f>Table_8[[#This Row],[Listing Price (USD)]]/10000</f>
        <v>45.515599999999999</v>
      </c>
      <c r="I456">
        <f>Table_8[[#This Row],[Length 
(ft)]]</f>
        <v>39</v>
      </c>
      <c r="J456" s="37">
        <f>2020-Table_8[[#This Row],[Year]]</f>
        <v>3</v>
      </c>
      <c r="K456">
        <v>188925995936.80701</v>
      </c>
      <c r="L456">
        <v>17658.947301119199</v>
      </c>
      <c r="M456">
        <v>-1.2479835558140799</v>
      </c>
      <c r="N456">
        <v>-9.0040436420214593</v>
      </c>
      <c r="O456" s="39">
        <v>34.450000000000003</v>
      </c>
      <c r="P456" s="39">
        <v>868.00199999999995</v>
      </c>
      <c r="Q456" s="39">
        <v>40</v>
      </c>
      <c r="R456" s="39">
        <v>12.53</v>
      </c>
    </row>
    <row r="457" spans="1:18" x14ac:dyDescent="0.25">
      <c r="A457" s="1" t="s">
        <v>427</v>
      </c>
      <c r="B457" s="2" t="s">
        <v>431</v>
      </c>
      <c r="C457" s="19">
        <v>39</v>
      </c>
      <c r="D457" s="3" t="s">
        <v>497</v>
      </c>
      <c r="E457" s="3" t="s">
        <v>370</v>
      </c>
      <c r="F457" s="23">
        <v>485500</v>
      </c>
      <c r="G457" s="35">
        <v>2019</v>
      </c>
      <c r="H457">
        <f>Table_8[[#This Row],[Listing Price (USD)]]/10000</f>
        <v>48.55</v>
      </c>
      <c r="I457">
        <f>Table_8[[#This Row],[Length 
(ft)]]</f>
        <v>39</v>
      </c>
      <c r="J457" s="37">
        <f>2020-Table_8[[#This Row],[Year]]</f>
        <v>1</v>
      </c>
      <c r="K457">
        <v>500000000</v>
      </c>
      <c r="L457">
        <v>34200</v>
      </c>
      <c r="M457">
        <v>1.1000000000000001</v>
      </c>
      <c r="N457">
        <v>2</v>
      </c>
      <c r="O457" s="39">
        <v>34.450000000000003</v>
      </c>
      <c r="P457" s="39">
        <v>868.00199999999995</v>
      </c>
      <c r="Q457" s="39">
        <v>40</v>
      </c>
      <c r="R457" s="39">
        <v>12.53</v>
      </c>
    </row>
    <row r="458" spans="1:18" x14ac:dyDescent="0.25">
      <c r="A458" s="1" t="s">
        <v>427</v>
      </c>
      <c r="B458" s="3">
        <v>400</v>
      </c>
      <c r="C458" s="19">
        <v>39</v>
      </c>
      <c r="D458" s="3" t="s">
        <v>497</v>
      </c>
      <c r="E458" s="3" t="s">
        <v>370</v>
      </c>
      <c r="F458" s="23">
        <v>486056</v>
      </c>
      <c r="G458" s="35">
        <v>2019</v>
      </c>
      <c r="H458">
        <f>Table_8[[#This Row],[Listing Price (USD)]]/10000</f>
        <v>48.605600000000003</v>
      </c>
      <c r="I458">
        <f>Table_8[[#This Row],[Length 
(ft)]]</f>
        <v>39</v>
      </c>
      <c r="J458" s="37">
        <f>2020-Table_8[[#This Row],[Year]]</f>
        <v>1</v>
      </c>
      <c r="K458">
        <v>500000000</v>
      </c>
      <c r="L458">
        <v>34200</v>
      </c>
      <c r="M458">
        <v>1.1000000000000001</v>
      </c>
      <c r="N458">
        <v>2</v>
      </c>
      <c r="O458" s="39">
        <v>34.450000000000003</v>
      </c>
      <c r="P458" s="39">
        <v>868.00199999999995</v>
      </c>
      <c r="Q458" s="39">
        <v>40</v>
      </c>
      <c r="R458" s="39">
        <v>12.53</v>
      </c>
    </row>
    <row r="459" spans="1:18" x14ac:dyDescent="0.25">
      <c r="A459" s="1" t="s">
        <v>427</v>
      </c>
      <c r="B459" s="2" t="s">
        <v>431</v>
      </c>
      <c r="C459" s="19">
        <v>39</v>
      </c>
      <c r="D459" s="3" t="s">
        <v>496</v>
      </c>
      <c r="E459" s="4" t="s">
        <v>124</v>
      </c>
      <c r="F459" s="23">
        <v>511198</v>
      </c>
      <c r="G459" s="35">
        <v>2017</v>
      </c>
      <c r="H459">
        <f>Table_8[[#This Row],[Listing Price (USD)]]/10000</f>
        <v>51.119799999999998</v>
      </c>
      <c r="I459">
        <f>Table_8[[#This Row],[Length 
(ft)]]</f>
        <v>39</v>
      </c>
      <c r="J459" s="37">
        <f>2020-Table_8[[#This Row],[Year]]</f>
        <v>3</v>
      </c>
      <c r="K459">
        <v>547054174235.87598</v>
      </c>
      <c r="L459">
        <v>52837.903977814902</v>
      </c>
      <c r="M459">
        <v>0.497367318853562</v>
      </c>
      <c r="N459">
        <v>-2.1702131788587198</v>
      </c>
      <c r="O459" s="39">
        <v>34.450000000000003</v>
      </c>
      <c r="P459" s="39">
        <v>868.00199999999995</v>
      </c>
      <c r="Q459" s="39">
        <v>40</v>
      </c>
      <c r="R459" s="39">
        <v>12.53</v>
      </c>
    </row>
    <row r="460" spans="1:18" x14ac:dyDescent="0.25">
      <c r="A460" s="1" t="s">
        <v>444</v>
      </c>
      <c r="B460" s="2">
        <v>402</v>
      </c>
      <c r="C460" s="19">
        <v>40</v>
      </c>
      <c r="D460" s="3" t="s">
        <v>495</v>
      </c>
      <c r="E460" s="3" t="s">
        <v>333</v>
      </c>
      <c r="F460" s="23">
        <v>199990</v>
      </c>
      <c r="G460" s="35">
        <v>2006</v>
      </c>
      <c r="H460">
        <f>Table_8[[#This Row],[Listing Price (USD)]]/10000</f>
        <v>19.998999999999999</v>
      </c>
      <c r="I460">
        <f>Table_8[[#This Row],[Length 
(ft)]]</f>
        <v>40</v>
      </c>
      <c r="J460" s="37">
        <f>2020-Table_8[[#This Row],[Year]]</f>
        <v>14</v>
      </c>
      <c r="K460">
        <v>1106036000000</v>
      </c>
      <c r="L460">
        <v>51276.72</v>
      </c>
      <c r="M460">
        <v>1.23</v>
      </c>
      <c r="N460">
        <v>2.9</v>
      </c>
      <c r="O460" s="39">
        <v>38.29</v>
      </c>
      <c r="P460" s="39">
        <v>957</v>
      </c>
      <c r="Q460" s="39">
        <v>53</v>
      </c>
      <c r="R460" s="39">
        <v>26.25</v>
      </c>
    </row>
    <row r="461" spans="1:18" x14ac:dyDescent="0.25">
      <c r="A461" s="1" t="s">
        <v>427</v>
      </c>
      <c r="B461" s="2">
        <v>410</v>
      </c>
      <c r="C461" s="19">
        <v>40.5</v>
      </c>
      <c r="D461" s="3" t="s">
        <v>497</v>
      </c>
      <c r="E461" s="3" t="s">
        <v>392</v>
      </c>
      <c r="F461" s="23">
        <v>225000</v>
      </c>
      <c r="G461" s="35">
        <v>2005</v>
      </c>
      <c r="H461">
        <f>Table_8[[#This Row],[Listing Price (USD)]]/10000</f>
        <v>22.5</v>
      </c>
      <c r="I461">
        <f>Table_8[[#This Row],[Length 
(ft)]]</f>
        <v>40.5</v>
      </c>
      <c r="J461" s="37">
        <f>2020-Table_8[[#This Row],[Year]]</f>
        <v>15</v>
      </c>
      <c r="K461">
        <v>1043414814.81481</v>
      </c>
      <c r="L461">
        <v>8437.5667322870595</v>
      </c>
      <c r="M461">
        <v>-0.74073259704550098</v>
      </c>
      <c r="N461">
        <v>-13.7559294530644</v>
      </c>
      <c r="O461" s="39">
        <v>38.29</v>
      </c>
      <c r="P461" s="39">
        <v>957</v>
      </c>
      <c r="Q461" s="39">
        <v>53</v>
      </c>
      <c r="R461" s="39">
        <v>26.25</v>
      </c>
    </row>
    <row r="462" spans="1:18" x14ac:dyDescent="0.25">
      <c r="A462" s="1" t="s">
        <v>427</v>
      </c>
      <c r="B462" s="2">
        <v>410</v>
      </c>
      <c r="C462" s="19">
        <v>40.5</v>
      </c>
      <c r="D462" s="3" t="s">
        <v>495</v>
      </c>
      <c r="E462" s="3" t="s">
        <v>333</v>
      </c>
      <c r="F462" s="23">
        <v>235000</v>
      </c>
      <c r="G462" s="35">
        <v>2005</v>
      </c>
      <c r="H462">
        <f>Table_8[[#This Row],[Listing Price (USD)]]/10000</f>
        <v>23.5</v>
      </c>
      <c r="I462">
        <f>Table_8[[#This Row],[Length 
(ft)]]</f>
        <v>40.5</v>
      </c>
      <c r="J462" s="37">
        <f>2020-Table_8[[#This Row],[Year]]</f>
        <v>15</v>
      </c>
      <c r="K462">
        <v>1106036000000</v>
      </c>
      <c r="L462">
        <v>51276.72</v>
      </c>
      <c r="M462">
        <v>1.23</v>
      </c>
      <c r="N462">
        <v>2.9</v>
      </c>
      <c r="O462" s="39">
        <v>38.29</v>
      </c>
      <c r="P462" s="39">
        <v>957</v>
      </c>
      <c r="Q462" s="39">
        <v>53</v>
      </c>
      <c r="R462" s="39">
        <v>26.25</v>
      </c>
    </row>
    <row r="463" spans="1:18" x14ac:dyDescent="0.25">
      <c r="A463" s="1" t="s">
        <v>402</v>
      </c>
      <c r="B463" s="2" t="s">
        <v>474</v>
      </c>
      <c r="C463" s="19">
        <v>42</v>
      </c>
      <c r="D463" s="3" t="s">
        <v>497</v>
      </c>
      <c r="E463" s="3" t="s">
        <v>392</v>
      </c>
      <c r="F463" s="23">
        <v>330000</v>
      </c>
      <c r="G463" s="35">
        <v>2005</v>
      </c>
      <c r="H463">
        <f>Table_8[[#This Row],[Listing Price (USD)]]/10000</f>
        <v>33</v>
      </c>
      <c r="I463">
        <f>Table_8[[#This Row],[Length 
(ft)]]</f>
        <v>42</v>
      </c>
      <c r="J463" s="36">
        <f>2020-Table_8[[#This Row],[Year]]</f>
        <v>15</v>
      </c>
      <c r="K463">
        <v>1043414814.81481</v>
      </c>
      <c r="L463">
        <v>8437.5667322870595</v>
      </c>
      <c r="M463">
        <v>-0.74073259704550098</v>
      </c>
      <c r="N463">
        <v>-13.7559294530644</v>
      </c>
      <c r="O463" s="39">
        <v>37.4</v>
      </c>
      <c r="P463" s="39">
        <v>899.00199999999995</v>
      </c>
      <c r="Q463" s="39">
        <v>42</v>
      </c>
      <c r="R463" s="39">
        <v>13.68</v>
      </c>
    </row>
    <row r="464" spans="1:18" x14ac:dyDescent="0.25">
      <c r="A464" s="1" t="s">
        <v>402</v>
      </c>
      <c r="B464" s="2">
        <v>415</v>
      </c>
      <c r="C464" s="19">
        <v>42</v>
      </c>
      <c r="D464" s="3" t="s">
        <v>496</v>
      </c>
      <c r="E464" s="4" t="s">
        <v>9</v>
      </c>
      <c r="F464" s="23">
        <v>363802</v>
      </c>
      <c r="G464" s="35">
        <v>2009</v>
      </c>
      <c r="H464">
        <f>Table_8[[#This Row],[Listing Price (USD)]]/10000</f>
        <v>36.380200000000002</v>
      </c>
      <c r="I464">
        <f>Table_8[[#This Row],[Length 
(ft)]]</f>
        <v>42</v>
      </c>
      <c r="J464" s="37">
        <f>2020-Table_8[[#This Row],[Year]]</f>
        <v>11</v>
      </c>
      <c r="K464">
        <v>1276962685648.25</v>
      </c>
      <c r="L464">
        <v>26959.675436732599</v>
      </c>
      <c r="M464">
        <v>-0.32275301729970501</v>
      </c>
      <c r="N464">
        <v>-11.3254383222864</v>
      </c>
      <c r="O464" s="39">
        <v>37.4</v>
      </c>
      <c r="P464" s="39">
        <v>899.00199999999995</v>
      </c>
      <c r="Q464" s="39">
        <v>42</v>
      </c>
      <c r="R464" s="39">
        <v>13.68</v>
      </c>
    </row>
    <row r="465" spans="1:18" x14ac:dyDescent="0.25">
      <c r="A465" s="1" t="s">
        <v>402</v>
      </c>
      <c r="B465" s="2">
        <v>415</v>
      </c>
      <c r="C465" s="19">
        <v>42</v>
      </c>
      <c r="D465" s="3" t="s">
        <v>496</v>
      </c>
      <c r="E465" s="4" t="s">
        <v>9</v>
      </c>
      <c r="F465" s="23">
        <v>364170</v>
      </c>
      <c r="G465" s="35">
        <v>2009</v>
      </c>
      <c r="H465">
        <f>Table_8[[#This Row],[Listing Price (USD)]]/10000</f>
        <v>36.417000000000002</v>
      </c>
      <c r="I465">
        <f>Table_8[[#This Row],[Length 
(ft)]]</f>
        <v>42</v>
      </c>
      <c r="J465" s="37">
        <f>2020-Table_8[[#This Row],[Year]]</f>
        <v>11</v>
      </c>
      <c r="K465">
        <v>1276962685648.25</v>
      </c>
      <c r="L465">
        <v>26959.675436732599</v>
      </c>
      <c r="M465">
        <v>-0.32275301729970501</v>
      </c>
      <c r="N465">
        <v>-11.3254383222864</v>
      </c>
      <c r="O465" s="39">
        <v>37.4</v>
      </c>
      <c r="P465" s="39">
        <v>899.00199999999995</v>
      </c>
      <c r="Q465" s="39">
        <v>42</v>
      </c>
      <c r="R465" s="39">
        <v>13.68</v>
      </c>
    </row>
    <row r="466" spans="1:18" x14ac:dyDescent="0.25">
      <c r="A466" s="1" t="s">
        <v>427</v>
      </c>
      <c r="B466" s="2">
        <v>420</v>
      </c>
      <c r="C466" s="19">
        <v>41</v>
      </c>
      <c r="D466" s="3" t="s">
        <v>495</v>
      </c>
      <c r="E466" s="3" t="s">
        <v>333</v>
      </c>
      <c r="F466" s="23">
        <v>280000</v>
      </c>
      <c r="G466" s="35">
        <v>2009</v>
      </c>
      <c r="H466">
        <f>Table_8[[#This Row],[Listing Price (USD)]]/10000</f>
        <v>28</v>
      </c>
      <c r="I466">
        <f>Table_8[[#This Row],[Length 
(ft)]]</f>
        <v>41</v>
      </c>
      <c r="J466" s="37">
        <f>2020-Table_8[[#This Row],[Year]]</f>
        <v>11</v>
      </c>
      <c r="K466">
        <v>1106036000000</v>
      </c>
      <c r="L466">
        <v>51276.72</v>
      </c>
      <c r="M466">
        <v>1.23</v>
      </c>
      <c r="N466">
        <v>2.9</v>
      </c>
      <c r="O466" s="39">
        <v>40.33</v>
      </c>
      <c r="P466" s="39">
        <v>809</v>
      </c>
      <c r="Q466" s="39">
        <v>79</v>
      </c>
      <c r="R466" s="39">
        <v>24.58</v>
      </c>
    </row>
    <row r="467" spans="1:18" x14ac:dyDescent="0.25">
      <c r="A467" s="1" t="s">
        <v>441</v>
      </c>
      <c r="B467" s="2">
        <v>420</v>
      </c>
      <c r="C467" s="19">
        <v>41</v>
      </c>
      <c r="D467" s="3" t="s">
        <v>495</v>
      </c>
      <c r="E467" s="3" t="s">
        <v>333</v>
      </c>
      <c r="F467" s="23">
        <v>280000</v>
      </c>
      <c r="G467" s="35">
        <v>2009</v>
      </c>
      <c r="H467">
        <f>Table_8[[#This Row],[Listing Price (USD)]]/10000</f>
        <v>28</v>
      </c>
      <c r="I467">
        <f>Table_8[[#This Row],[Length 
(ft)]]</f>
        <v>41</v>
      </c>
      <c r="J467" s="37">
        <f>2020-Table_8[[#This Row],[Year]]</f>
        <v>11</v>
      </c>
      <c r="K467">
        <v>1106036000000</v>
      </c>
      <c r="L467">
        <v>51276.72</v>
      </c>
      <c r="M467">
        <v>1.23</v>
      </c>
      <c r="N467">
        <v>2.9</v>
      </c>
      <c r="O467" s="39">
        <v>40.33</v>
      </c>
      <c r="P467" s="39">
        <v>809</v>
      </c>
      <c r="Q467" s="39">
        <v>79</v>
      </c>
      <c r="R467" s="39">
        <v>24.58</v>
      </c>
    </row>
    <row r="468" spans="1:18" x14ac:dyDescent="0.25">
      <c r="A468" s="1" t="s">
        <v>427</v>
      </c>
      <c r="B468" s="3">
        <v>420</v>
      </c>
      <c r="C468" s="19">
        <v>41</v>
      </c>
      <c r="D468" s="3" t="s">
        <v>497</v>
      </c>
      <c r="E468" s="3" t="s">
        <v>476</v>
      </c>
      <c r="F468" s="23">
        <v>297560</v>
      </c>
      <c r="G468" s="35">
        <v>2008</v>
      </c>
      <c r="H468">
        <f>Table_8[[#This Row],[Listing Price (USD)]]/10000</f>
        <v>29.756</v>
      </c>
      <c r="I468">
        <f>Table_8[[#This Row],[Length 
(ft)]]</f>
        <v>41</v>
      </c>
      <c r="J468" s="37">
        <f>2020-Table_8[[#This Row],[Year]]</f>
        <v>12</v>
      </c>
      <c r="K468">
        <v>681973374534.10596</v>
      </c>
      <c r="L468">
        <v>27575.495000325591</v>
      </c>
      <c r="M468">
        <v>0.8848420113691905</v>
      </c>
      <c r="N468">
        <v>-6.3525291034127971</v>
      </c>
      <c r="O468" s="39">
        <v>40.33</v>
      </c>
      <c r="P468" s="39">
        <v>809</v>
      </c>
      <c r="Q468" s="39">
        <v>79</v>
      </c>
      <c r="R468" s="39">
        <v>24.58</v>
      </c>
    </row>
    <row r="469" spans="1:18" x14ac:dyDescent="0.25">
      <c r="A469" s="1" t="s">
        <v>427</v>
      </c>
      <c r="B469" s="2">
        <v>420</v>
      </c>
      <c r="C469" s="19">
        <v>41</v>
      </c>
      <c r="D469" s="3" t="s">
        <v>497</v>
      </c>
      <c r="E469" s="3" t="s">
        <v>476</v>
      </c>
      <c r="F469" s="23">
        <v>297902</v>
      </c>
      <c r="G469" s="35">
        <v>2008</v>
      </c>
      <c r="H469">
        <f>Table_8[[#This Row],[Listing Price (USD)]]/10000</f>
        <v>29.790199999999999</v>
      </c>
      <c r="I469">
        <f>Table_8[[#This Row],[Length 
(ft)]]</f>
        <v>41</v>
      </c>
      <c r="J469" s="37">
        <f>2020-Table_8[[#This Row],[Year]]</f>
        <v>12</v>
      </c>
      <c r="K469">
        <v>681973374534.10596</v>
      </c>
      <c r="L469">
        <v>27575.495000325591</v>
      </c>
      <c r="M469">
        <v>0.8848420113691905</v>
      </c>
      <c r="N469">
        <v>-6.3525291034127971</v>
      </c>
      <c r="O469" s="39">
        <v>40.33</v>
      </c>
      <c r="P469" s="39">
        <v>809</v>
      </c>
      <c r="Q469" s="39">
        <v>79</v>
      </c>
      <c r="R469" s="39">
        <v>24.58</v>
      </c>
    </row>
    <row r="470" spans="1:18" x14ac:dyDescent="0.25">
      <c r="A470" s="1" t="s">
        <v>427</v>
      </c>
      <c r="B470" s="2">
        <v>420</v>
      </c>
      <c r="C470" s="19">
        <v>41</v>
      </c>
      <c r="D470" s="3" t="s">
        <v>496</v>
      </c>
      <c r="E470" s="3" t="s">
        <v>18</v>
      </c>
      <c r="F470" s="23">
        <v>303633</v>
      </c>
      <c r="G470" s="35">
        <v>2008</v>
      </c>
      <c r="H470">
        <f>Table_8[[#This Row],[Listing Price (USD)]]/10000</f>
        <v>30.363299999999999</v>
      </c>
      <c r="I470">
        <f>Table_8[[#This Row],[Length 
(ft)]]</f>
        <v>41</v>
      </c>
      <c r="J470" s="37">
        <f>2020-Table_8[[#This Row],[Year]]</f>
        <v>12</v>
      </c>
      <c r="K470">
        <v>188925995936.80701</v>
      </c>
      <c r="L470">
        <v>17658.947301119199</v>
      </c>
      <c r="M470">
        <v>-1.2479835558140799</v>
      </c>
      <c r="N470">
        <v>-9.0040436420214593</v>
      </c>
      <c r="O470" s="39">
        <v>40.33</v>
      </c>
      <c r="P470" s="39">
        <v>809</v>
      </c>
      <c r="Q470" s="39">
        <v>79</v>
      </c>
      <c r="R470" s="39">
        <v>24.58</v>
      </c>
    </row>
    <row r="471" spans="1:18" x14ac:dyDescent="0.25">
      <c r="A471" s="1" t="s">
        <v>427</v>
      </c>
      <c r="B471" s="2">
        <v>420</v>
      </c>
      <c r="C471" s="19">
        <v>41</v>
      </c>
      <c r="D471" s="3" t="s">
        <v>496</v>
      </c>
      <c r="E471" s="4" t="s">
        <v>18</v>
      </c>
      <c r="F471" s="23">
        <v>303982</v>
      </c>
      <c r="G471" s="35">
        <v>2008</v>
      </c>
      <c r="H471">
        <f>Table_8[[#This Row],[Listing Price (USD)]]/10000</f>
        <v>30.398199999999999</v>
      </c>
      <c r="I471">
        <f>Table_8[[#This Row],[Length 
(ft)]]</f>
        <v>41</v>
      </c>
      <c r="J471" s="37">
        <f>2020-Table_8[[#This Row],[Year]]</f>
        <v>12</v>
      </c>
      <c r="K471">
        <v>188925995936.80701</v>
      </c>
      <c r="L471">
        <v>17658.947301119199</v>
      </c>
      <c r="M471">
        <v>-1.2479835558140799</v>
      </c>
      <c r="N471">
        <v>-9.0040436420214593</v>
      </c>
      <c r="O471" s="39">
        <v>40.33</v>
      </c>
      <c r="P471" s="39">
        <v>809</v>
      </c>
      <c r="Q471" s="39">
        <v>79</v>
      </c>
      <c r="R471" s="39">
        <v>24.58</v>
      </c>
    </row>
    <row r="472" spans="1:18" x14ac:dyDescent="0.25">
      <c r="A472" s="1" t="s">
        <v>427</v>
      </c>
      <c r="B472" s="2">
        <v>420</v>
      </c>
      <c r="C472" s="19">
        <v>41</v>
      </c>
      <c r="D472" s="3" t="s">
        <v>495</v>
      </c>
      <c r="E472" s="3" t="s">
        <v>333</v>
      </c>
      <c r="F472" s="23">
        <v>309000</v>
      </c>
      <c r="G472" s="35">
        <v>2009</v>
      </c>
      <c r="H472">
        <f>Table_8[[#This Row],[Listing Price (USD)]]/10000</f>
        <v>30.9</v>
      </c>
      <c r="I472">
        <f>Table_8[[#This Row],[Length 
(ft)]]</f>
        <v>41</v>
      </c>
      <c r="J472" s="37">
        <f>2020-Table_8[[#This Row],[Year]]</f>
        <v>11</v>
      </c>
      <c r="K472">
        <v>1106036000000</v>
      </c>
      <c r="L472">
        <v>51276.72</v>
      </c>
      <c r="M472">
        <v>1.23</v>
      </c>
      <c r="N472">
        <v>2.9</v>
      </c>
      <c r="O472" s="39">
        <v>40.33</v>
      </c>
      <c r="P472" s="39">
        <v>809</v>
      </c>
      <c r="Q472" s="39">
        <v>79</v>
      </c>
      <c r="R472" s="39">
        <v>24.58</v>
      </c>
    </row>
    <row r="473" spans="1:18" x14ac:dyDescent="0.25">
      <c r="A473" s="1" t="s">
        <v>427</v>
      </c>
      <c r="B473" s="2">
        <v>420</v>
      </c>
      <c r="C473" s="19">
        <v>41</v>
      </c>
      <c r="D473" s="3" t="s">
        <v>497</v>
      </c>
      <c r="E473" s="3" t="s">
        <v>370</v>
      </c>
      <c r="F473" s="23">
        <v>309079</v>
      </c>
      <c r="G473" s="35">
        <v>2008</v>
      </c>
      <c r="H473">
        <f>Table_8[[#This Row],[Listing Price (USD)]]/10000</f>
        <v>30.907900000000001</v>
      </c>
      <c r="I473">
        <f>Table_8[[#This Row],[Length 
(ft)]]</f>
        <v>41</v>
      </c>
      <c r="J473" s="37">
        <f>2020-Table_8[[#This Row],[Year]]</f>
        <v>12</v>
      </c>
      <c r="K473">
        <v>500000000</v>
      </c>
      <c r="L473">
        <v>34200</v>
      </c>
      <c r="M473">
        <v>1.1000000000000001</v>
      </c>
      <c r="N473">
        <v>2</v>
      </c>
      <c r="O473" s="39">
        <v>40.33</v>
      </c>
      <c r="P473" s="39">
        <v>809</v>
      </c>
      <c r="Q473" s="39">
        <v>79</v>
      </c>
      <c r="R473" s="39">
        <v>24.58</v>
      </c>
    </row>
    <row r="474" spans="1:18" x14ac:dyDescent="0.25">
      <c r="A474" s="1" t="s">
        <v>427</v>
      </c>
      <c r="B474" s="3">
        <v>420</v>
      </c>
      <c r="C474" s="19">
        <v>41</v>
      </c>
      <c r="D474" s="3" t="s">
        <v>497</v>
      </c>
      <c r="E474" s="3" t="s">
        <v>476</v>
      </c>
      <c r="F474" s="23">
        <v>309705</v>
      </c>
      <c r="G474" s="35">
        <v>2008</v>
      </c>
      <c r="H474">
        <f>Table_8[[#This Row],[Listing Price (USD)]]/10000</f>
        <v>30.970500000000001</v>
      </c>
      <c r="I474">
        <f>Table_8[[#This Row],[Length 
(ft)]]</f>
        <v>41</v>
      </c>
      <c r="J474" s="37">
        <f>2020-Table_8[[#This Row],[Year]]</f>
        <v>12</v>
      </c>
      <c r="K474">
        <v>681973374534.10596</v>
      </c>
      <c r="L474">
        <v>27575.495000325591</v>
      </c>
      <c r="M474">
        <v>0.8848420113691905</v>
      </c>
      <c r="N474">
        <v>-6.3525291034127971</v>
      </c>
      <c r="O474" s="39">
        <v>40.33</v>
      </c>
      <c r="P474" s="39">
        <v>809</v>
      </c>
      <c r="Q474" s="39">
        <v>79</v>
      </c>
      <c r="R474" s="39">
        <v>24.58</v>
      </c>
    </row>
    <row r="475" spans="1:18" x14ac:dyDescent="0.25">
      <c r="A475" s="1" t="s">
        <v>427</v>
      </c>
      <c r="B475" s="3">
        <v>420</v>
      </c>
      <c r="C475" s="19">
        <v>41</v>
      </c>
      <c r="D475" s="3" t="s">
        <v>497</v>
      </c>
      <c r="E475" s="3" t="s">
        <v>370</v>
      </c>
      <c r="F475" s="23">
        <v>309739</v>
      </c>
      <c r="G475" s="35">
        <v>2008</v>
      </c>
      <c r="H475">
        <f>Table_8[[#This Row],[Listing Price (USD)]]/10000</f>
        <v>30.9739</v>
      </c>
      <c r="I475">
        <f>Table_8[[#This Row],[Length 
(ft)]]</f>
        <v>41</v>
      </c>
      <c r="J475" s="37">
        <f>2020-Table_8[[#This Row],[Year]]</f>
        <v>12</v>
      </c>
      <c r="K475">
        <v>500000000</v>
      </c>
      <c r="L475">
        <v>34200</v>
      </c>
      <c r="M475">
        <v>1.1000000000000001</v>
      </c>
      <c r="N475">
        <v>2</v>
      </c>
      <c r="O475" s="39">
        <v>40.33</v>
      </c>
      <c r="P475" s="39">
        <v>809</v>
      </c>
      <c r="Q475" s="39">
        <v>79</v>
      </c>
      <c r="R475" s="39">
        <v>24.58</v>
      </c>
    </row>
    <row r="476" spans="1:18" x14ac:dyDescent="0.25">
      <c r="A476" s="1" t="s">
        <v>427</v>
      </c>
      <c r="B476" s="2">
        <v>420</v>
      </c>
      <c r="C476" s="19">
        <v>41</v>
      </c>
      <c r="D476" s="3" t="s">
        <v>497</v>
      </c>
      <c r="E476" s="3" t="s">
        <v>476</v>
      </c>
      <c r="F476" s="23">
        <v>310061</v>
      </c>
      <c r="G476" s="35">
        <v>2008</v>
      </c>
      <c r="H476">
        <f>Table_8[[#This Row],[Listing Price (USD)]]/10000</f>
        <v>31.0061</v>
      </c>
      <c r="I476">
        <f>Table_8[[#This Row],[Length 
(ft)]]</f>
        <v>41</v>
      </c>
      <c r="J476" s="37">
        <f>2020-Table_8[[#This Row],[Year]]</f>
        <v>12</v>
      </c>
      <c r="K476">
        <v>681973374534.10596</v>
      </c>
      <c r="L476">
        <v>27575.495000325591</v>
      </c>
      <c r="M476">
        <v>0.8848420113691905</v>
      </c>
      <c r="N476">
        <v>-6.3525291034127971</v>
      </c>
      <c r="O476" s="39">
        <v>40.33</v>
      </c>
      <c r="P476" s="39">
        <v>809</v>
      </c>
      <c r="Q476" s="39">
        <v>79</v>
      </c>
      <c r="R476" s="39">
        <v>24.58</v>
      </c>
    </row>
    <row r="477" spans="1:18" x14ac:dyDescent="0.25">
      <c r="A477" s="1" t="s">
        <v>427</v>
      </c>
      <c r="B477" s="2">
        <v>420</v>
      </c>
      <c r="C477" s="19">
        <v>41</v>
      </c>
      <c r="D477" s="3" t="s">
        <v>496</v>
      </c>
      <c r="E477" s="4" t="s">
        <v>22</v>
      </c>
      <c r="F477" s="23">
        <v>314925</v>
      </c>
      <c r="G477" s="35">
        <v>2007</v>
      </c>
      <c r="H477">
        <f>Table_8[[#This Row],[Listing Price (USD)]]/10000</f>
        <v>31.4925</v>
      </c>
      <c r="I477">
        <f>Table_8[[#This Row],[Length 
(ft)]]</f>
        <v>41</v>
      </c>
      <c r="J477" s="37">
        <f>2020-Table_8[[#This Row],[Year]]</f>
        <v>13</v>
      </c>
      <c r="K477">
        <v>3889668895299.6201</v>
      </c>
      <c r="L477">
        <v>46772.825350754501</v>
      </c>
      <c r="M477">
        <v>0.50668988995327402</v>
      </c>
      <c r="N477">
        <v>-3.6967887053804298</v>
      </c>
      <c r="O477" s="39">
        <v>40.33</v>
      </c>
      <c r="P477" s="39">
        <v>809</v>
      </c>
      <c r="Q477" s="39">
        <v>79</v>
      </c>
      <c r="R477" s="39">
        <v>24.58</v>
      </c>
    </row>
    <row r="478" spans="1:18" x14ac:dyDescent="0.25">
      <c r="A478" s="1" t="s">
        <v>427</v>
      </c>
      <c r="B478" s="2">
        <v>420</v>
      </c>
      <c r="C478" s="19">
        <v>41</v>
      </c>
      <c r="D478" s="3" t="s">
        <v>496</v>
      </c>
      <c r="E478" s="4" t="s">
        <v>9</v>
      </c>
      <c r="F478" s="23">
        <v>327712</v>
      </c>
      <c r="G478" s="35">
        <v>2008</v>
      </c>
      <c r="H478">
        <f>Table_8[[#This Row],[Listing Price (USD)]]/10000</f>
        <v>32.7712</v>
      </c>
      <c r="I478">
        <f>Table_8[[#This Row],[Length 
(ft)]]</f>
        <v>41</v>
      </c>
      <c r="J478" s="37">
        <f>2020-Table_8[[#This Row],[Year]]</f>
        <v>12</v>
      </c>
      <c r="K478">
        <v>1276962685648.25</v>
      </c>
      <c r="L478">
        <v>26959.675436732599</v>
      </c>
      <c r="M478">
        <v>-0.32275301729970501</v>
      </c>
      <c r="N478">
        <v>-11.3254383222864</v>
      </c>
      <c r="O478" s="39">
        <v>40.33</v>
      </c>
      <c r="P478" s="39">
        <v>809</v>
      </c>
      <c r="Q478" s="39">
        <v>79</v>
      </c>
      <c r="R478" s="39">
        <v>24.58</v>
      </c>
    </row>
    <row r="479" spans="1:18" x14ac:dyDescent="0.25">
      <c r="A479" s="1" t="s">
        <v>427</v>
      </c>
      <c r="B479" s="2">
        <v>420</v>
      </c>
      <c r="C479" s="19">
        <v>41</v>
      </c>
      <c r="D479" s="3" t="s">
        <v>496</v>
      </c>
      <c r="E479" s="4" t="s">
        <v>9</v>
      </c>
      <c r="F479" s="23">
        <v>327968</v>
      </c>
      <c r="G479" s="35">
        <v>2008</v>
      </c>
      <c r="H479">
        <f>Table_8[[#This Row],[Listing Price (USD)]]/10000</f>
        <v>32.796799999999998</v>
      </c>
      <c r="I479">
        <f>Table_8[[#This Row],[Length 
(ft)]]</f>
        <v>41</v>
      </c>
      <c r="J479" s="37">
        <f>2020-Table_8[[#This Row],[Year]]</f>
        <v>12</v>
      </c>
      <c r="K479">
        <v>1276962685648.25</v>
      </c>
      <c r="L479">
        <v>26959.675436732599</v>
      </c>
      <c r="M479">
        <v>-0.32275301729970501</v>
      </c>
      <c r="N479">
        <v>-11.3254383222864</v>
      </c>
      <c r="O479" s="39">
        <v>40.33</v>
      </c>
      <c r="P479" s="39">
        <v>809</v>
      </c>
      <c r="Q479" s="39">
        <v>79</v>
      </c>
      <c r="R479" s="39">
        <v>24.58</v>
      </c>
    </row>
    <row r="480" spans="1:18" x14ac:dyDescent="0.25">
      <c r="A480" s="1" t="s">
        <v>427</v>
      </c>
      <c r="B480" s="2">
        <v>420</v>
      </c>
      <c r="C480" s="19">
        <v>41</v>
      </c>
      <c r="D480" s="3" t="s">
        <v>496</v>
      </c>
      <c r="E480" s="4" t="s">
        <v>3</v>
      </c>
      <c r="F480" s="23">
        <v>337640</v>
      </c>
      <c r="G480" s="35">
        <v>2008</v>
      </c>
      <c r="H480">
        <f>Table_8[[#This Row],[Listing Price (USD)]]/10000</f>
        <v>33.764000000000003</v>
      </c>
      <c r="I480">
        <f>Table_8[[#This Row],[Length 
(ft)]]</f>
        <v>41</v>
      </c>
      <c r="J480" s="37">
        <f>2020-Table_8[[#This Row],[Year]]</f>
        <v>12</v>
      </c>
      <c r="K480">
        <v>2639008701648.2598</v>
      </c>
      <c r="L480">
        <v>39055.282928075401</v>
      </c>
      <c r="M480">
        <v>0.47649885272508302</v>
      </c>
      <c r="N480">
        <v>-7.7845864916787102</v>
      </c>
      <c r="O480" s="39">
        <v>40.33</v>
      </c>
      <c r="P480" s="39">
        <v>809</v>
      </c>
      <c r="Q480" s="39">
        <v>79</v>
      </c>
      <c r="R480" s="39">
        <v>24.58</v>
      </c>
    </row>
    <row r="481" spans="1:18" x14ac:dyDescent="0.25">
      <c r="A481" s="1" t="s">
        <v>427</v>
      </c>
      <c r="B481" s="3">
        <v>420</v>
      </c>
      <c r="C481" s="19">
        <v>41</v>
      </c>
      <c r="D481" s="3" t="s">
        <v>497</v>
      </c>
      <c r="E481" s="3" t="s">
        <v>483</v>
      </c>
      <c r="F481" s="23">
        <v>337640</v>
      </c>
      <c r="G481" s="35">
        <v>2008</v>
      </c>
      <c r="H481">
        <f>Table_8[[#This Row],[Listing Price (USD)]]/10000</f>
        <v>33.764000000000003</v>
      </c>
      <c r="I481">
        <f>Table_8[[#This Row],[Length 
(ft)]]</f>
        <v>41</v>
      </c>
      <c r="J481" s="37">
        <f>2020-Table_8[[#This Row],[Year]]</f>
        <v>12</v>
      </c>
      <c r="K481">
        <v>4200000000</v>
      </c>
      <c r="L481">
        <v>39553.199999999997</v>
      </c>
      <c r="M481">
        <v>2.5</v>
      </c>
      <c r="N481">
        <v>-2.1</v>
      </c>
      <c r="O481" s="39">
        <v>40.33</v>
      </c>
      <c r="P481" s="39">
        <v>809</v>
      </c>
      <c r="Q481" s="39">
        <v>79</v>
      </c>
      <c r="R481" s="39">
        <v>24.58</v>
      </c>
    </row>
    <row r="482" spans="1:18" x14ac:dyDescent="0.25">
      <c r="A482" s="1" t="s">
        <v>427</v>
      </c>
      <c r="B482" s="2">
        <v>420</v>
      </c>
      <c r="C482" s="19">
        <v>41</v>
      </c>
      <c r="D482" s="3" t="s">
        <v>496</v>
      </c>
      <c r="E482" s="4" t="s">
        <v>3</v>
      </c>
      <c r="F482" s="23">
        <v>338028</v>
      </c>
      <c r="G482" s="35">
        <v>2008</v>
      </c>
      <c r="H482">
        <f>Table_8[[#This Row],[Listing Price (USD)]]/10000</f>
        <v>33.802799999999998</v>
      </c>
      <c r="I482">
        <f>Table_8[[#This Row],[Length 
(ft)]]</f>
        <v>41</v>
      </c>
      <c r="J482" s="37">
        <f>2020-Table_8[[#This Row],[Year]]</f>
        <v>12</v>
      </c>
      <c r="K482">
        <v>2639008701648.2598</v>
      </c>
      <c r="L482">
        <v>39055.282928075401</v>
      </c>
      <c r="M482">
        <v>0.47649885272508302</v>
      </c>
      <c r="N482">
        <v>-7.7845864916787102</v>
      </c>
      <c r="O482" s="39">
        <v>40.33</v>
      </c>
      <c r="P482" s="39">
        <v>809</v>
      </c>
      <c r="Q482" s="39">
        <v>79</v>
      </c>
      <c r="R482" s="39">
        <v>24.58</v>
      </c>
    </row>
    <row r="483" spans="1:18" x14ac:dyDescent="0.25">
      <c r="A483" s="1" t="s">
        <v>427</v>
      </c>
      <c r="B483" s="2">
        <v>420</v>
      </c>
      <c r="C483" s="19">
        <v>41</v>
      </c>
      <c r="D483" s="3" t="s">
        <v>497</v>
      </c>
      <c r="E483" s="3" t="s">
        <v>483</v>
      </c>
      <c r="F483" s="23">
        <v>338028</v>
      </c>
      <c r="G483" s="35">
        <v>2008</v>
      </c>
      <c r="H483">
        <f>Table_8[[#This Row],[Listing Price (USD)]]/10000</f>
        <v>33.802799999999998</v>
      </c>
      <c r="I483">
        <f>Table_8[[#This Row],[Length 
(ft)]]</f>
        <v>41</v>
      </c>
      <c r="J483" s="37">
        <f>2020-Table_8[[#This Row],[Year]]</f>
        <v>12</v>
      </c>
      <c r="K483">
        <v>4200000000</v>
      </c>
      <c r="L483">
        <v>39553.199999999997</v>
      </c>
      <c r="M483">
        <v>2.5</v>
      </c>
      <c r="N483">
        <v>-2.1</v>
      </c>
      <c r="O483" s="39">
        <v>40.33</v>
      </c>
      <c r="P483" s="39">
        <v>809</v>
      </c>
      <c r="Q483" s="39">
        <v>79</v>
      </c>
      <c r="R483" s="39">
        <v>24.58</v>
      </c>
    </row>
    <row r="484" spans="1:18" x14ac:dyDescent="0.25">
      <c r="A484" s="1" t="s">
        <v>427</v>
      </c>
      <c r="B484" s="2">
        <v>420</v>
      </c>
      <c r="C484" s="19">
        <v>41</v>
      </c>
      <c r="D484" s="3" t="s">
        <v>496</v>
      </c>
      <c r="E484" s="4" t="s">
        <v>3</v>
      </c>
      <c r="F484" s="23">
        <v>338636</v>
      </c>
      <c r="G484" s="35">
        <v>2008</v>
      </c>
      <c r="H484">
        <f>Table_8[[#This Row],[Listing Price (USD)]]/10000</f>
        <v>33.863599999999998</v>
      </c>
      <c r="I484">
        <f>Table_8[[#This Row],[Length 
(ft)]]</f>
        <v>41</v>
      </c>
      <c r="J484" s="37">
        <f>2020-Table_8[[#This Row],[Year]]</f>
        <v>12</v>
      </c>
      <c r="K484">
        <v>2639008701648.2598</v>
      </c>
      <c r="L484">
        <v>39055.282928075401</v>
      </c>
      <c r="M484">
        <v>0.47649885272508302</v>
      </c>
      <c r="N484">
        <v>-7.7845864916787102</v>
      </c>
      <c r="O484" s="39">
        <v>40.33</v>
      </c>
      <c r="P484" s="39">
        <v>809</v>
      </c>
      <c r="Q484" s="39">
        <v>79</v>
      </c>
      <c r="R484" s="39">
        <v>24.58</v>
      </c>
    </row>
    <row r="485" spans="1:18" x14ac:dyDescent="0.25">
      <c r="A485" s="1" t="s">
        <v>427</v>
      </c>
      <c r="B485" s="2">
        <v>420</v>
      </c>
      <c r="C485" s="19">
        <v>41</v>
      </c>
      <c r="D485" s="3" t="s">
        <v>496</v>
      </c>
      <c r="E485" s="4" t="s">
        <v>3</v>
      </c>
      <c r="F485" s="23">
        <v>338900</v>
      </c>
      <c r="G485" s="35">
        <v>2008</v>
      </c>
      <c r="H485">
        <f>Table_8[[#This Row],[Listing Price (USD)]]/10000</f>
        <v>33.89</v>
      </c>
      <c r="I485">
        <f>Table_8[[#This Row],[Length 
(ft)]]</f>
        <v>41</v>
      </c>
      <c r="J485" s="37">
        <f>2020-Table_8[[#This Row],[Year]]</f>
        <v>12</v>
      </c>
      <c r="K485">
        <v>2639008701648.2598</v>
      </c>
      <c r="L485">
        <v>39055.282928075401</v>
      </c>
      <c r="M485">
        <v>0.47649885272508302</v>
      </c>
      <c r="N485">
        <v>-7.7845864916787102</v>
      </c>
      <c r="O485" s="39">
        <v>40.33</v>
      </c>
      <c r="P485" s="39">
        <v>809</v>
      </c>
      <c r="Q485" s="39">
        <v>79</v>
      </c>
      <c r="R485" s="39">
        <v>24.58</v>
      </c>
    </row>
    <row r="486" spans="1:18" x14ac:dyDescent="0.25">
      <c r="A486" s="1" t="s">
        <v>427</v>
      </c>
      <c r="B486" s="2">
        <v>420</v>
      </c>
      <c r="C486" s="19">
        <v>41</v>
      </c>
      <c r="D486" s="3" t="s">
        <v>496</v>
      </c>
      <c r="E486" s="4" t="s">
        <v>18</v>
      </c>
      <c r="F486" s="23">
        <v>358056</v>
      </c>
      <c r="G486" s="35">
        <v>2008</v>
      </c>
      <c r="H486">
        <f>Table_8[[#This Row],[Listing Price (USD)]]/10000</f>
        <v>35.805599999999998</v>
      </c>
      <c r="I486">
        <f>Table_8[[#This Row],[Length 
(ft)]]</f>
        <v>41</v>
      </c>
      <c r="J486" s="37">
        <f>2020-Table_8[[#This Row],[Year]]</f>
        <v>12</v>
      </c>
      <c r="K486">
        <v>188925995936.80701</v>
      </c>
      <c r="L486">
        <v>17658.947301119199</v>
      </c>
      <c r="M486">
        <v>-1.2479835558140799</v>
      </c>
      <c r="N486">
        <v>-9.0040436420214593</v>
      </c>
      <c r="O486" s="39">
        <v>40.33</v>
      </c>
      <c r="P486" s="39">
        <v>809</v>
      </c>
      <c r="Q486" s="39">
        <v>79</v>
      </c>
      <c r="R486" s="39">
        <v>24.58</v>
      </c>
    </row>
    <row r="487" spans="1:18" x14ac:dyDescent="0.25">
      <c r="A487" s="1" t="s">
        <v>427</v>
      </c>
      <c r="B487" s="2">
        <v>420</v>
      </c>
      <c r="C487" s="19">
        <v>41</v>
      </c>
      <c r="D487" s="3" t="s">
        <v>496</v>
      </c>
      <c r="E487" s="4" t="s">
        <v>18</v>
      </c>
      <c r="F487" s="23">
        <v>358335</v>
      </c>
      <c r="G487" s="35">
        <v>2008</v>
      </c>
      <c r="H487">
        <f>Table_8[[#This Row],[Listing Price (USD)]]/10000</f>
        <v>35.833500000000001</v>
      </c>
      <c r="I487">
        <f>Table_8[[#This Row],[Length 
(ft)]]</f>
        <v>41</v>
      </c>
      <c r="J487" s="37">
        <f>2020-Table_8[[#This Row],[Year]]</f>
        <v>12</v>
      </c>
      <c r="K487">
        <v>188925995936.80701</v>
      </c>
      <c r="L487">
        <v>17658.947301119199</v>
      </c>
      <c r="M487">
        <v>-1.2479835558140799</v>
      </c>
      <c r="N487">
        <v>-9.0040436420214593</v>
      </c>
      <c r="O487" s="39">
        <v>40.33</v>
      </c>
      <c r="P487" s="39">
        <v>809</v>
      </c>
      <c r="Q487" s="39">
        <v>79</v>
      </c>
      <c r="R487" s="39">
        <v>24.58</v>
      </c>
    </row>
    <row r="488" spans="1:18" x14ac:dyDescent="0.25">
      <c r="A488" s="1" t="s">
        <v>427</v>
      </c>
      <c r="B488" s="2">
        <v>420</v>
      </c>
      <c r="C488" s="19">
        <v>41</v>
      </c>
      <c r="D488" s="3" t="s">
        <v>496</v>
      </c>
      <c r="E488" s="4" t="s">
        <v>24</v>
      </c>
      <c r="F488" s="23">
        <v>358698</v>
      </c>
      <c r="G488" s="35">
        <v>2006</v>
      </c>
      <c r="H488">
        <f>Table_8[[#This Row],[Listing Price (USD)]]/10000</f>
        <v>35.869799999999998</v>
      </c>
      <c r="I488">
        <f>Table_8[[#This Row],[Length 
(ft)]]</f>
        <v>41</v>
      </c>
      <c r="J488" s="37">
        <f>2020-Table_8[[#This Row],[Year]]</f>
        <v>14</v>
      </c>
      <c r="K488">
        <v>1896755301518.1399</v>
      </c>
      <c r="L488">
        <v>31911.0357890017</v>
      </c>
      <c r="M488">
        <v>-0.13770757391656999</v>
      </c>
      <c r="N488">
        <v>-9.0399534112288507</v>
      </c>
      <c r="O488" s="39">
        <v>40.33</v>
      </c>
      <c r="P488" s="39">
        <v>809</v>
      </c>
      <c r="Q488" s="39">
        <v>79</v>
      </c>
      <c r="R488" s="39">
        <v>24.58</v>
      </c>
    </row>
    <row r="489" spans="1:18" x14ac:dyDescent="0.25">
      <c r="A489" s="1" t="s">
        <v>427</v>
      </c>
      <c r="B489" s="2">
        <v>420</v>
      </c>
      <c r="C489" s="19">
        <v>41</v>
      </c>
      <c r="D489" s="3" t="s">
        <v>495</v>
      </c>
      <c r="E489" s="3" t="s">
        <v>333</v>
      </c>
      <c r="F489" s="23">
        <v>375000</v>
      </c>
      <c r="G489" s="35">
        <v>2008</v>
      </c>
      <c r="H489">
        <f>Table_8[[#This Row],[Listing Price (USD)]]/10000</f>
        <v>37.5</v>
      </c>
      <c r="I489">
        <f>Table_8[[#This Row],[Length 
(ft)]]</f>
        <v>41</v>
      </c>
      <c r="J489" s="37">
        <f>2020-Table_8[[#This Row],[Year]]</f>
        <v>12</v>
      </c>
      <c r="K489">
        <v>1106036000000</v>
      </c>
      <c r="L489">
        <v>51276.72</v>
      </c>
      <c r="M489">
        <v>1.23</v>
      </c>
      <c r="N489">
        <v>2.9</v>
      </c>
      <c r="O489" s="39">
        <v>40.33</v>
      </c>
      <c r="P489" s="39">
        <v>809</v>
      </c>
      <c r="Q489" s="39">
        <v>79</v>
      </c>
      <c r="R489" s="39">
        <v>24.58</v>
      </c>
    </row>
    <row r="490" spans="1:18" x14ac:dyDescent="0.25">
      <c r="A490" s="1" t="s">
        <v>427</v>
      </c>
      <c r="B490" s="2">
        <v>420</v>
      </c>
      <c r="C490" s="19">
        <v>41</v>
      </c>
      <c r="D490" s="3" t="s">
        <v>497</v>
      </c>
      <c r="E490" s="3" t="s">
        <v>513</v>
      </c>
      <c r="F490" s="23">
        <v>380000</v>
      </c>
      <c r="G490" s="35">
        <v>2008</v>
      </c>
      <c r="H490">
        <f>Table_8[[#This Row],[Listing Price (USD)]]/10000</f>
        <v>38</v>
      </c>
      <c r="I490">
        <f>Table_8[[#This Row],[Length 
(ft)]]</f>
        <v>41</v>
      </c>
      <c r="J490" s="37">
        <f>2020-Table_8[[#This Row],[Year]]</f>
        <v>12</v>
      </c>
      <c r="K490">
        <v>77625486978.256104</v>
      </c>
      <c r="L490">
        <v>4604.5766789786403</v>
      </c>
      <c r="M490">
        <v>3.21444062197346</v>
      </c>
      <c r="N490">
        <v>-1.76408292563957</v>
      </c>
      <c r="O490" s="39">
        <v>40.33</v>
      </c>
      <c r="P490" s="39">
        <v>809</v>
      </c>
      <c r="Q490" s="39">
        <v>79</v>
      </c>
      <c r="R490" s="39">
        <v>24.58</v>
      </c>
    </row>
    <row r="491" spans="1:18" x14ac:dyDescent="0.25">
      <c r="A491" s="1" t="s">
        <v>427</v>
      </c>
      <c r="B491" s="2">
        <v>420</v>
      </c>
      <c r="C491" s="19">
        <v>41</v>
      </c>
      <c r="D491" s="3" t="s">
        <v>495</v>
      </c>
      <c r="E491" s="3" t="s">
        <v>515</v>
      </c>
      <c r="F491" s="23">
        <v>389900</v>
      </c>
      <c r="G491" s="35">
        <v>2008</v>
      </c>
      <c r="H491">
        <f>Table_8[[#This Row],[Listing Price (USD)]]/10000</f>
        <v>38.99</v>
      </c>
      <c r="I491">
        <f>Table_8[[#This Row],[Length 
(ft)]]</f>
        <v>41</v>
      </c>
      <c r="J491" s="37">
        <f>2020-Table_8[[#This Row],[Year]]</f>
        <v>12</v>
      </c>
      <c r="K491">
        <v>410675000000</v>
      </c>
      <c r="L491">
        <v>66531.03</v>
      </c>
      <c r="M491">
        <v>1.23</v>
      </c>
      <c r="N491">
        <v>1.8</v>
      </c>
      <c r="O491" s="39">
        <v>40.33</v>
      </c>
      <c r="P491" s="39">
        <v>809</v>
      </c>
      <c r="Q491" s="39">
        <v>79</v>
      </c>
      <c r="R491" s="39">
        <v>24.58</v>
      </c>
    </row>
    <row r="492" spans="1:18" x14ac:dyDescent="0.25">
      <c r="A492" s="1" t="s">
        <v>441</v>
      </c>
      <c r="B492" s="2">
        <v>420</v>
      </c>
      <c r="C492" s="19">
        <v>41</v>
      </c>
      <c r="D492" s="3" t="s">
        <v>495</v>
      </c>
      <c r="E492" s="3" t="s">
        <v>333</v>
      </c>
      <c r="F492" s="23">
        <v>396000</v>
      </c>
      <c r="G492" s="35">
        <v>2008</v>
      </c>
      <c r="H492">
        <f>Table_8[[#This Row],[Listing Price (USD)]]/10000</f>
        <v>39.6</v>
      </c>
      <c r="I492">
        <f>Table_8[[#This Row],[Length 
(ft)]]</f>
        <v>41</v>
      </c>
      <c r="J492" s="37">
        <f>2020-Table_8[[#This Row],[Year]]</f>
        <v>12</v>
      </c>
      <c r="K492">
        <v>1106036000000</v>
      </c>
      <c r="L492">
        <v>51276.72</v>
      </c>
      <c r="M492">
        <v>1.23</v>
      </c>
      <c r="N492">
        <v>2.9</v>
      </c>
      <c r="O492" s="39">
        <v>40.33</v>
      </c>
      <c r="P492" s="39">
        <v>809</v>
      </c>
      <c r="Q492" s="39">
        <v>79</v>
      </c>
      <c r="R492" s="39">
        <v>24.58</v>
      </c>
    </row>
    <row r="493" spans="1:18" x14ac:dyDescent="0.25">
      <c r="A493" s="1" t="s">
        <v>427</v>
      </c>
      <c r="B493" s="2">
        <v>420</v>
      </c>
      <c r="C493" s="19">
        <v>49</v>
      </c>
      <c r="D493" s="3" t="s">
        <v>495</v>
      </c>
      <c r="E493" s="3" t="s">
        <v>333</v>
      </c>
      <c r="F493" s="23">
        <v>435000</v>
      </c>
      <c r="G493" s="35">
        <v>2007</v>
      </c>
      <c r="H493">
        <f>Table_8[[#This Row],[Listing Price (USD)]]/10000</f>
        <v>43.5</v>
      </c>
      <c r="I493">
        <f>Table_8[[#This Row],[Length 
(ft)]]</f>
        <v>49</v>
      </c>
      <c r="J493" s="37">
        <f>2020-Table_8[[#This Row],[Year]]</f>
        <v>13</v>
      </c>
      <c r="K493">
        <v>1106036000000</v>
      </c>
      <c r="L493">
        <v>51276.72</v>
      </c>
      <c r="M493">
        <v>1.23</v>
      </c>
      <c r="N493">
        <v>2.9</v>
      </c>
      <c r="O493" s="39">
        <v>40.33</v>
      </c>
      <c r="P493" s="39">
        <v>809</v>
      </c>
      <c r="Q493" s="39">
        <v>79</v>
      </c>
      <c r="R493" s="39">
        <v>24.58</v>
      </c>
    </row>
    <row r="494" spans="1:18" x14ac:dyDescent="0.25">
      <c r="A494" s="1" t="s">
        <v>427</v>
      </c>
      <c r="B494" s="2">
        <v>421</v>
      </c>
      <c r="C494" s="19">
        <v>42</v>
      </c>
      <c r="D494" s="3" t="s">
        <v>496</v>
      </c>
      <c r="E494" s="4" t="s">
        <v>18</v>
      </c>
      <c r="F494" s="23">
        <v>285231</v>
      </c>
      <c r="G494" s="35">
        <v>2010</v>
      </c>
      <c r="H494">
        <f>Table_8[[#This Row],[Listing Price (USD)]]/10000</f>
        <v>28.523099999999999</v>
      </c>
      <c r="I494">
        <f>Table_8[[#This Row],[Length 
(ft)]]</f>
        <v>42</v>
      </c>
      <c r="J494" s="37">
        <f>2020-Table_8[[#This Row],[Year]]</f>
        <v>10</v>
      </c>
      <c r="K494">
        <v>188925995936.80701</v>
      </c>
      <c r="L494">
        <v>17658.947301119199</v>
      </c>
      <c r="M494">
        <v>-1.2479835558140799</v>
      </c>
      <c r="N494">
        <v>-9.0040436420214593</v>
      </c>
      <c r="O494" s="39">
        <v>40.33</v>
      </c>
      <c r="P494" s="39">
        <v>809</v>
      </c>
      <c r="Q494" s="39">
        <v>79</v>
      </c>
      <c r="R494" s="39">
        <v>24.58</v>
      </c>
    </row>
    <row r="495" spans="1:18" x14ac:dyDescent="0.25">
      <c r="A495" s="1" t="s">
        <v>427</v>
      </c>
      <c r="B495" s="2">
        <v>421</v>
      </c>
      <c r="C495" s="19">
        <v>42</v>
      </c>
      <c r="D495" s="3" t="s">
        <v>496</v>
      </c>
      <c r="E495" s="4" t="s">
        <v>24</v>
      </c>
      <c r="F495" s="23">
        <v>297902</v>
      </c>
      <c r="G495" s="35">
        <v>2011</v>
      </c>
      <c r="H495">
        <f>Table_8[[#This Row],[Listing Price (USD)]]/10000</f>
        <v>29.790199999999999</v>
      </c>
      <c r="I495">
        <f>Table_8[[#This Row],[Length 
(ft)]]</f>
        <v>42</v>
      </c>
      <c r="J495" s="37">
        <f>2020-Table_8[[#This Row],[Year]]</f>
        <v>9</v>
      </c>
      <c r="K495">
        <v>1896755301518.1399</v>
      </c>
      <c r="L495">
        <v>31911.0357890017</v>
      </c>
      <c r="M495">
        <v>-0.13770757391656999</v>
      </c>
      <c r="N495">
        <v>-9.0399534112288507</v>
      </c>
      <c r="O495" s="39">
        <v>40.33</v>
      </c>
      <c r="P495" s="39">
        <v>809</v>
      </c>
      <c r="Q495" s="39">
        <v>79</v>
      </c>
      <c r="R495" s="39">
        <v>24.58</v>
      </c>
    </row>
    <row r="496" spans="1:18" x14ac:dyDescent="0.25">
      <c r="A496" s="1" t="s">
        <v>427</v>
      </c>
      <c r="B496" s="2">
        <v>421</v>
      </c>
      <c r="C496" s="19">
        <v>42</v>
      </c>
      <c r="D496" s="3" t="s">
        <v>496</v>
      </c>
      <c r="E496" s="4" t="s">
        <v>18</v>
      </c>
      <c r="F496" s="23">
        <v>320000</v>
      </c>
      <c r="G496" s="35">
        <v>2014</v>
      </c>
      <c r="H496">
        <f>Table_8[[#This Row],[Listing Price (USD)]]/10000</f>
        <v>32</v>
      </c>
      <c r="I496">
        <f>Table_8[[#This Row],[Length 
(ft)]]</f>
        <v>42</v>
      </c>
      <c r="J496" s="37">
        <f>2020-Table_8[[#This Row],[Year]]</f>
        <v>6</v>
      </c>
      <c r="K496">
        <v>188925995936.80701</v>
      </c>
      <c r="L496">
        <v>17658.947301119199</v>
      </c>
      <c r="M496">
        <v>-1.2479835558140799</v>
      </c>
      <c r="N496">
        <v>-9.0040436420214593</v>
      </c>
      <c r="O496" s="39">
        <v>40.33</v>
      </c>
      <c r="P496" s="39">
        <v>809</v>
      </c>
      <c r="Q496" s="39">
        <v>79</v>
      </c>
      <c r="R496" s="39">
        <v>24.58</v>
      </c>
    </row>
    <row r="497" spans="1:18" x14ac:dyDescent="0.25">
      <c r="A497" s="1" t="s">
        <v>427</v>
      </c>
      <c r="B497" s="2">
        <v>421</v>
      </c>
      <c r="C497" s="19">
        <v>42</v>
      </c>
      <c r="D497" s="3" t="s">
        <v>496</v>
      </c>
      <c r="E497" s="4" t="s">
        <v>18</v>
      </c>
      <c r="F497" s="23">
        <v>320000</v>
      </c>
      <c r="G497" s="35">
        <v>2014</v>
      </c>
      <c r="H497">
        <f>Table_8[[#This Row],[Listing Price (USD)]]/10000</f>
        <v>32</v>
      </c>
      <c r="I497">
        <f>Table_8[[#This Row],[Length 
(ft)]]</f>
        <v>42</v>
      </c>
      <c r="J497" s="37">
        <f>2020-Table_8[[#This Row],[Year]]</f>
        <v>6</v>
      </c>
      <c r="K497">
        <v>188925995936.80701</v>
      </c>
      <c r="L497">
        <v>17658.947301119199</v>
      </c>
      <c r="M497">
        <v>-1.2479835558140799</v>
      </c>
      <c r="N497">
        <v>-9.0040436420214593</v>
      </c>
      <c r="O497" s="39">
        <v>40.33</v>
      </c>
      <c r="P497" s="39">
        <v>809</v>
      </c>
      <c r="Q497" s="39">
        <v>79</v>
      </c>
      <c r="R497" s="39">
        <v>24.58</v>
      </c>
    </row>
    <row r="498" spans="1:18" x14ac:dyDescent="0.25">
      <c r="A498" s="1" t="s">
        <v>427</v>
      </c>
      <c r="B498" s="2">
        <v>421</v>
      </c>
      <c r="C498" s="19">
        <v>42</v>
      </c>
      <c r="D498" s="3" t="s">
        <v>496</v>
      </c>
      <c r="E498" s="4" t="s">
        <v>24</v>
      </c>
      <c r="F498" s="23">
        <v>327712</v>
      </c>
      <c r="G498" s="35">
        <v>2010</v>
      </c>
      <c r="H498">
        <f>Table_8[[#This Row],[Listing Price (USD)]]/10000</f>
        <v>32.7712</v>
      </c>
      <c r="I498">
        <f>Table_8[[#This Row],[Length 
(ft)]]</f>
        <v>42</v>
      </c>
      <c r="J498" s="37">
        <f>2020-Table_8[[#This Row],[Year]]</f>
        <v>10</v>
      </c>
      <c r="K498">
        <v>1896755301518.1399</v>
      </c>
      <c r="L498">
        <v>31911.0357890017</v>
      </c>
      <c r="M498">
        <v>-0.13770757391656999</v>
      </c>
      <c r="N498">
        <v>-9.0399534112288507</v>
      </c>
      <c r="O498" s="39">
        <v>40.33</v>
      </c>
      <c r="P498" s="39">
        <v>809</v>
      </c>
      <c r="Q498" s="39">
        <v>79</v>
      </c>
      <c r="R498" s="39">
        <v>24.58</v>
      </c>
    </row>
    <row r="499" spans="1:18" x14ac:dyDescent="0.25">
      <c r="A499" s="1" t="s">
        <v>427</v>
      </c>
      <c r="B499" s="2">
        <v>421</v>
      </c>
      <c r="C499" s="19">
        <v>42</v>
      </c>
      <c r="D499" s="3" t="s">
        <v>496</v>
      </c>
      <c r="E499" s="4" t="s">
        <v>24</v>
      </c>
      <c r="F499" s="23">
        <v>327968</v>
      </c>
      <c r="G499" s="35">
        <v>2010</v>
      </c>
      <c r="H499">
        <f>Table_8[[#This Row],[Listing Price (USD)]]/10000</f>
        <v>32.796799999999998</v>
      </c>
      <c r="I499">
        <f>Table_8[[#This Row],[Length 
(ft)]]</f>
        <v>42</v>
      </c>
      <c r="J499" s="37">
        <f>2020-Table_8[[#This Row],[Year]]</f>
        <v>10</v>
      </c>
      <c r="K499">
        <v>1896755301518.1399</v>
      </c>
      <c r="L499">
        <v>31911.0357890017</v>
      </c>
      <c r="M499">
        <v>-0.13770757391656999</v>
      </c>
      <c r="N499">
        <v>-9.0399534112288507</v>
      </c>
      <c r="O499" s="39">
        <v>40.33</v>
      </c>
      <c r="P499" s="39">
        <v>809</v>
      </c>
      <c r="Q499" s="39">
        <v>79</v>
      </c>
      <c r="R499" s="39">
        <v>24.58</v>
      </c>
    </row>
    <row r="500" spans="1:18" x14ac:dyDescent="0.25">
      <c r="A500" s="1" t="s">
        <v>427</v>
      </c>
      <c r="B500" s="2">
        <v>421</v>
      </c>
      <c r="C500" s="19">
        <v>42</v>
      </c>
      <c r="D500" s="3" t="s">
        <v>496</v>
      </c>
      <c r="E500" s="4" t="s">
        <v>237</v>
      </c>
      <c r="F500" s="23">
        <v>333781</v>
      </c>
      <c r="G500" s="35">
        <v>2011</v>
      </c>
      <c r="H500">
        <f>Table_8[[#This Row],[Listing Price (USD)]]/10000</f>
        <v>33.378100000000003</v>
      </c>
      <c r="I500">
        <f>Table_8[[#This Row],[Length 
(ft)]]</f>
        <v>42</v>
      </c>
      <c r="J500" s="37">
        <f>2020-Table_8[[#This Row],[Year]]</f>
        <v>9</v>
      </c>
      <c r="K500">
        <v>229031860520.77701</v>
      </c>
      <c r="L500">
        <v>22242.406417972001</v>
      </c>
      <c r="M500">
        <v>-1.2438329957616699E-2</v>
      </c>
      <c r="N500">
        <v>-8.3005160422115107</v>
      </c>
      <c r="O500" s="39">
        <v>40.33</v>
      </c>
      <c r="P500" s="39">
        <v>809</v>
      </c>
      <c r="Q500" s="39">
        <v>79</v>
      </c>
      <c r="R500" s="39">
        <v>24.58</v>
      </c>
    </row>
    <row r="501" spans="1:18" x14ac:dyDescent="0.25">
      <c r="A501" s="1" t="s">
        <v>427</v>
      </c>
      <c r="B501" s="3">
        <v>421</v>
      </c>
      <c r="C501" s="19">
        <v>42</v>
      </c>
      <c r="D501" s="3" t="s">
        <v>497</v>
      </c>
      <c r="E501" s="3" t="s">
        <v>511</v>
      </c>
      <c r="F501" s="23">
        <v>340069</v>
      </c>
      <c r="G501" s="35">
        <v>2015</v>
      </c>
      <c r="H501">
        <f>Table_8[[#This Row],[Listing Price (USD)]]/10000</f>
        <v>34.006900000000002</v>
      </c>
      <c r="I501">
        <f>Table_8[[#This Row],[Length 
(ft)]]</f>
        <v>42</v>
      </c>
      <c r="J501" s="37">
        <f>2020-Table_8[[#This Row],[Year]]</f>
        <v>5</v>
      </c>
      <c r="K501">
        <v>681973374534.10596</v>
      </c>
      <c r="L501">
        <v>27575.495000325591</v>
      </c>
      <c r="M501">
        <v>0.8848420113691905</v>
      </c>
      <c r="N501">
        <v>-6.3525291034127971</v>
      </c>
      <c r="O501" s="39">
        <v>40.33</v>
      </c>
      <c r="P501" s="39">
        <v>809</v>
      </c>
      <c r="Q501" s="39">
        <v>79</v>
      </c>
      <c r="R501" s="39">
        <v>24.58</v>
      </c>
    </row>
    <row r="502" spans="1:18" x14ac:dyDescent="0.25">
      <c r="A502" s="1" t="s">
        <v>427</v>
      </c>
      <c r="B502" s="2">
        <v>421</v>
      </c>
      <c r="C502" s="19">
        <v>42</v>
      </c>
      <c r="D502" s="3" t="s">
        <v>497</v>
      </c>
      <c r="E502" s="3" t="s">
        <v>511</v>
      </c>
      <c r="F502" s="23">
        <v>340459</v>
      </c>
      <c r="G502" s="35">
        <v>2015</v>
      </c>
      <c r="H502">
        <f>Table_8[[#This Row],[Listing Price (USD)]]/10000</f>
        <v>34.045900000000003</v>
      </c>
      <c r="I502">
        <f>Table_8[[#This Row],[Length 
(ft)]]</f>
        <v>42</v>
      </c>
      <c r="J502" s="37">
        <f>2020-Table_8[[#This Row],[Year]]</f>
        <v>5</v>
      </c>
      <c r="K502">
        <v>681973374534.10596</v>
      </c>
      <c r="L502">
        <v>27575.495000325591</v>
      </c>
      <c r="M502">
        <v>0.8848420113691905</v>
      </c>
      <c r="N502">
        <v>-6.3525291034127971</v>
      </c>
      <c r="O502" s="39">
        <v>40.33</v>
      </c>
      <c r="P502" s="39">
        <v>809</v>
      </c>
      <c r="Q502" s="39">
        <v>79</v>
      </c>
      <c r="R502" s="39">
        <v>24.58</v>
      </c>
    </row>
    <row r="503" spans="1:18" x14ac:dyDescent="0.25">
      <c r="A503" s="1" t="s">
        <v>427</v>
      </c>
      <c r="B503" s="2">
        <v>421</v>
      </c>
      <c r="C503" s="19">
        <v>42</v>
      </c>
      <c r="D503" s="3" t="s">
        <v>496</v>
      </c>
      <c r="E503" s="4" t="s">
        <v>18</v>
      </c>
      <c r="F503" s="23">
        <v>352214</v>
      </c>
      <c r="G503" s="35">
        <v>2014</v>
      </c>
      <c r="H503">
        <f>Table_8[[#This Row],[Listing Price (USD)]]/10000</f>
        <v>35.221400000000003</v>
      </c>
      <c r="I503">
        <f>Table_8[[#This Row],[Length 
(ft)]]</f>
        <v>42</v>
      </c>
      <c r="J503" s="37">
        <f>2020-Table_8[[#This Row],[Year]]</f>
        <v>6</v>
      </c>
      <c r="K503">
        <v>188925995936.80701</v>
      </c>
      <c r="L503">
        <v>17658.947301119199</v>
      </c>
      <c r="M503">
        <v>-1.2479835558140799</v>
      </c>
      <c r="N503">
        <v>-9.0040436420214593</v>
      </c>
      <c r="O503" s="39">
        <v>40.33</v>
      </c>
      <c r="P503" s="39">
        <v>809</v>
      </c>
      <c r="Q503" s="39">
        <v>79</v>
      </c>
      <c r="R503" s="39">
        <v>24.58</v>
      </c>
    </row>
    <row r="504" spans="1:18" x14ac:dyDescent="0.25">
      <c r="A504" s="1" t="s">
        <v>427</v>
      </c>
      <c r="B504" s="2">
        <v>421</v>
      </c>
      <c r="C504" s="19">
        <v>42</v>
      </c>
      <c r="D504" s="3" t="s">
        <v>496</v>
      </c>
      <c r="E504" s="4" t="s">
        <v>18</v>
      </c>
      <c r="F504" s="23">
        <v>352619</v>
      </c>
      <c r="G504" s="35">
        <v>2014</v>
      </c>
      <c r="H504">
        <f>Table_8[[#This Row],[Listing Price (USD)]]/10000</f>
        <v>35.261899999999997</v>
      </c>
      <c r="I504">
        <f>Table_8[[#This Row],[Length 
(ft)]]</f>
        <v>42</v>
      </c>
      <c r="J504" s="37">
        <f>2020-Table_8[[#This Row],[Year]]</f>
        <v>6</v>
      </c>
      <c r="K504">
        <v>188925995936.80701</v>
      </c>
      <c r="L504">
        <v>17658.947301119199</v>
      </c>
      <c r="M504">
        <v>-1.2479835558140799</v>
      </c>
      <c r="N504">
        <v>-9.0040436420214593</v>
      </c>
      <c r="O504" s="39">
        <v>40.33</v>
      </c>
      <c r="P504" s="39">
        <v>809</v>
      </c>
      <c r="Q504" s="39">
        <v>79</v>
      </c>
      <c r="R504" s="39">
        <v>24.58</v>
      </c>
    </row>
    <row r="505" spans="1:18" x14ac:dyDescent="0.25">
      <c r="A505" s="1" t="s">
        <v>427</v>
      </c>
      <c r="B505" s="3">
        <v>421</v>
      </c>
      <c r="C505" s="19">
        <v>42</v>
      </c>
      <c r="D505" s="3" t="s">
        <v>497</v>
      </c>
      <c r="E505" s="3" t="s">
        <v>483</v>
      </c>
      <c r="F505" s="23">
        <v>363145</v>
      </c>
      <c r="G505" s="35">
        <v>2015</v>
      </c>
      <c r="H505">
        <f>Table_8[[#This Row],[Listing Price (USD)]]/10000</f>
        <v>36.314500000000002</v>
      </c>
      <c r="I505">
        <f>Table_8[[#This Row],[Length 
(ft)]]</f>
        <v>42</v>
      </c>
      <c r="J505" s="37">
        <f>2020-Table_8[[#This Row],[Year]]</f>
        <v>5</v>
      </c>
      <c r="K505">
        <v>4200000000</v>
      </c>
      <c r="L505">
        <v>39553.199999999997</v>
      </c>
      <c r="M505">
        <v>2.5</v>
      </c>
      <c r="N505">
        <v>-2.1</v>
      </c>
      <c r="O505" s="39">
        <v>40.33</v>
      </c>
      <c r="P505" s="39">
        <v>809</v>
      </c>
      <c r="Q505" s="39">
        <v>79</v>
      </c>
      <c r="R505" s="39">
        <v>24.58</v>
      </c>
    </row>
    <row r="506" spans="1:18" x14ac:dyDescent="0.25">
      <c r="A506" s="1" t="s">
        <v>427</v>
      </c>
      <c r="B506" s="2">
        <v>421</v>
      </c>
      <c r="C506" s="19">
        <v>42</v>
      </c>
      <c r="D506" s="3" t="s">
        <v>497</v>
      </c>
      <c r="E506" s="3" t="s">
        <v>483</v>
      </c>
      <c r="F506" s="23">
        <v>363562</v>
      </c>
      <c r="G506" s="35">
        <v>2015</v>
      </c>
      <c r="H506">
        <f>Table_8[[#This Row],[Listing Price (USD)]]/10000</f>
        <v>36.356200000000001</v>
      </c>
      <c r="I506">
        <f>Table_8[[#This Row],[Length 
(ft)]]</f>
        <v>42</v>
      </c>
      <c r="J506" s="37">
        <f>2020-Table_8[[#This Row],[Year]]</f>
        <v>5</v>
      </c>
      <c r="K506">
        <v>4200000000</v>
      </c>
      <c r="L506">
        <v>39553.199999999997</v>
      </c>
      <c r="M506">
        <v>2.5</v>
      </c>
      <c r="N506">
        <v>-2.1</v>
      </c>
      <c r="O506" s="39">
        <v>40.33</v>
      </c>
      <c r="P506" s="39">
        <v>809</v>
      </c>
      <c r="Q506" s="39">
        <v>79</v>
      </c>
      <c r="R506" s="39">
        <v>24.58</v>
      </c>
    </row>
    <row r="507" spans="1:18" x14ac:dyDescent="0.25">
      <c r="A507" s="1" t="s">
        <v>427</v>
      </c>
      <c r="B507" s="2">
        <v>421</v>
      </c>
      <c r="C507" s="19">
        <v>41</v>
      </c>
      <c r="D507" s="3" t="s">
        <v>496</v>
      </c>
      <c r="E507" s="4" t="s">
        <v>24</v>
      </c>
      <c r="F507" s="23">
        <v>369828</v>
      </c>
      <c r="G507" s="35">
        <v>2012</v>
      </c>
      <c r="H507">
        <f>Table_8[[#This Row],[Listing Price (USD)]]/10000</f>
        <v>36.982799999999997</v>
      </c>
      <c r="I507">
        <f>Table_8[[#This Row],[Length 
(ft)]]</f>
        <v>41</v>
      </c>
      <c r="J507" s="37">
        <f>2020-Table_8[[#This Row],[Year]]</f>
        <v>8</v>
      </c>
      <c r="K507">
        <v>1896755301518.1399</v>
      </c>
      <c r="L507">
        <v>31911.0357890017</v>
      </c>
      <c r="M507">
        <v>-0.13770757391656999</v>
      </c>
      <c r="N507">
        <v>-9.0399534112288507</v>
      </c>
      <c r="O507" s="39">
        <v>40.33</v>
      </c>
      <c r="P507" s="39">
        <v>809</v>
      </c>
      <c r="Q507" s="39">
        <v>79</v>
      </c>
      <c r="R507" s="39">
        <v>24.58</v>
      </c>
    </row>
    <row r="508" spans="1:18" x14ac:dyDescent="0.25">
      <c r="A508" s="1" t="s">
        <v>427</v>
      </c>
      <c r="B508" s="2">
        <v>421</v>
      </c>
      <c r="C508" s="19">
        <v>42</v>
      </c>
      <c r="D508" s="3" t="s">
        <v>496</v>
      </c>
      <c r="E508" s="4" t="s">
        <v>63</v>
      </c>
      <c r="F508" s="23">
        <v>380579</v>
      </c>
      <c r="G508" s="35">
        <v>2013</v>
      </c>
      <c r="H508">
        <f>Table_8[[#This Row],[Listing Price (USD)]]/10000</f>
        <v>38.057899999999997</v>
      </c>
      <c r="I508">
        <f>Table_8[[#This Row],[Length 
(ft)]]</f>
        <v>42</v>
      </c>
      <c r="J508" s="37">
        <f>2020-Table_8[[#This Row],[Year]]</f>
        <v>7</v>
      </c>
      <c r="K508">
        <v>720290000000</v>
      </c>
      <c r="L508">
        <v>13341.6</v>
      </c>
      <c r="M508">
        <v>13</v>
      </c>
      <c r="N508">
        <v>-3</v>
      </c>
      <c r="O508" s="39">
        <v>40.33</v>
      </c>
      <c r="P508" s="39">
        <v>809</v>
      </c>
      <c r="Q508" s="39">
        <v>79</v>
      </c>
      <c r="R508" s="39">
        <v>24.58</v>
      </c>
    </row>
    <row r="509" spans="1:18" x14ac:dyDescent="0.25">
      <c r="A509" s="1" t="s">
        <v>427</v>
      </c>
      <c r="B509" s="2">
        <v>421</v>
      </c>
      <c r="C509" s="19">
        <v>42</v>
      </c>
      <c r="D509" s="3" t="s">
        <v>496</v>
      </c>
      <c r="E509" s="4" t="s">
        <v>18</v>
      </c>
      <c r="F509" s="23">
        <v>423599</v>
      </c>
      <c r="G509" s="35">
        <v>2013</v>
      </c>
      <c r="H509">
        <f>Table_8[[#This Row],[Listing Price (USD)]]/10000</f>
        <v>42.359900000000003</v>
      </c>
      <c r="I509">
        <f>Table_8[[#This Row],[Length 
(ft)]]</f>
        <v>42</v>
      </c>
      <c r="J509" s="37">
        <f>2020-Table_8[[#This Row],[Year]]</f>
        <v>7</v>
      </c>
      <c r="K509">
        <v>188925995936.80701</v>
      </c>
      <c r="L509">
        <v>17658.947301119199</v>
      </c>
      <c r="M509">
        <v>-1.2479835558140799</v>
      </c>
      <c r="N509">
        <v>-9.0040436420214593</v>
      </c>
      <c r="O509" s="39">
        <v>40.33</v>
      </c>
      <c r="P509" s="39">
        <v>809</v>
      </c>
      <c r="Q509" s="39">
        <v>79</v>
      </c>
      <c r="R509" s="39">
        <v>24.58</v>
      </c>
    </row>
    <row r="510" spans="1:18" x14ac:dyDescent="0.25">
      <c r="A510" s="1" t="s">
        <v>427</v>
      </c>
      <c r="B510" s="2">
        <v>421</v>
      </c>
      <c r="C510" s="19">
        <v>42</v>
      </c>
      <c r="D510" s="3" t="s">
        <v>496</v>
      </c>
      <c r="E510" s="4" t="s">
        <v>63</v>
      </c>
      <c r="F510" s="23">
        <v>437734</v>
      </c>
      <c r="G510" s="35">
        <v>2010</v>
      </c>
      <c r="H510">
        <f>Table_8[[#This Row],[Listing Price (USD)]]/10000</f>
        <v>43.773400000000002</v>
      </c>
      <c r="I510">
        <f>Table_8[[#This Row],[Length 
(ft)]]</f>
        <v>42</v>
      </c>
      <c r="J510" s="37">
        <f>2020-Table_8[[#This Row],[Year]]</f>
        <v>10</v>
      </c>
      <c r="K510">
        <v>720290000000</v>
      </c>
      <c r="L510">
        <v>13341.6</v>
      </c>
      <c r="M510">
        <v>13</v>
      </c>
      <c r="N510">
        <v>-3</v>
      </c>
      <c r="O510" s="39">
        <v>40.33</v>
      </c>
      <c r="P510" s="39">
        <v>809</v>
      </c>
      <c r="Q510" s="39">
        <v>79</v>
      </c>
      <c r="R510" s="39">
        <v>24.58</v>
      </c>
    </row>
    <row r="511" spans="1:18" x14ac:dyDescent="0.25">
      <c r="A511" s="1" t="s">
        <v>427</v>
      </c>
      <c r="B511" s="2">
        <v>421</v>
      </c>
      <c r="C511" s="19">
        <v>42</v>
      </c>
      <c r="D511" s="3" t="s">
        <v>497</v>
      </c>
      <c r="E511" s="3" t="s">
        <v>498</v>
      </c>
      <c r="F511" s="23">
        <v>440000</v>
      </c>
      <c r="G511" s="35">
        <v>2014</v>
      </c>
      <c r="H511">
        <f>Table_8[[#This Row],[Listing Price (USD)]]/10000</f>
        <v>44</v>
      </c>
      <c r="I511">
        <f>Table_8[[#This Row],[Length 
(ft)]]</f>
        <v>42</v>
      </c>
      <c r="J511" s="37">
        <f>2020-Table_8[[#This Row],[Year]]</f>
        <v>6</v>
      </c>
      <c r="K511">
        <v>1090515389749.41</v>
      </c>
      <c r="L511">
        <v>8655.0006820680301</v>
      </c>
      <c r="M511">
        <v>3.3968341556999899</v>
      </c>
      <c r="N511">
        <v>-7.9879123401474903</v>
      </c>
      <c r="O511" s="39">
        <v>40.33</v>
      </c>
      <c r="P511" s="39">
        <v>809</v>
      </c>
      <c r="Q511" s="39">
        <v>79</v>
      </c>
      <c r="R511" s="39">
        <v>24.58</v>
      </c>
    </row>
    <row r="512" spans="1:18" x14ac:dyDescent="0.25">
      <c r="A512" s="1" t="s">
        <v>427</v>
      </c>
      <c r="B512" s="2">
        <v>421</v>
      </c>
      <c r="C512" s="19">
        <v>42</v>
      </c>
      <c r="D512" s="3" t="s">
        <v>496</v>
      </c>
      <c r="E512" s="4" t="s">
        <v>31</v>
      </c>
      <c r="F512" s="23">
        <v>460011</v>
      </c>
      <c r="G512" s="35">
        <v>2016</v>
      </c>
      <c r="H512">
        <f>Table_8[[#This Row],[Listing Price (USD)]]/10000</f>
        <v>46.001100000000001</v>
      </c>
      <c r="I512">
        <f>Table_8[[#This Row],[Length 
(ft)]]</f>
        <v>42</v>
      </c>
      <c r="J512" s="37">
        <f>2020-Table_8[[#This Row],[Year]]</f>
        <v>4</v>
      </c>
      <c r="K512">
        <v>57472012426.685303</v>
      </c>
      <c r="L512">
        <v>14198.753959474399</v>
      </c>
      <c r="M512">
        <v>0.15481137456202801</v>
      </c>
      <c r="N512">
        <v>-8.5803430210621805</v>
      </c>
      <c r="O512" s="39">
        <v>40.33</v>
      </c>
      <c r="P512" s="39">
        <v>809</v>
      </c>
      <c r="Q512" s="39">
        <v>79</v>
      </c>
      <c r="R512" s="39">
        <v>24.58</v>
      </c>
    </row>
    <row r="513" spans="1:18" x14ac:dyDescent="0.25">
      <c r="A513" s="1" t="s">
        <v>427</v>
      </c>
      <c r="B513" s="2">
        <v>421</v>
      </c>
      <c r="C513" s="19">
        <v>42</v>
      </c>
      <c r="D513" s="3" t="s">
        <v>496</v>
      </c>
      <c r="E513" s="4" t="s">
        <v>31</v>
      </c>
      <c r="F513" s="23">
        <v>460370</v>
      </c>
      <c r="G513" s="35">
        <v>2016</v>
      </c>
      <c r="H513">
        <f>Table_8[[#This Row],[Listing Price (USD)]]/10000</f>
        <v>46.036999999999999</v>
      </c>
      <c r="I513">
        <f>Table_8[[#This Row],[Length 
(ft)]]</f>
        <v>42</v>
      </c>
      <c r="J513" s="37">
        <f>2020-Table_8[[#This Row],[Year]]</f>
        <v>4</v>
      </c>
      <c r="K513">
        <v>57472012426.685303</v>
      </c>
      <c r="L513">
        <v>14198.753959474399</v>
      </c>
      <c r="M513">
        <v>0.15481137456202801</v>
      </c>
      <c r="N513">
        <v>-8.5803430210621805</v>
      </c>
      <c r="O513" s="39">
        <v>40.33</v>
      </c>
      <c r="P513" s="39">
        <v>809</v>
      </c>
      <c r="Q513" s="39">
        <v>79</v>
      </c>
      <c r="R513" s="39">
        <v>24.58</v>
      </c>
    </row>
    <row r="514" spans="1:18" x14ac:dyDescent="0.25">
      <c r="A514" s="1" t="s">
        <v>402</v>
      </c>
      <c r="B514" s="2">
        <v>435</v>
      </c>
      <c r="C514" s="19">
        <v>43.6</v>
      </c>
      <c r="D514" s="3" t="s">
        <v>496</v>
      </c>
      <c r="E514" s="4" t="s">
        <v>18</v>
      </c>
      <c r="F514" s="23">
        <v>267617</v>
      </c>
      <c r="G514" s="35">
        <v>2006</v>
      </c>
      <c r="H514">
        <f>Table_8[[#This Row],[Listing Price (USD)]]/10000</f>
        <v>26.761700000000001</v>
      </c>
      <c r="I514">
        <f>Table_8[[#This Row],[Length 
(ft)]]</f>
        <v>43.6</v>
      </c>
      <c r="J514" s="37">
        <f>2020-Table_8[[#This Row],[Year]]</f>
        <v>14</v>
      </c>
      <c r="K514">
        <v>188925995936.80701</v>
      </c>
      <c r="L514">
        <v>17658.947301119199</v>
      </c>
      <c r="M514">
        <v>-1.2479835558140799</v>
      </c>
      <c r="N514">
        <v>-9.0040436420214593</v>
      </c>
      <c r="O514" s="39">
        <v>41.83</v>
      </c>
      <c r="P514" s="39">
        <v>860</v>
      </c>
      <c r="Q514" s="39">
        <v>172</v>
      </c>
      <c r="R514" s="39">
        <v>25.26</v>
      </c>
    </row>
    <row r="515" spans="1:18" x14ac:dyDescent="0.25">
      <c r="A515" s="1" t="s">
        <v>467</v>
      </c>
      <c r="B515" s="2">
        <v>435</v>
      </c>
      <c r="C515" s="19">
        <v>43</v>
      </c>
      <c r="D515" s="3" t="s">
        <v>497</v>
      </c>
      <c r="E515" s="3" t="s">
        <v>498</v>
      </c>
      <c r="F515" s="23">
        <v>315000</v>
      </c>
      <c r="G515" s="35">
        <v>2006</v>
      </c>
      <c r="H515">
        <f>Table_8[[#This Row],[Listing Price (USD)]]/10000</f>
        <v>31.5</v>
      </c>
      <c r="I515">
        <f>Table_8[[#This Row],[Length 
(ft)]]</f>
        <v>43</v>
      </c>
      <c r="J515" s="37">
        <f>2020-Table_8[[#This Row],[Year]]</f>
        <v>14</v>
      </c>
      <c r="K515">
        <v>1090515389749.41</v>
      </c>
      <c r="L515">
        <v>8655.0006820680301</v>
      </c>
      <c r="M515">
        <v>3.3968341556999899</v>
      </c>
      <c r="N515">
        <v>-7.9879123401474903</v>
      </c>
      <c r="O515" s="39">
        <v>41.83</v>
      </c>
      <c r="P515" s="39">
        <v>860</v>
      </c>
      <c r="Q515" s="39">
        <v>172</v>
      </c>
      <c r="R515" s="39">
        <v>25.26</v>
      </c>
    </row>
    <row r="516" spans="1:18" x14ac:dyDescent="0.25">
      <c r="A516" s="1" t="s">
        <v>467</v>
      </c>
      <c r="B516" s="2">
        <v>435</v>
      </c>
      <c r="C516" s="19">
        <v>43</v>
      </c>
      <c r="D516" s="3" t="s">
        <v>497</v>
      </c>
      <c r="E516" s="3" t="s">
        <v>513</v>
      </c>
      <c r="F516" s="23">
        <v>344705</v>
      </c>
      <c r="G516" s="35">
        <v>2006</v>
      </c>
      <c r="H516">
        <f>Table_8[[#This Row],[Listing Price (USD)]]/10000</f>
        <v>34.470500000000001</v>
      </c>
      <c r="I516">
        <f>Table_8[[#This Row],[Length 
(ft)]]</f>
        <v>43</v>
      </c>
      <c r="J516" s="37">
        <f>2020-Table_8[[#This Row],[Year]]</f>
        <v>14</v>
      </c>
      <c r="K516">
        <v>77625486978.256104</v>
      </c>
      <c r="L516">
        <v>4604.5766789786403</v>
      </c>
      <c r="M516">
        <v>3.21444062197346</v>
      </c>
      <c r="N516">
        <v>-1.76408292563957</v>
      </c>
      <c r="O516" s="39">
        <v>41.83</v>
      </c>
      <c r="P516" s="39">
        <v>860</v>
      </c>
      <c r="Q516" s="39">
        <v>172</v>
      </c>
      <c r="R516" s="39">
        <v>25.26</v>
      </c>
    </row>
    <row r="517" spans="1:18" x14ac:dyDescent="0.25">
      <c r="A517" s="1" t="s">
        <v>467</v>
      </c>
      <c r="B517" s="2">
        <v>435</v>
      </c>
      <c r="C517" s="19">
        <v>43</v>
      </c>
      <c r="D517" s="3" t="s">
        <v>497</v>
      </c>
      <c r="E517" s="3" t="s">
        <v>498</v>
      </c>
      <c r="F517" s="23">
        <v>344705</v>
      </c>
      <c r="G517" s="35">
        <v>2006</v>
      </c>
      <c r="H517">
        <f>Table_8[[#This Row],[Listing Price (USD)]]/10000</f>
        <v>34.470500000000001</v>
      </c>
      <c r="I517">
        <f>Table_8[[#This Row],[Length 
(ft)]]</f>
        <v>43</v>
      </c>
      <c r="J517" s="37">
        <f>2020-Table_8[[#This Row],[Year]]</f>
        <v>14</v>
      </c>
      <c r="K517">
        <v>1090515389749.41</v>
      </c>
      <c r="L517">
        <v>8655.0006820680301</v>
      </c>
      <c r="M517">
        <v>3.3968341556999899</v>
      </c>
      <c r="N517">
        <v>-7.9879123401474903</v>
      </c>
      <c r="O517" s="39">
        <v>41.83</v>
      </c>
      <c r="P517" s="39">
        <v>860</v>
      </c>
      <c r="Q517" s="39">
        <v>172</v>
      </c>
      <c r="R517" s="39">
        <v>25.26</v>
      </c>
    </row>
    <row r="518" spans="1:18" x14ac:dyDescent="0.25">
      <c r="A518" s="1" t="s">
        <v>467</v>
      </c>
      <c r="B518" s="3">
        <v>435</v>
      </c>
      <c r="C518" s="19">
        <v>43</v>
      </c>
      <c r="D518" s="3" t="s">
        <v>497</v>
      </c>
      <c r="E518" s="3" t="s">
        <v>513</v>
      </c>
      <c r="F518" s="23">
        <v>345100</v>
      </c>
      <c r="G518" s="35">
        <v>2006</v>
      </c>
      <c r="H518">
        <f>Table_8[[#This Row],[Listing Price (USD)]]/10000</f>
        <v>34.51</v>
      </c>
      <c r="I518">
        <f>Table_8[[#This Row],[Length 
(ft)]]</f>
        <v>43</v>
      </c>
      <c r="J518" s="37">
        <f>2020-Table_8[[#This Row],[Year]]</f>
        <v>14</v>
      </c>
      <c r="K518">
        <v>77625486978.256104</v>
      </c>
      <c r="L518">
        <v>4604.5766789786403</v>
      </c>
      <c r="M518">
        <v>3.21444062197346</v>
      </c>
      <c r="N518">
        <v>-1.76408292563957</v>
      </c>
      <c r="O518" s="39">
        <v>41.83</v>
      </c>
      <c r="P518" s="39">
        <v>860</v>
      </c>
      <c r="Q518" s="39">
        <v>172</v>
      </c>
      <c r="R518" s="39">
        <v>25.26</v>
      </c>
    </row>
    <row r="519" spans="1:18" x14ac:dyDescent="0.25">
      <c r="A519" s="1" t="s">
        <v>480</v>
      </c>
      <c r="B519" s="2">
        <v>440</v>
      </c>
      <c r="C519" s="19">
        <v>44</v>
      </c>
      <c r="D519" s="3" t="s">
        <v>497</v>
      </c>
      <c r="E519" s="3" t="s">
        <v>524</v>
      </c>
      <c r="F519" s="23">
        <v>220000</v>
      </c>
      <c r="G519" s="35">
        <v>2007</v>
      </c>
      <c r="H519">
        <f>Table_8[[#This Row],[Listing Price (USD)]]/10000</f>
        <v>22</v>
      </c>
      <c r="I519">
        <f>Table_8[[#This Row],[Length 
(ft)]]</f>
        <v>44</v>
      </c>
      <c r="J519" s="37">
        <f>2020-Table_8[[#This Row],[Year]]</f>
        <v>13</v>
      </c>
      <c r="K519">
        <v>21059428851.4883</v>
      </c>
      <c r="L519">
        <v>13871.7982194664</v>
      </c>
      <c r="M519">
        <v>0.59898633082474695</v>
      </c>
      <c r="N519">
        <v>-7.6783311605235101</v>
      </c>
      <c r="O519" s="39">
        <v>41.83</v>
      </c>
      <c r="P519" s="39">
        <v>860</v>
      </c>
      <c r="Q519" s="39">
        <v>172</v>
      </c>
      <c r="R519" s="39">
        <v>25.26</v>
      </c>
    </row>
    <row r="520" spans="1:18" x14ac:dyDescent="0.25">
      <c r="A520" s="1" t="s">
        <v>480</v>
      </c>
      <c r="B520" s="2">
        <v>440</v>
      </c>
      <c r="C520" s="19">
        <v>44</v>
      </c>
      <c r="D520" s="3" t="s">
        <v>497</v>
      </c>
      <c r="E520" s="3" t="s">
        <v>392</v>
      </c>
      <c r="F520" s="23">
        <v>230000</v>
      </c>
      <c r="G520" s="35">
        <v>2005</v>
      </c>
      <c r="H520">
        <f>Table_8[[#This Row],[Listing Price (USD)]]/10000</f>
        <v>23</v>
      </c>
      <c r="I520">
        <f>Table_8[[#This Row],[Length 
(ft)]]</f>
        <v>44</v>
      </c>
      <c r="J520" s="37">
        <f>2020-Table_8[[#This Row],[Year]]</f>
        <v>15</v>
      </c>
      <c r="K520">
        <v>1043414814.81481</v>
      </c>
      <c r="L520">
        <v>8437.5667322870595</v>
      </c>
      <c r="M520">
        <v>-0.74073259704550098</v>
      </c>
      <c r="N520">
        <v>-13.7559294530644</v>
      </c>
      <c r="O520" s="39">
        <v>41.83</v>
      </c>
      <c r="P520" s="39">
        <v>860</v>
      </c>
      <c r="Q520" s="39">
        <v>172</v>
      </c>
      <c r="R520" s="39">
        <v>25.26</v>
      </c>
    </row>
    <row r="521" spans="1:18" x14ac:dyDescent="0.25">
      <c r="A521" s="1" t="s">
        <v>427</v>
      </c>
      <c r="B521" s="2">
        <v>440</v>
      </c>
      <c r="C521" s="19">
        <v>44.6</v>
      </c>
      <c r="D521" s="3" t="s">
        <v>496</v>
      </c>
      <c r="E521" s="4" t="s">
        <v>31</v>
      </c>
      <c r="F521" s="23">
        <v>267025</v>
      </c>
      <c r="G521" s="35">
        <v>2006</v>
      </c>
      <c r="H521">
        <f>Table_8[[#This Row],[Listing Price (USD)]]/10000</f>
        <v>26.702500000000001</v>
      </c>
      <c r="I521">
        <f>Table_8[[#This Row],[Length 
(ft)]]</f>
        <v>44.6</v>
      </c>
      <c r="J521" s="37">
        <f>2020-Table_8[[#This Row],[Year]]</f>
        <v>14</v>
      </c>
      <c r="K521">
        <v>57472012426.685303</v>
      </c>
      <c r="L521">
        <v>14198.753959474399</v>
      </c>
      <c r="M521">
        <v>0.15481137456202801</v>
      </c>
      <c r="N521">
        <v>-8.5803430210621805</v>
      </c>
      <c r="O521" s="39">
        <v>41.83</v>
      </c>
      <c r="P521" s="39">
        <v>860</v>
      </c>
      <c r="Q521" s="39">
        <v>172</v>
      </c>
      <c r="R521" s="39">
        <v>25.26</v>
      </c>
    </row>
    <row r="522" spans="1:18" x14ac:dyDescent="0.25">
      <c r="A522" s="1" t="s">
        <v>427</v>
      </c>
      <c r="B522" s="2">
        <v>440</v>
      </c>
      <c r="C522" s="19">
        <v>44.6</v>
      </c>
      <c r="D522" s="3" t="s">
        <v>496</v>
      </c>
      <c r="E522" s="4" t="s">
        <v>31</v>
      </c>
      <c r="F522" s="23">
        <v>267025</v>
      </c>
      <c r="G522" s="35">
        <v>2006</v>
      </c>
      <c r="H522">
        <f>Table_8[[#This Row],[Listing Price (USD)]]/10000</f>
        <v>26.702500000000001</v>
      </c>
      <c r="I522">
        <f>Table_8[[#This Row],[Length 
(ft)]]</f>
        <v>44.6</v>
      </c>
      <c r="J522" s="37">
        <f>2020-Table_8[[#This Row],[Year]]</f>
        <v>14</v>
      </c>
      <c r="K522">
        <v>57472012426.685303</v>
      </c>
      <c r="L522">
        <v>14198.753959474399</v>
      </c>
      <c r="M522">
        <v>0.15481137456202801</v>
      </c>
      <c r="N522">
        <v>-8.5803430210621805</v>
      </c>
      <c r="O522" s="39">
        <v>41.83</v>
      </c>
      <c r="P522" s="39">
        <v>860</v>
      </c>
      <c r="Q522" s="39">
        <v>172</v>
      </c>
      <c r="R522" s="39">
        <v>25.26</v>
      </c>
    </row>
    <row r="523" spans="1:18" x14ac:dyDescent="0.25">
      <c r="A523" s="1" t="s">
        <v>427</v>
      </c>
      <c r="B523" s="2">
        <v>440</v>
      </c>
      <c r="C523" s="19">
        <v>44.6</v>
      </c>
      <c r="D523" s="3" t="s">
        <v>496</v>
      </c>
      <c r="E523" s="4" t="s">
        <v>31</v>
      </c>
      <c r="F523" s="23">
        <v>267301</v>
      </c>
      <c r="G523" s="35">
        <v>2006</v>
      </c>
      <c r="H523">
        <f>Table_8[[#This Row],[Listing Price (USD)]]/10000</f>
        <v>26.7301</v>
      </c>
      <c r="I523">
        <f>Table_8[[#This Row],[Length 
(ft)]]</f>
        <v>44.6</v>
      </c>
      <c r="J523" s="37">
        <f>2020-Table_8[[#This Row],[Year]]</f>
        <v>14</v>
      </c>
      <c r="K523">
        <v>57472012426.685303</v>
      </c>
      <c r="L523">
        <v>14198.753959474399</v>
      </c>
      <c r="M523">
        <v>0.15481137456202801</v>
      </c>
      <c r="N523">
        <v>-8.5803430210621805</v>
      </c>
      <c r="O523" s="39">
        <v>41.83</v>
      </c>
      <c r="P523" s="39">
        <v>860</v>
      </c>
      <c r="Q523" s="39">
        <v>172</v>
      </c>
      <c r="R523" s="39">
        <v>25.26</v>
      </c>
    </row>
    <row r="524" spans="1:18" x14ac:dyDescent="0.25">
      <c r="A524" s="1" t="s">
        <v>441</v>
      </c>
      <c r="B524" s="2">
        <v>440</v>
      </c>
      <c r="C524" s="19">
        <v>44.6</v>
      </c>
      <c r="D524" s="3" t="s">
        <v>495</v>
      </c>
      <c r="E524" s="3" t="s">
        <v>333</v>
      </c>
      <c r="F524" s="23">
        <v>294000</v>
      </c>
      <c r="G524" s="35">
        <v>2007</v>
      </c>
      <c r="H524">
        <f>Table_8[[#This Row],[Listing Price (USD)]]/10000</f>
        <v>29.4</v>
      </c>
      <c r="I524">
        <f>Table_8[[#This Row],[Length 
(ft)]]</f>
        <v>44.6</v>
      </c>
      <c r="J524" s="37">
        <f>2020-Table_8[[#This Row],[Year]]</f>
        <v>13</v>
      </c>
      <c r="K524">
        <v>1106036000000</v>
      </c>
      <c r="L524">
        <v>51276.72</v>
      </c>
      <c r="M524">
        <v>1.23</v>
      </c>
      <c r="N524">
        <v>2.9</v>
      </c>
      <c r="O524" s="39">
        <v>41.83</v>
      </c>
      <c r="P524" s="39">
        <v>860</v>
      </c>
      <c r="Q524" s="39">
        <v>172</v>
      </c>
      <c r="R524" s="39">
        <v>25.26</v>
      </c>
    </row>
    <row r="525" spans="1:18" x14ac:dyDescent="0.25">
      <c r="A525" s="1" t="s">
        <v>427</v>
      </c>
      <c r="B525" s="2">
        <v>440</v>
      </c>
      <c r="C525" s="19">
        <v>44.6</v>
      </c>
      <c r="D525" s="3" t="s">
        <v>496</v>
      </c>
      <c r="E525" s="4" t="s">
        <v>18</v>
      </c>
      <c r="F525" s="23">
        <v>297369</v>
      </c>
      <c r="G525" s="35">
        <v>2007</v>
      </c>
      <c r="H525">
        <f>Table_8[[#This Row],[Listing Price (USD)]]/10000</f>
        <v>29.736899999999999</v>
      </c>
      <c r="I525">
        <f>Table_8[[#This Row],[Length 
(ft)]]</f>
        <v>44.6</v>
      </c>
      <c r="J525" s="37">
        <f>2020-Table_8[[#This Row],[Year]]</f>
        <v>13</v>
      </c>
      <c r="K525">
        <v>188925995936.80701</v>
      </c>
      <c r="L525">
        <v>17658.947301119199</v>
      </c>
      <c r="M525">
        <v>-1.2479835558140799</v>
      </c>
      <c r="N525">
        <v>-9.0040436420214593</v>
      </c>
      <c r="O525" s="39">
        <v>41.83</v>
      </c>
      <c r="P525" s="39">
        <v>860</v>
      </c>
      <c r="Q525" s="39">
        <v>172</v>
      </c>
      <c r="R525" s="39">
        <v>25.26</v>
      </c>
    </row>
    <row r="526" spans="1:18" x14ac:dyDescent="0.25">
      <c r="A526" s="1" t="s">
        <v>427</v>
      </c>
      <c r="B526" s="2">
        <v>440</v>
      </c>
      <c r="C526" s="19">
        <v>44.6</v>
      </c>
      <c r="D526" s="3" t="s">
        <v>496</v>
      </c>
      <c r="E526" s="4" t="s">
        <v>18</v>
      </c>
      <c r="F526" s="23">
        <v>297676</v>
      </c>
      <c r="G526" s="35">
        <v>2007</v>
      </c>
      <c r="H526">
        <f>Table_8[[#This Row],[Listing Price (USD)]]/10000</f>
        <v>29.767600000000002</v>
      </c>
      <c r="I526">
        <f>Table_8[[#This Row],[Length 
(ft)]]</f>
        <v>44.6</v>
      </c>
      <c r="J526" s="37">
        <f>2020-Table_8[[#This Row],[Year]]</f>
        <v>13</v>
      </c>
      <c r="K526">
        <v>188925995936.80701</v>
      </c>
      <c r="L526">
        <v>17658.947301119199</v>
      </c>
      <c r="M526">
        <v>-1.2479835558140799</v>
      </c>
      <c r="N526">
        <v>-9.0040436420214593</v>
      </c>
      <c r="O526" s="39">
        <v>41.83</v>
      </c>
      <c r="P526" s="39">
        <v>860</v>
      </c>
      <c r="Q526" s="39">
        <v>172</v>
      </c>
      <c r="R526" s="39">
        <v>25.26</v>
      </c>
    </row>
    <row r="527" spans="1:18" x14ac:dyDescent="0.25">
      <c r="A527" s="1" t="s">
        <v>427</v>
      </c>
      <c r="B527" s="2">
        <v>440</v>
      </c>
      <c r="C527" s="19">
        <v>42</v>
      </c>
      <c r="D527" s="3" t="s">
        <v>496</v>
      </c>
      <c r="E527" s="4" t="s">
        <v>24</v>
      </c>
      <c r="F527" s="23">
        <v>297902</v>
      </c>
      <c r="G527" s="35">
        <v>2008</v>
      </c>
      <c r="H527">
        <f>Table_8[[#This Row],[Listing Price (USD)]]/10000</f>
        <v>29.790199999999999</v>
      </c>
      <c r="I527">
        <f>Table_8[[#This Row],[Length 
(ft)]]</f>
        <v>42</v>
      </c>
      <c r="J527" s="37">
        <f>2020-Table_8[[#This Row],[Year]]</f>
        <v>12</v>
      </c>
      <c r="K527">
        <v>1896755301518.1399</v>
      </c>
      <c r="L527">
        <v>31911.0357890017</v>
      </c>
      <c r="M527">
        <v>-0.13770757391656999</v>
      </c>
      <c r="N527">
        <v>-9.0399534112288507</v>
      </c>
      <c r="O527" s="39">
        <v>41.83</v>
      </c>
      <c r="P527" s="39">
        <v>860</v>
      </c>
      <c r="Q527" s="39">
        <v>172</v>
      </c>
      <c r="R527" s="39">
        <v>25.26</v>
      </c>
    </row>
    <row r="528" spans="1:18" x14ac:dyDescent="0.25">
      <c r="A528" s="1" t="s">
        <v>427</v>
      </c>
      <c r="B528" s="2">
        <v>440</v>
      </c>
      <c r="C528" s="19">
        <v>44.6</v>
      </c>
      <c r="D528" s="3" t="s">
        <v>496</v>
      </c>
      <c r="E528" s="4" t="s">
        <v>24</v>
      </c>
      <c r="F528" s="23">
        <v>303437</v>
      </c>
      <c r="G528" s="35">
        <v>2006</v>
      </c>
      <c r="H528">
        <f>Table_8[[#This Row],[Listing Price (USD)]]/10000</f>
        <v>30.343699999999998</v>
      </c>
      <c r="I528">
        <f>Table_8[[#This Row],[Length 
(ft)]]</f>
        <v>44.6</v>
      </c>
      <c r="J528" s="37">
        <f>2020-Table_8[[#This Row],[Year]]</f>
        <v>14</v>
      </c>
      <c r="K528">
        <v>1896755301518.1399</v>
      </c>
      <c r="L528">
        <v>31911.0357890017</v>
      </c>
      <c r="M528">
        <v>-0.13770757391656999</v>
      </c>
      <c r="N528">
        <v>-9.0399534112288507</v>
      </c>
      <c r="O528" s="39">
        <v>41.83</v>
      </c>
      <c r="P528" s="39">
        <v>860</v>
      </c>
      <c r="Q528" s="39">
        <v>172</v>
      </c>
      <c r="R528" s="39">
        <v>25.26</v>
      </c>
    </row>
    <row r="529" spans="1:18" x14ac:dyDescent="0.25">
      <c r="A529" s="1" t="s">
        <v>427</v>
      </c>
      <c r="B529" s="2">
        <v>440</v>
      </c>
      <c r="C529" s="19">
        <v>44.6</v>
      </c>
      <c r="D529" s="3" t="s">
        <v>497</v>
      </c>
      <c r="E529" s="3" t="s">
        <v>498</v>
      </c>
      <c r="F529" s="23">
        <v>303437</v>
      </c>
      <c r="G529" s="35">
        <v>2008</v>
      </c>
      <c r="H529">
        <f>Table_8[[#This Row],[Listing Price (USD)]]/10000</f>
        <v>30.343699999999998</v>
      </c>
      <c r="I529">
        <f>Table_8[[#This Row],[Length 
(ft)]]</f>
        <v>44.6</v>
      </c>
      <c r="J529" s="37">
        <f>2020-Table_8[[#This Row],[Year]]</f>
        <v>12</v>
      </c>
      <c r="K529">
        <v>1090515389749.41</v>
      </c>
      <c r="L529">
        <v>8655.0006820680301</v>
      </c>
      <c r="M529">
        <v>3.3968341556999899</v>
      </c>
      <c r="N529">
        <v>-7.9879123401474903</v>
      </c>
      <c r="O529" s="39">
        <v>41.83</v>
      </c>
      <c r="P529" s="39">
        <v>860</v>
      </c>
      <c r="Q529" s="39">
        <v>172</v>
      </c>
      <c r="R529" s="39">
        <v>25.26</v>
      </c>
    </row>
    <row r="530" spans="1:18" x14ac:dyDescent="0.25">
      <c r="A530" s="1" t="s">
        <v>427</v>
      </c>
      <c r="B530" s="3">
        <v>440</v>
      </c>
      <c r="C530" s="19">
        <v>44.6</v>
      </c>
      <c r="D530" s="3" t="s">
        <v>497</v>
      </c>
      <c r="E530" s="3" t="s">
        <v>498</v>
      </c>
      <c r="F530" s="23">
        <v>303674</v>
      </c>
      <c r="G530" s="35">
        <v>2008</v>
      </c>
      <c r="H530">
        <f>Table_8[[#This Row],[Listing Price (USD)]]/10000</f>
        <v>30.3674</v>
      </c>
      <c r="I530">
        <f>Table_8[[#This Row],[Length 
(ft)]]</f>
        <v>44.6</v>
      </c>
      <c r="J530" s="37">
        <f>2020-Table_8[[#This Row],[Year]]</f>
        <v>12</v>
      </c>
      <c r="K530">
        <v>1090515389749.41</v>
      </c>
      <c r="L530">
        <v>8655.0006820680301</v>
      </c>
      <c r="M530">
        <v>3.3968341556999899</v>
      </c>
      <c r="N530">
        <v>-7.9879123401474903</v>
      </c>
      <c r="O530" s="39">
        <v>41.83</v>
      </c>
      <c r="P530" s="39">
        <v>860</v>
      </c>
      <c r="Q530" s="39">
        <v>172</v>
      </c>
      <c r="R530" s="39">
        <v>25.26</v>
      </c>
    </row>
    <row r="531" spans="1:18" x14ac:dyDescent="0.25">
      <c r="A531" s="1" t="s">
        <v>427</v>
      </c>
      <c r="B531" s="2">
        <v>440</v>
      </c>
      <c r="C531" s="19">
        <v>44.6</v>
      </c>
      <c r="D531" s="3" t="s">
        <v>496</v>
      </c>
      <c r="E531" s="4" t="s">
        <v>24</v>
      </c>
      <c r="F531" s="23">
        <v>303751</v>
      </c>
      <c r="G531" s="35">
        <v>2006</v>
      </c>
      <c r="H531">
        <f>Table_8[[#This Row],[Listing Price (USD)]]/10000</f>
        <v>30.3751</v>
      </c>
      <c r="I531">
        <f>Table_8[[#This Row],[Length 
(ft)]]</f>
        <v>44.6</v>
      </c>
      <c r="J531" s="37">
        <f>2020-Table_8[[#This Row],[Year]]</f>
        <v>14</v>
      </c>
      <c r="K531">
        <v>1896755301518.1399</v>
      </c>
      <c r="L531">
        <v>31911.0357890017</v>
      </c>
      <c r="M531">
        <v>-0.13770757391656999</v>
      </c>
      <c r="N531">
        <v>-9.0399534112288507</v>
      </c>
      <c r="O531" s="39">
        <v>41.83</v>
      </c>
      <c r="P531" s="39">
        <v>860</v>
      </c>
      <c r="Q531" s="39">
        <v>172</v>
      </c>
      <c r="R531" s="39">
        <v>25.26</v>
      </c>
    </row>
    <row r="532" spans="1:18" x14ac:dyDescent="0.25">
      <c r="A532" s="1" t="s">
        <v>427</v>
      </c>
      <c r="B532" s="2">
        <v>440</v>
      </c>
      <c r="C532" s="19">
        <v>42</v>
      </c>
      <c r="D532" s="3" t="s">
        <v>496</v>
      </c>
      <c r="E532" s="4" t="s">
        <v>24</v>
      </c>
      <c r="F532" s="23">
        <v>303982</v>
      </c>
      <c r="G532" s="35">
        <v>2008</v>
      </c>
      <c r="H532">
        <f>Table_8[[#This Row],[Listing Price (USD)]]/10000</f>
        <v>30.398199999999999</v>
      </c>
      <c r="I532">
        <f>Table_8[[#This Row],[Length 
(ft)]]</f>
        <v>42</v>
      </c>
      <c r="J532" s="37">
        <f>2020-Table_8[[#This Row],[Year]]</f>
        <v>12</v>
      </c>
      <c r="K532">
        <v>1896755301518.1399</v>
      </c>
      <c r="L532">
        <v>31911.0357890017</v>
      </c>
      <c r="M532">
        <v>-0.13770757391656999</v>
      </c>
      <c r="N532">
        <v>-9.0399534112288507</v>
      </c>
      <c r="O532" s="39">
        <v>41.83</v>
      </c>
      <c r="P532" s="39">
        <v>860</v>
      </c>
      <c r="Q532" s="39">
        <v>172</v>
      </c>
      <c r="R532" s="39">
        <v>25.26</v>
      </c>
    </row>
    <row r="533" spans="1:18" x14ac:dyDescent="0.25">
      <c r="A533" s="1" t="s">
        <v>427</v>
      </c>
      <c r="B533" s="2">
        <v>440</v>
      </c>
      <c r="C533" s="19">
        <v>44.6</v>
      </c>
      <c r="D533" s="3" t="s">
        <v>496</v>
      </c>
      <c r="E533" s="4" t="s">
        <v>24</v>
      </c>
      <c r="F533" s="23">
        <v>309506</v>
      </c>
      <c r="G533" s="35">
        <v>2006</v>
      </c>
      <c r="H533">
        <f>Table_8[[#This Row],[Listing Price (USD)]]/10000</f>
        <v>30.950600000000001</v>
      </c>
      <c r="I533">
        <f>Table_8[[#This Row],[Length 
(ft)]]</f>
        <v>44.6</v>
      </c>
      <c r="J533" s="37">
        <f>2020-Table_8[[#This Row],[Year]]</f>
        <v>14</v>
      </c>
      <c r="K533">
        <v>1896755301518.1399</v>
      </c>
      <c r="L533">
        <v>31911.0357890017</v>
      </c>
      <c r="M533">
        <v>-0.13770757391656999</v>
      </c>
      <c r="N533">
        <v>-9.0399534112288507</v>
      </c>
      <c r="O533" s="39">
        <v>41.83</v>
      </c>
      <c r="P533" s="39">
        <v>860</v>
      </c>
      <c r="Q533" s="39">
        <v>172</v>
      </c>
      <c r="R533" s="39">
        <v>25.26</v>
      </c>
    </row>
    <row r="534" spans="1:18" x14ac:dyDescent="0.25">
      <c r="A534" s="1" t="s">
        <v>427</v>
      </c>
      <c r="B534" s="2">
        <v>440</v>
      </c>
      <c r="C534" s="19">
        <v>44.6</v>
      </c>
      <c r="D534" s="3" t="s">
        <v>496</v>
      </c>
      <c r="E534" s="4" t="s">
        <v>9</v>
      </c>
      <c r="F534" s="23">
        <v>309506</v>
      </c>
      <c r="G534" s="35">
        <v>2007</v>
      </c>
      <c r="H534">
        <f>Table_8[[#This Row],[Listing Price (USD)]]/10000</f>
        <v>30.950600000000001</v>
      </c>
      <c r="I534">
        <f>Table_8[[#This Row],[Length 
(ft)]]</f>
        <v>44.6</v>
      </c>
      <c r="J534" s="37">
        <f>2020-Table_8[[#This Row],[Year]]</f>
        <v>13</v>
      </c>
      <c r="K534">
        <v>1276962685648.25</v>
      </c>
      <c r="L534">
        <v>26959.675436732599</v>
      </c>
      <c r="M534">
        <v>-0.32275301729970501</v>
      </c>
      <c r="N534">
        <v>-11.3254383222864</v>
      </c>
      <c r="O534" s="39">
        <v>41.83</v>
      </c>
      <c r="P534" s="39">
        <v>860</v>
      </c>
      <c r="Q534" s="39">
        <v>172</v>
      </c>
      <c r="R534" s="39">
        <v>25.26</v>
      </c>
    </row>
    <row r="535" spans="1:18" x14ac:dyDescent="0.25">
      <c r="A535" s="1" t="s">
        <v>427</v>
      </c>
      <c r="B535" s="2">
        <v>440</v>
      </c>
      <c r="C535" s="19">
        <v>44.6</v>
      </c>
      <c r="D535" s="3" t="s">
        <v>496</v>
      </c>
      <c r="E535" s="4" t="s">
        <v>24</v>
      </c>
      <c r="F535" s="23">
        <v>309826</v>
      </c>
      <c r="G535" s="35">
        <v>2006</v>
      </c>
      <c r="H535">
        <f>Table_8[[#This Row],[Listing Price (USD)]]/10000</f>
        <v>30.982600000000001</v>
      </c>
      <c r="I535">
        <f>Table_8[[#This Row],[Length 
(ft)]]</f>
        <v>44.6</v>
      </c>
      <c r="J535" s="37">
        <f>2020-Table_8[[#This Row],[Year]]</f>
        <v>14</v>
      </c>
      <c r="K535">
        <v>1896755301518.1399</v>
      </c>
      <c r="L535">
        <v>31911.0357890017</v>
      </c>
      <c r="M535">
        <v>-0.13770757391656999</v>
      </c>
      <c r="N535">
        <v>-9.0399534112288507</v>
      </c>
      <c r="O535" s="39">
        <v>41.83</v>
      </c>
      <c r="P535" s="39">
        <v>860</v>
      </c>
      <c r="Q535" s="39">
        <v>172</v>
      </c>
      <c r="R535" s="39">
        <v>25.26</v>
      </c>
    </row>
    <row r="536" spans="1:18" x14ac:dyDescent="0.25">
      <c r="A536" s="1" t="s">
        <v>427</v>
      </c>
      <c r="B536" s="2">
        <v>440</v>
      </c>
      <c r="C536" s="19">
        <v>44.6</v>
      </c>
      <c r="D536" s="3" t="s">
        <v>495</v>
      </c>
      <c r="E536" s="3" t="s">
        <v>515</v>
      </c>
      <c r="F536" s="23">
        <v>310000</v>
      </c>
      <c r="G536" s="35">
        <v>2007</v>
      </c>
      <c r="H536">
        <f>Table_8[[#This Row],[Listing Price (USD)]]/10000</f>
        <v>31</v>
      </c>
      <c r="I536">
        <f>Table_8[[#This Row],[Length 
(ft)]]</f>
        <v>44.6</v>
      </c>
      <c r="J536" s="37">
        <f>2020-Table_8[[#This Row],[Year]]</f>
        <v>13</v>
      </c>
      <c r="K536">
        <v>410675000000</v>
      </c>
      <c r="L536">
        <v>66531.03</v>
      </c>
      <c r="M536">
        <v>1.23</v>
      </c>
      <c r="N536">
        <v>1.8</v>
      </c>
      <c r="O536" s="39">
        <v>41.83</v>
      </c>
      <c r="P536" s="39">
        <v>860</v>
      </c>
      <c r="Q536" s="39">
        <v>172</v>
      </c>
      <c r="R536" s="39">
        <v>25.26</v>
      </c>
    </row>
    <row r="537" spans="1:18" x14ac:dyDescent="0.25">
      <c r="A537" s="1" t="s">
        <v>427</v>
      </c>
      <c r="B537" s="2">
        <v>440</v>
      </c>
      <c r="C537" s="19">
        <v>44.6</v>
      </c>
      <c r="D537" s="3" t="s">
        <v>497</v>
      </c>
      <c r="E537" s="3" t="s">
        <v>517</v>
      </c>
      <c r="F537" s="23">
        <v>310000</v>
      </c>
      <c r="G537" s="35">
        <v>2007</v>
      </c>
      <c r="H537">
        <f>Table_8[[#This Row],[Listing Price (USD)]]/10000</f>
        <v>31</v>
      </c>
      <c r="I537">
        <f>Table_8[[#This Row],[Length 
(ft)]]</f>
        <v>44.6</v>
      </c>
      <c r="J537" s="37">
        <f>2020-Table_8[[#This Row],[Year]]</f>
        <v>13</v>
      </c>
      <c r="K537">
        <v>681973374534.10596</v>
      </c>
      <c r="L537">
        <v>27575.495000325591</v>
      </c>
      <c r="M537">
        <v>0.8848420113691905</v>
      </c>
      <c r="N537">
        <v>-6.3525291034127971</v>
      </c>
      <c r="O537" s="39">
        <v>41.83</v>
      </c>
      <c r="P537" s="39">
        <v>860</v>
      </c>
      <c r="Q537" s="39">
        <v>172</v>
      </c>
      <c r="R537" s="39">
        <v>25.26</v>
      </c>
    </row>
    <row r="538" spans="1:18" x14ac:dyDescent="0.25">
      <c r="A538" s="1" t="s">
        <v>427</v>
      </c>
      <c r="B538" s="2">
        <v>440</v>
      </c>
      <c r="C538" s="19">
        <v>44.6</v>
      </c>
      <c r="D538" s="3" t="s">
        <v>496</v>
      </c>
      <c r="E538" s="4" t="s">
        <v>31</v>
      </c>
      <c r="F538" s="23">
        <v>313147</v>
      </c>
      <c r="G538" s="35">
        <v>2008</v>
      </c>
      <c r="H538">
        <f>Table_8[[#This Row],[Listing Price (USD)]]/10000</f>
        <v>31.314699999999998</v>
      </c>
      <c r="I538">
        <f>Table_8[[#This Row],[Length 
(ft)]]</f>
        <v>44.6</v>
      </c>
      <c r="J538" s="37">
        <f>2020-Table_8[[#This Row],[Year]]</f>
        <v>12</v>
      </c>
      <c r="K538">
        <v>57472012426.685303</v>
      </c>
      <c r="L538">
        <v>14198.753959474399</v>
      </c>
      <c r="M538">
        <v>0.15481137456202801</v>
      </c>
      <c r="N538">
        <v>-8.5803430210621805</v>
      </c>
      <c r="O538" s="39">
        <v>41.83</v>
      </c>
      <c r="P538" s="39">
        <v>860</v>
      </c>
      <c r="Q538" s="39">
        <v>172</v>
      </c>
      <c r="R538" s="39">
        <v>25.26</v>
      </c>
    </row>
    <row r="539" spans="1:18" x14ac:dyDescent="0.25">
      <c r="A539" s="1" t="s">
        <v>427</v>
      </c>
      <c r="B539" s="2">
        <v>440</v>
      </c>
      <c r="C539" s="19">
        <v>44.6</v>
      </c>
      <c r="D539" s="3" t="s">
        <v>496</v>
      </c>
      <c r="E539" s="4" t="s">
        <v>31</v>
      </c>
      <c r="F539" s="23">
        <v>313471</v>
      </c>
      <c r="G539" s="35">
        <v>2008</v>
      </c>
      <c r="H539">
        <f>Table_8[[#This Row],[Listing Price (USD)]]/10000</f>
        <v>31.347100000000001</v>
      </c>
      <c r="I539">
        <f>Table_8[[#This Row],[Length 
(ft)]]</f>
        <v>44.6</v>
      </c>
      <c r="J539" s="37">
        <f>2020-Table_8[[#This Row],[Year]]</f>
        <v>12</v>
      </c>
      <c r="K539">
        <v>57472012426.685303</v>
      </c>
      <c r="L539">
        <v>14198.753959474399</v>
      </c>
      <c r="M539">
        <v>0.15481137456202801</v>
      </c>
      <c r="N539">
        <v>-8.5803430210621805</v>
      </c>
      <c r="O539" s="39">
        <v>41.83</v>
      </c>
      <c r="P539" s="39">
        <v>860</v>
      </c>
      <c r="Q539" s="39">
        <v>172</v>
      </c>
      <c r="R539" s="39">
        <v>25.26</v>
      </c>
    </row>
    <row r="540" spans="1:18" x14ac:dyDescent="0.25">
      <c r="A540" s="1" t="s">
        <v>427</v>
      </c>
      <c r="B540" s="2">
        <v>440</v>
      </c>
      <c r="C540" s="19">
        <v>44.6</v>
      </c>
      <c r="D540" s="3" t="s">
        <v>495</v>
      </c>
      <c r="E540" s="3" t="s">
        <v>333</v>
      </c>
      <c r="F540" s="23">
        <v>320000</v>
      </c>
      <c r="G540" s="35">
        <v>2005</v>
      </c>
      <c r="H540">
        <f>Table_8[[#This Row],[Listing Price (USD)]]/10000</f>
        <v>32</v>
      </c>
      <c r="I540">
        <f>Table_8[[#This Row],[Length 
(ft)]]</f>
        <v>44.6</v>
      </c>
      <c r="J540" s="37">
        <f>2020-Table_8[[#This Row],[Year]]</f>
        <v>15</v>
      </c>
      <c r="K540">
        <v>1106036000000</v>
      </c>
      <c r="L540">
        <v>51276.72</v>
      </c>
      <c r="M540">
        <v>1.23</v>
      </c>
      <c r="N540">
        <v>2.9</v>
      </c>
      <c r="O540" s="39">
        <v>41.83</v>
      </c>
      <c r="P540" s="39">
        <v>860</v>
      </c>
      <c r="Q540" s="39">
        <v>172</v>
      </c>
      <c r="R540" s="39">
        <v>25.26</v>
      </c>
    </row>
    <row r="541" spans="1:18" x14ac:dyDescent="0.25">
      <c r="A541" s="1" t="s">
        <v>441</v>
      </c>
      <c r="B541" s="2">
        <v>440</v>
      </c>
      <c r="C541" s="19">
        <v>44.6</v>
      </c>
      <c r="D541" s="3" t="s">
        <v>495</v>
      </c>
      <c r="E541" s="3" t="s">
        <v>333</v>
      </c>
      <c r="F541" s="23">
        <v>320000</v>
      </c>
      <c r="G541" s="35">
        <v>2005</v>
      </c>
      <c r="H541">
        <f>Table_8[[#This Row],[Listing Price (USD)]]/10000</f>
        <v>32</v>
      </c>
      <c r="I541">
        <f>Table_8[[#This Row],[Length 
(ft)]]</f>
        <v>44.6</v>
      </c>
      <c r="J541" s="37">
        <f>2020-Table_8[[#This Row],[Year]]</f>
        <v>15</v>
      </c>
      <c r="K541">
        <v>1106036000000</v>
      </c>
      <c r="L541">
        <v>51276.72</v>
      </c>
      <c r="M541">
        <v>1.23</v>
      </c>
      <c r="N541">
        <v>2.9</v>
      </c>
      <c r="O541" s="39">
        <v>41.83</v>
      </c>
      <c r="P541" s="39">
        <v>860</v>
      </c>
      <c r="Q541" s="39">
        <v>172</v>
      </c>
      <c r="R541" s="39">
        <v>25.26</v>
      </c>
    </row>
    <row r="542" spans="1:18" x14ac:dyDescent="0.25">
      <c r="A542" s="1" t="s">
        <v>427</v>
      </c>
      <c r="B542" s="2">
        <v>440</v>
      </c>
      <c r="C542" s="19">
        <v>44.6</v>
      </c>
      <c r="D542" s="3" t="s">
        <v>496</v>
      </c>
      <c r="E542" s="4" t="s">
        <v>18</v>
      </c>
      <c r="F542" s="23">
        <v>321644</v>
      </c>
      <c r="G542" s="35">
        <v>2006</v>
      </c>
      <c r="H542">
        <f>Table_8[[#This Row],[Listing Price (USD)]]/10000</f>
        <v>32.164400000000001</v>
      </c>
      <c r="I542">
        <f>Table_8[[#This Row],[Length 
(ft)]]</f>
        <v>44.6</v>
      </c>
      <c r="J542" s="37">
        <f>2020-Table_8[[#This Row],[Year]]</f>
        <v>14</v>
      </c>
      <c r="K542">
        <v>188925995936.80701</v>
      </c>
      <c r="L542">
        <v>17658.947301119199</v>
      </c>
      <c r="M542">
        <v>-1.2479835558140799</v>
      </c>
      <c r="N542">
        <v>-9.0040436420214593</v>
      </c>
      <c r="O542" s="39">
        <v>41.83</v>
      </c>
      <c r="P542" s="39">
        <v>860</v>
      </c>
      <c r="Q542" s="39">
        <v>172</v>
      </c>
      <c r="R542" s="39">
        <v>25.26</v>
      </c>
    </row>
    <row r="543" spans="1:18" x14ac:dyDescent="0.25">
      <c r="A543" s="1" t="s">
        <v>427</v>
      </c>
      <c r="B543" s="2">
        <v>440</v>
      </c>
      <c r="C543" s="19">
        <v>44.6</v>
      </c>
      <c r="D543" s="3" t="s">
        <v>496</v>
      </c>
      <c r="E543" s="4" t="s">
        <v>18</v>
      </c>
      <c r="F543" s="23">
        <v>321976</v>
      </c>
      <c r="G543" s="35">
        <v>2006</v>
      </c>
      <c r="H543">
        <f>Table_8[[#This Row],[Listing Price (USD)]]/10000</f>
        <v>32.197600000000001</v>
      </c>
      <c r="I543">
        <f>Table_8[[#This Row],[Length 
(ft)]]</f>
        <v>44.6</v>
      </c>
      <c r="J543" s="37">
        <f>2020-Table_8[[#This Row],[Year]]</f>
        <v>14</v>
      </c>
      <c r="K543">
        <v>188925995936.80701</v>
      </c>
      <c r="L543">
        <v>17658.947301119199</v>
      </c>
      <c r="M543">
        <v>-1.2479835558140799</v>
      </c>
      <c r="N543">
        <v>-9.0040436420214593</v>
      </c>
      <c r="O543" s="39">
        <v>41.83</v>
      </c>
      <c r="P543" s="39">
        <v>860</v>
      </c>
      <c r="Q543" s="39">
        <v>172</v>
      </c>
      <c r="R543" s="39">
        <v>25.26</v>
      </c>
    </row>
    <row r="544" spans="1:18" x14ac:dyDescent="0.25">
      <c r="A544" s="1" t="s">
        <v>427</v>
      </c>
      <c r="B544" s="2">
        <v>440</v>
      </c>
      <c r="C544" s="19">
        <v>44.6</v>
      </c>
      <c r="D544" s="3" t="s">
        <v>497</v>
      </c>
      <c r="E544" s="3" t="s">
        <v>369</v>
      </c>
      <c r="F544" s="23">
        <v>325000</v>
      </c>
      <c r="G544" s="35">
        <v>2008</v>
      </c>
      <c r="H544">
        <f>Table_8[[#This Row],[Listing Price (USD)]]/10000</f>
        <v>32.5</v>
      </c>
      <c r="I544">
        <f>Table_8[[#This Row],[Length 
(ft)]]</f>
        <v>44.6</v>
      </c>
      <c r="J544" s="37">
        <f>2020-Table_8[[#This Row],[Year]]</f>
        <v>12</v>
      </c>
      <c r="K544">
        <v>78844702329.078506</v>
      </c>
      <c r="L544">
        <v>7167.9191590832697</v>
      </c>
      <c r="M544">
        <v>3.7810317991551599</v>
      </c>
      <c r="N544">
        <v>-6.7202393728340404</v>
      </c>
      <c r="O544" s="39">
        <v>41.83</v>
      </c>
      <c r="P544" s="39">
        <v>860</v>
      </c>
      <c r="Q544" s="39">
        <v>172</v>
      </c>
      <c r="R544" s="39">
        <v>25.26</v>
      </c>
    </row>
    <row r="545" spans="1:18" x14ac:dyDescent="0.25">
      <c r="A545" s="1" t="s">
        <v>427</v>
      </c>
      <c r="B545" s="2">
        <v>440</v>
      </c>
      <c r="C545" s="19">
        <v>44.6</v>
      </c>
      <c r="D545" s="3" t="s">
        <v>496</v>
      </c>
      <c r="E545" s="4" t="s">
        <v>18</v>
      </c>
      <c r="F545" s="23">
        <v>325285</v>
      </c>
      <c r="G545" s="35">
        <v>2006</v>
      </c>
      <c r="H545">
        <f>Table_8[[#This Row],[Listing Price (USD)]]/10000</f>
        <v>32.528500000000001</v>
      </c>
      <c r="I545">
        <f>Table_8[[#This Row],[Length 
(ft)]]</f>
        <v>44.6</v>
      </c>
      <c r="J545" s="37">
        <f>2020-Table_8[[#This Row],[Year]]</f>
        <v>14</v>
      </c>
      <c r="K545">
        <v>188925995936.80701</v>
      </c>
      <c r="L545">
        <v>17658.947301119199</v>
      </c>
      <c r="M545">
        <v>-1.2479835558140799</v>
      </c>
      <c r="N545">
        <v>-9.0040436420214593</v>
      </c>
      <c r="O545" s="39">
        <v>41.83</v>
      </c>
      <c r="P545" s="39">
        <v>860</v>
      </c>
      <c r="Q545" s="39">
        <v>172</v>
      </c>
      <c r="R545" s="39">
        <v>25.26</v>
      </c>
    </row>
    <row r="546" spans="1:18" x14ac:dyDescent="0.25">
      <c r="A546" s="1" t="s">
        <v>427</v>
      </c>
      <c r="B546" s="2">
        <v>440</v>
      </c>
      <c r="C546" s="19">
        <v>44.6</v>
      </c>
      <c r="D546" s="3" t="s">
        <v>496</v>
      </c>
      <c r="E546" s="4" t="s">
        <v>63</v>
      </c>
      <c r="F546" s="23">
        <v>333781</v>
      </c>
      <c r="G546" s="35">
        <v>2008</v>
      </c>
      <c r="H546">
        <f>Table_8[[#This Row],[Listing Price (USD)]]/10000</f>
        <v>33.378100000000003</v>
      </c>
      <c r="I546">
        <f>Table_8[[#This Row],[Length 
(ft)]]</f>
        <v>44.6</v>
      </c>
      <c r="J546" s="37">
        <f>2020-Table_8[[#This Row],[Year]]</f>
        <v>12</v>
      </c>
      <c r="K546">
        <v>720290000000</v>
      </c>
      <c r="L546">
        <v>13341.6</v>
      </c>
      <c r="M546">
        <v>13</v>
      </c>
      <c r="N546">
        <v>-3</v>
      </c>
      <c r="O546" s="39">
        <v>41.83</v>
      </c>
      <c r="P546" s="39">
        <v>860</v>
      </c>
      <c r="Q546" s="39">
        <v>172</v>
      </c>
      <c r="R546" s="39">
        <v>25.26</v>
      </c>
    </row>
    <row r="547" spans="1:18" x14ac:dyDescent="0.25">
      <c r="A547" s="1" t="s">
        <v>427</v>
      </c>
      <c r="B547" s="2">
        <v>440</v>
      </c>
      <c r="C547" s="19">
        <v>44.6</v>
      </c>
      <c r="D547" s="3" t="s">
        <v>496</v>
      </c>
      <c r="E547" s="4" t="s">
        <v>63</v>
      </c>
      <c r="F547" s="23">
        <v>334126</v>
      </c>
      <c r="G547" s="35">
        <v>2008</v>
      </c>
      <c r="H547">
        <f>Table_8[[#This Row],[Listing Price (USD)]]/10000</f>
        <v>33.412599999999998</v>
      </c>
      <c r="I547">
        <f>Table_8[[#This Row],[Length 
(ft)]]</f>
        <v>44.6</v>
      </c>
      <c r="J547" s="37">
        <f>2020-Table_8[[#This Row],[Year]]</f>
        <v>12</v>
      </c>
      <c r="K547">
        <v>720290000000</v>
      </c>
      <c r="L547">
        <v>13341.6</v>
      </c>
      <c r="M547">
        <v>13</v>
      </c>
      <c r="N547">
        <v>-3</v>
      </c>
      <c r="O547" s="39">
        <v>41.83</v>
      </c>
      <c r="P547" s="39">
        <v>860</v>
      </c>
      <c r="Q547" s="39">
        <v>172</v>
      </c>
      <c r="R547" s="39">
        <v>25.26</v>
      </c>
    </row>
    <row r="548" spans="1:18" x14ac:dyDescent="0.25">
      <c r="A548" s="1" t="s">
        <v>427</v>
      </c>
      <c r="B548" s="2">
        <v>440</v>
      </c>
      <c r="C548" s="19">
        <v>44.6</v>
      </c>
      <c r="D548" s="3" t="s">
        <v>496</v>
      </c>
      <c r="E548" s="4" t="s">
        <v>9</v>
      </c>
      <c r="F548" s="23">
        <v>339729</v>
      </c>
      <c r="G548" s="35">
        <v>2007</v>
      </c>
      <c r="H548">
        <f>Table_8[[#This Row],[Listing Price (USD)]]/10000</f>
        <v>33.972900000000003</v>
      </c>
      <c r="I548">
        <f>Table_8[[#This Row],[Length 
(ft)]]</f>
        <v>44.6</v>
      </c>
      <c r="J548" s="37">
        <f>2020-Table_8[[#This Row],[Year]]</f>
        <v>13</v>
      </c>
      <c r="K548">
        <v>1276962685648.25</v>
      </c>
      <c r="L548">
        <v>26959.675436732599</v>
      </c>
      <c r="M548">
        <v>-0.32275301729970501</v>
      </c>
      <c r="N548">
        <v>-11.3254383222864</v>
      </c>
      <c r="O548" s="39">
        <v>41.83</v>
      </c>
      <c r="P548" s="39">
        <v>860</v>
      </c>
      <c r="Q548" s="39">
        <v>172</v>
      </c>
      <c r="R548" s="39">
        <v>25.26</v>
      </c>
    </row>
    <row r="549" spans="1:18" x14ac:dyDescent="0.25">
      <c r="A549" s="1" t="s">
        <v>427</v>
      </c>
      <c r="B549" s="2">
        <v>440</v>
      </c>
      <c r="C549" s="19">
        <v>44.6</v>
      </c>
      <c r="D549" s="3" t="s">
        <v>497</v>
      </c>
      <c r="E549" s="3" t="s">
        <v>559</v>
      </c>
      <c r="F549" s="23">
        <v>345000</v>
      </c>
      <c r="G549" s="35">
        <v>2010</v>
      </c>
      <c r="H549">
        <f>Table_8[[#This Row],[Listing Price (USD)]]/10000</f>
        <v>34.5</v>
      </c>
      <c r="I549">
        <f>Table_8[[#This Row],[Length 
(ft)]]</f>
        <v>44.6</v>
      </c>
      <c r="J549" s="37">
        <f>2020-Table_8[[#This Row],[Year]]</f>
        <v>10</v>
      </c>
      <c r="K549">
        <v>681973374534.10596</v>
      </c>
      <c r="L549">
        <v>27575.495000325591</v>
      </c>
      <c r="M549">
        <v>0.8848420113691905</v>
      </c>
      <c r="N549">
        <v>-6.3525291034127971</v>
      </c>
      <c r="O549" s="39">
        <v>41.83</v>
      </c>
      <c r="P549" s="39">
        <v>860</v>
      </c>
      <c r="Q549" s="39">
        <v>172</v>
      </c>
      <c r="R549" s="39">
        <v>25.26</v>
      </c>
    </row>
    <row r="550" spans="1:18" x14ac:dyDescent="0.25">
      <c r="A550" s="1" t="s">
        <v>427</v>
      </c>
      <c r="B550" s="3">
        <v>440</v>
      </c>
      <c r="C550" s="19">
        <v>44.6</v>
      </c>
      <c r="D550" s="3" t="s">
        <v>497</v>
      </c>
      <c r="E550" s="3" t="s">
        <v>558</v>
      </c>
      <c r="F550" s="23">
        <v>345000</v>
      </c>
      <c r="G550" s="35">
        <v>2010</v>
      </c>
      <c r="H550">
        <f>Table_8[[#This Row],[Listing Price (USD)]]/10000</f>
        <v>34.5</v>
      </c>
      <c r="I550">
        <f>Table_8[[#This Row],[Length 
(ft)]]</f>
        <v>44.6</v>
      </c>
      <c r="J550" s="37">
        <f>2020-Table_8[[#This Row],[Year]]</f>
        <v>10</v>
      </c>
      <c r="K550">
        <v>1190000000</v>
      </c>
      <c r="L550">
        <v>28988.3</v>
      </c>
      <c r="M550">
        <v>6.5</v>
      </c>
      <c r="N550">
        <v>-6.6</v>
      </c>
      <c r="O550" s="39">
        <v>41.83</v>
      </c>
      <c r="P550" s="39">
        <v>860</v>
      </c>
      <c r="Q550" s="39">
        <v>172</v>
      </c>
      <c r="R550" s="39">
        <v>25.26</v>
      </c>
    </row>
    <row r="551" spans="1:18" x14ac:dyDescent="0.25">
      <c r="A551" s="1" t="s">
        <v>427</v>
      </c>
      <c r="B551" s="2">
        <v>440</v>
      </c>
      <c r="C551" s="19">
        <v>44.6</v>
      </c>
      <c r="D551" s="3" t="s">
        <v>496</v>
      </c>
      <c r="E551" s="4" t="s">
        <v>63</v>
      </c>
      <c r="F551" s="23">
        <v>345919</v>
      </c>
      <c r="G551" s="35">
        <v>2008</v>
      </c>
      <c r="H551">
        <f>Table_8[[#This Row],[Listing Price (USD)]]/10000</f>
        <v>34.591900000000003</v>
      </c>
      <c r="I551">
        <f>Table_8[[#This Row],[Length 
(ft)]]</f>
        <v>44.6</v>
      </c>
      <c r="J551" s="37">
        <f>2020-Table_8[[#This Row],[Year]]</f>
        <v>12</v>
      </c>
      <c r="K551">
        <v>720290000000</v>
      </c>
      <c r="L551">
        <v>13341.6</v>
      </c>
      <c r="M551">
        <v>13</v>
      </c>
      <c r="N551">
        <v>-3</v>
      </c>
      <c r="O551" s="39">
        <v>41.83</v>
      </c>
      <c r="P551" s="39">
        <v>860</v>
      </c>
      <c r="Q551" s="39">
        <v>172</v>
      </c>
      <c r="R551" s="39">
        <v>25.26</v>
      </c>
    </row>
    <row r="552" spans="1:18" x14ac:dyDescent="0.25">
      <c r="A552" s="1" t="s">
        <v>427</v>
      </c>
      <c r="B552" s="2">
        <v>440</v>
      </c>
      <c r="C552" s="19">
        <v>44.6</v>
      </c>
      <c r="D552" s="3" t="s">
        <v>496</v>
      </c>
      <c r="E552" s="4" t="s">
        <v>63</v>
      </c>
      <c r="F552" s="23">
        <v>346276</v>
      </c>
      <c r="G552" s="35">
        <v>2008</v>
      </c>
      <c r="H552">
        <f>Table_8[[#This Row],[Listing Price (USD)]]/10000</f>
        <v>34.627600000000001</v>
      </c>
      <c r="I552">
        <f>Table_8[[#This Row],[Length 
(ft)]]</f>
        <v>44.6</v>
      </c>
      <c r="J552" s="37">
        <f>2020-Table_8[[#This Row],[Year]]</f>
        <v>12</v>
      </c>
      <c r="K552">
        <v>720290000000</v>
      </c>
      <c r="L552">
        <v>13341.6</v>
      </c>
      <c r="M552">
        <v>13</v>
      </c>
      <c r="N552">
        <v>-3</v>
      </c>
      <c r="O552" s="39">
        <v>41.83</v>
      </c>
      <c r="P552" s="39">
        <v>860</v>
      </c>
      <c r="Q552" s="39">
        <v>172</v>
      </c>
      <c r="R552" s="39">
        <v>25.26</v>
      </c>
    </row>
    <row r="553" spans="1:18" x14ac:dyDescent="0.25">
      <c r="A553" s="1" t="s">
        <v>427</v>
      </c>
      <c r="B553" s="2">
        <v>440</v>
      </c>
      <c r="C553" s="19">
        <v>44.6</v>
      </c>
      <c r="D553" s="3" t="s">
        <v>496</v>
      </c>
      <c r="E553" s="4" t="s">
        <v>31</v>
      </c>
      <c r="F553" s="23">
        <v>347755</v>
      </c>
      <c r="G553" s="35">
        <v>2009</v>
      </c>
      <c r="H553">
        <f>Table_8[[#This Row],[Listing Price (USD)]]/10000</f>
        <v>34.775500000000001</v>
      </c>
      <c r="I553">
        <f>Table_8[[#This Row],[Length 
(ft)]]</f>
        <v>44.6</v>
      </c>
      <c r="J553" s="37">
        <f>2020-Table_8[[#This Row],[Year]]</f>
        <v>11</v>
      </c>
      <c r="K553">
        <v>57472012426.685303</v>
      </c>
      <c r="L553">
        <v>14198.753959474399</v>
      </c>
      <c r="M553">
        <v>0.15481137456202801</v>
      </c>
      <c r="N553">
        <v>-8.5803430210621805</v>
      </c>
      <c r="O553" s="39">
        <v>41.83</v>
      </c>
      <c r="P553" s="39">
        <v>860</v>
      </c>
      <c r="Q553" s="39">
        <v>172</v>
      </c>
      <c r="R553" s="39">
        <v>25.26</v>
      </c>
    </row>
    <row r="554" spans="1:18" x14ac:dyDescent="0.25">
      <c r="A554" s="1" t="s">
        <v>427</v>
      </c>
      <c r="B554" s="2">
        <v>440</v>
      </c>
      <c r="C554" s="19">
        <v>44.6</v>
      </c>
      <c r="D554" s="3" t="s">
        <v>495</v>
      </c>
      <c r="E554" s="3" t="s">
        <v>333</v>
      </c>
      <c r="F554" s="23">
        <v>349000</v>
      </c>
      <c r="G554" s="35">
        <v>2006</v>
      </c>
      <c r="H554">
        <f>Table_8[[#This Row],[Listing Price (USD)]]/10000</f>
        <v>34.9</v>
      </c>
      <c r="I554">
        <f>Table_8[[#This Row],[Length 
(ft)]]</f>
        <v>44.6</v>
      </c>
      <c r="J554" s="37">
        <f>2020-Table_8[[#This Row],[Year]]</f>
        <v>14</v>
      </c>
      <c r="K554">
        <v>1106036000000</v>
      </c>
      <c r="L554">
        <v>51276.72</v>
      </c>
      <c r="M554">
        <v>1.23</v>
      </c>
      <c r="N554">
        <v>2.9</v>
      </c>
      <c r="O554" s="39">
        <v>41.83</v>
      </c>
      <c r="P554" s="39">
        <v>860</v>
      </c>
      <c r="Q554" s="39">
        <v>172</v>
      </c>
      <c r="R554" s="39">
        <v>25.26</v>
      </c>
    </row>
    <row r="555" spans="1:18" x14ac:dyDescent="0.25">
      <c r="A555" s="1" t="s">
        <v>427</v>
      </c>
      <c r="B555" s="2">
        <v>440</v>
      </c>
      <c r="C555" s="19">
        <v>44.6</v>
      </c>
      <c r="D555" s="3" t="s">
        <v>495</v>
      </c>
      <c r="E555" s="3" t="s">
        <v>333</v>
      </c>
      <c r="F555" s="23">
        <v>349000</v>
      </c>
      <c r="G555" s="35">
        <v>2007</v>
      </c>
      <c r="H555">
        <f>Table_8[[#This Row],[Listing Price (USD)]]/10000</f>
        <v>34.9</v>
      </c>
      <c r="I555">
        <f>Table_8[[#This Row],[Length 
(ft)]]</f>
        <v>44.6</v>
      </c>
      <c r="J555" s="37">
        <f>2020-Table_8[[#This Row],[Year]]</f>
        <v>13</v>
      </c>
      <c r="K555">
        <v>1106036000000</v>
      </c>
      <c r="L555">
        <v>51276.72</v>
      </c>
      <c r="M555">
        <v>1.23</v>
      </c>
      <c r="N555">
        <v>2.9</v>
      </c>
      <c r="O555" s="39">
        <v>41.83</v>
      </c>
      <c r="P555" s="39">
        <v>860</v>
      </c>
      <c r="Q555" s="39">
        <v>172</v>
      </c>
      <c r="R555" s="39">
        <v>25.26</v>
      </c>
    </row>
    <row r="556" spans="1:18" x14ac:dyDescent="0.25">
      <c r="A556" s="1" t="s">
        <v>427</v>
      </c>
      <c r="B556" s="2">
        <v>440</v>
      </c>
      <c r="C556" s="19">
        <v>44.6</v>
      </c>
      <c r="D556" s="3" t="s">
        <v>497</v>
      </c>
      <c r="E556" s="3" t="s">
        <v>483</v>
      </c>
      <c r="F556" s="23">
        <v>349560</v>
      </c>
      <c r="G556" s="35">
        <v>2005</v>
      </c>
      <c r="H556">
        <f>Table_8[[#This Row],[Listing Price (USD)]]/10000</f>
        <v>34.956000000000003</v>
      </c>
      <c r="I556">
        <f>Table_8[[#This Row],[Length 
(ft)]]</f>
        <v>44.6</v>
      </c>
      <c r="J556" s="37">
        <f>2020-Table_8[[#This Row],[Year]]</f>
        <v>15</v>
      </c>
      <c r="K556">
        <v>4200000000</v>
      </c>
      <c r="L556">
        <v>39553.199999999997</v>
      </c>
      <c r="M556">
        <v>2.5</v>
      </c>
      <c r="N556">
        <v>-2.1</v>
      </c>
      <c r="O556" s="39">
        <v>41.83</v>
      </c>
      <c r="P556" s="39">
        <v>860</v>
      </c>
      <c r="Q556" s="39">
        <v>172</v>
      </c>
      <c r="R556" s="39">
        <v>25.26</v>
      </c>
    </row>
    <row r="557" spans="1:18" x14ac:dyDescent="0.25">
      <c r="A557" s="1" t="s">
        <v>427</v>
      </c>
      <c r="B557" s="3">
        <v>440</v>
      </c>
      <c r="C557" s="19">
        <v>44.6</v>
      </c>
      <c r="D557" s="3" t="s">
        <v>497</v>
      </c>
      <c r="E557" s="3" t="s">
        <v>483</v>
      </c>
      <c r="F557" s="23">
        <v>349833</v>
      </c>
      <c r="G557" s="35">
        <v>2005</v>
      </c>
      <c r="H557">
        <f>Table_8[[#This Row],[Listing Price (USD)]]/10000</f>
        <v>34.9833</v>
      </c>
      <c r="I557">
        <f>Table_8[[#This Row],[Length 
(ft)]]</f>
        <v>44.6</v>
      </c>
      <c r="J557" s="37">
        <f>2020-Table_8[[#This Row],[Year]]</f>
        <v>15</v>
      </c>
      <c r="K557">
        <v>4200000000</v>
      </c>
      <c r="L557">
        <v>39553.199999999997</v>
      </c>
      <c r="M557">
        <v>2.5</v>
      </c>
      <c r="N557">
        <v>-2.1</v>
      </c>
      <c r="O557" s="39">
        <v>41.83</v>
      </c>
      <c r="P557" s="39">
        <v>860</v>
      </c>
      <c r="Q557" s="39">
        <v>172</v>
      </c>
      <c r="R557" s="39">
        <v>25.26</v>
      </c>
    </row>
    <row r="558" spans="1:18" x14ac:dyDescent="0.25">
      <c r="A558" s="1" t="s">
        <v>427</v>
      </c>
      <c r="B558" s="2">
        <v>440</v>
      </c>
      <c r="C558" s="19">
        <v>44.6</v>
      </c>
      <c r="D558" s="3" t="s">
        <v>495</v>
      </c>
      <c r="E558" s="3" t="s">
        <v>515</v>
      </c>
      <c r="F558" s="23">
        <v>359000</v>
      </c>
      <c r="G558" s="35">
        <v>2008</v>
      </c>
      <c r="H558">
        <f>Table_8[[#This Row],[Listing Price (USD)]]/10000</f>
        <v>35.9</v>
      </c>
      <c r="I558">
        <f>Table_8[[#This Row],[Length 
(ft)]]</f>
        <v>44.6</v>
      </c>
      <c r="J558" s="37">
        <f>2020-Table_8[[#This Row],[Year]]</f>
        <v>12</v>
      </c>
      <c r="K558">
        <v>410675000000</v>
      </c>
      <c r="L558">
        <v>66531.03</v>
      </c>
      <c r="M558">
        <v>1.23</v>
      </c>
      <c r="N558">
        <v>1.8</v>
      </c>
      <c r="O558" s="39">
        <v>41.83</v>
      </c>
      <c r="P558" s="39">
        <v>860</v>
      </c>
      <c r="Q558" s="39">
        <v>172</v>
      </c>
      <c r="R558" s="39">
        <v>25.26</v>
      </c>
    </row>
    <row r="559" spans="1:18" x14ac:dyDescent="0.25">
      <c r="A559" s="1" t="s">
        <v>427</v>
      </c>
      <c r="B559" s="2">
        <v>440</v>
      </c>
      <c r="C559" s="19">
        <v>44.6</v>
      </c>
      <c r="D559" s="3" t="s">
        <v>497</v>
      </c>
      <c r="E559" s="3" t="s">
        <v>377</v>
      </c>
      <c r="F559" s="23">
        <v>362911</v>
      </c>
      <c r="G559" s="35">
        <v>2008</v>
      </c>
      <c r="H559">
        <f>Table_8[[#This Row],[Listing Price (USD)]]/10000</f>
        <v>36.2911</v>
      </c>
      <c r="I559">
        <f>Table_8[[#This Row],[Length 
(ft)]]</f>
        <v>44.6</v>
      </c>
      <c r="J559" s="37">
        <f>2020-Table_8[[#This Row],[Year]]</f>
        <v>12</v>
      </c>
      <c r="K559">
        <v>681973374534.10596</v>
      </c>
      <c r="L559">
        <v>27575.495000325591</v>
      </c>
      <c r="M559">
        <v>0.8848420113691905</v>
      </c>
      <c r="N559">
        <v>-6.3525291034127971</v>
      </c>
      <c r="O559" s="39">
        <v>41.83</v>
      </c>
      <c r="P559" s="39">
        <v>860</v>
      </c>
      <c r="Q559" s="39">
        <v>172</v>
      </c>
      <c r="R559" s="39">
        <v>25.26</v>
      </c>
    </row>
    <row r="560" spans="1:18" x14ac:dyDescent="0.25">
      <c r="A560" s="1" t="s">
        <v>427</v>
      </c>
      <c r="B560" s="3">
        <v>440</v>
      </c>
      <c r="C560" s="19">
        <v>44.6</v>
      </c>
      <c r="D560" s="3" t="s">
        <v>497</v>
      </c>
      <c r="E560" s="3" t="s">
        <v>377</v>
      </c>
      <c r="F560" s="23">
        <v>363194</v>
      </c>
      <c r="G560" s="35">
        <v>2008</v>
      </c>
      <c r="H560">
        <f>Table_8[[#This Row],[Listing Price (USD)]]/10000</f>
        <v>36.319400000000002</v>
      </c>
      <c r="I560">
        <f>Table_8[[#This Row],[Length 
(ft)]]</f>
        <v>44.6</v>
      </c>
      <c r="J560" s="37">
        <f>2020-Table_8[[#This Row],[Year]]</f>
        <v>12</v>
      </c>
      <c r="K560">
        <v>681973374534.10596</v>
      </c>
      <c r="L560">
        <v>27575.495000325591</v>
      </c>
      <c r="M560">
        <v>0.8848420113691905</v>
      </c>
      <c r="N560">
        <v>-6.3525291034127971</v>
      </c>
      <c r="O560" s="39">
        <v>41.83</v>
      </c>
      <c r="P560" s="39">
        <v>860</v>
      </c>
      <c r="Q560" s="39">
        <v>172</v>
      </c>
      <c r="R560" s="39">
        <v>25.26</v>
      </c>
    </row>
    <row r="561" spans="1:18" x14ac:dyDescent="0.25">
      <c r="A561" s="1" t="s">
        <v>427</v>
      </c>
      <c r="B561" s="2">
        <v>440</v>
      </c>
      <c r="C561" s="19">
        <v>44.6</v>
      </c>
      <c r="D561" s="3" t="s">
        <v>497</v>
      </c>
      <c r="E561" s="3" t="s">
        <v>483</v>
      </c>
      <c r="F561" s="23">
        <v>376262</v>
      </c>
      <c r="G561" s="35">
        <v>2007</v>
      </c>
      <c r="H561">
        <f>Table_8[[#This Row],[Listing Price (USD)]]/10000</f>
        <v>37.626199999999997</v>
      </c>
      <c r="I561">
        <f>Table_8[[#This Row],[Length 
(ft)]]</f>
        <v>44.6</v>
      </c>
      <c r="J561" s="37">
        <f>2020-Table_8[[#This Row],[Year]]</f>
        <v>13</v>
      </c>
      <c r="K561">
        <v>4200000000</v>
      </c>
      <c r="L561">
        <v>39553.199999999997</v>
      </c>
      <c r="M561">
        <v>2.5</v>
      </c>
      <c r="N561">
        <v>-2.1</v>
      </c>
      <c r="O561" s="39">
        <v>41.83</v>
      </c>
      <c r="P561" s="39">
        <v>860</v>
      </c>
      <c r="Q561" s="39">
        <v>172</v>
      </c>
      <c r="R561" s="39">
        <v>25.26</v>
      </c>
    </row>
    <row r="562" spans="1:18" x14ac:dyDescent="0.25">
      <c r="A562" s="1" t="s">
        <v>427</v>
      </c>
      <c r="B562" s="2">
        <v>440</v>
      </c>
      <c r="C562" s="19">
        <v>44.6</v>
      </c>
      <c r="D562" s="3" t="s">
        <v>496</v>
      </c>
      <c r="E562" s="4" t="s">
        <v>3</v>
      </c>
      <c r="F562" s="23">
        <v>376262</v>
      </c>
      <c r="G562" s="35">
        <v>2008</v>
      </c>
      <c r="H562">
        <f>Table_8[[#This Row],[Listing Price (USD)]]/10000</f>
        <v>37.626199999999997</v>
      </c>
      <c r="I562">
        <f>Table_8[[#This Row],[Length 
(ft)]]</f>
        <v>44.6</v>
      </c>
      <c r="J562" s="37">
        <f>2020-Table_8[[#This Row],[Year]]</f>
        <v>12</v>
      </c>
      <c r="K562">
        <v>2639008701648.2598</v>
      </c>
      <c r="L562">
        <v>39055.282928075401</v>
      </c>
      <c r="M562">
        <v>0.47649885272508302</v>
      </c>
      <c r="N562">
        <v>-7.7845864916787102</v>
      </c>
      <c r="O562" s="39">
        <v>41.83</v>
      </c>
      <c r="P562" s="39">
        <v>860</v>
      </c>
      <c r="Q562" s="39">
        <v>172</v>
      </c>
      <c r="R562" s="39">
        <v>25.26</v>
      </c>
    </row>
    <row r="563" spans="1:18" x14ac:dyDescent="0.25">
      <c r="A563" s="1" t="s">
        <v>427</v>
      </c>
      <c r="B563" s="3">
        <v>440</v>
      </c>
      <c r="C563" s="19">
        <v>44.6</v>
      </c>
      <c r="D563" s="3" t="s">
        <v>497</v>
      </c>
      <c r="E563" s="3" t="s">
        <v>483</v>
      </c>
      <c r="F563" s="23">
        <v>376556</v>
      </c>
      <c r="G563" s="35">
        <v>2007</v>
      </c>
      <c r="H563">
        <f>Table_8[[#This Row],[Listing Price (USD)]]/10000</f>
        <v>37.6556</v>
      </c>
      <c r="I563">
        <f>Table_8[[#This Row],[Length 
(ft)]]</f>
        <v>44.6</v>
      </c>
      <c r="J563" s="37">
        <f>2020-Table_8[[#This Row],[Year]]</f>
        <v>13</v>
      </c>
      <c r="K563">
        <v>4200000000</v>
      </c>
      <c r="L563">
        <v>39553.199999999997</v>
      </c>
      <c r="M563">
        <v>2.5</v>
      </c>
      <c r="N563">
        <v>-2.1</v>
      </c>
      <c r="O563" s="39">
        <v>41.83</v>
      </c>
      <c r="P563" s="39">
        <v>860</v>
      </c>
      <c r="Q563" s="39">
        <v>172</v>
      </c>
      <c r="R563" s="39">
        <v>25.26</v>
      </c>
    </row>
    <row r="564" spans="1:18" x14ac:dyDescent="0.25">
      <c r="A564" s="1" t="s">
        <v>427</v>
      </c>
      <c r="B564" s="2">
        <v>440</v>
      </c>
      <c r="C564" s="19">
        <v>44.6</v>
      </c>
      <c r="D564" s="3" t="s">
        <v>496</v>
      </c>
      <c r="E564" s="4" t="s">
        <v>3</v>
      </c>
      <c r="F564" s="23">
        <v>376652</v>
      </c>
      <c r="G564" s="35">
        <v>2008</v>
      </c>
      <c r="H564">
        <f>Table_8[[#This Row],[Listing Price (USD)]]/10000</f>
        <v>37.665199999999999</v>
      </c>
      <c r="I564">
        <f>Table_8[[#This Row],[Length 
(ft)]]</f>
        <v>44.6</v>
      </c>
      <c r="J564" s="37">
        <f>2020-Table_8[[#This Row],[Year]]</f>
        <v>12</v>
      </c>
      <c r="K564">
        <v>2639008701648.2598</v>
      </c>
      <c r="L564">
        <v>39055.282928075401</v>
      </c>
      <c r="M564">
        <v>0.47649885272508302</v>
      </c>
      <c r="N564">
        <v>-7.7845864916787102</v>
      </c>
      <c r="O564" s="39">
        <v>41.83</v>
      </c>
      <c r="P564" s="39">
        <v>860</v>
      </c>
      <c r="Q564" s="39">
        <v>172</v>
      </c>
      <c r="R564" s="39">
        <v>25.26</v>
      </c>
    </row>
    <row r="565" spans="1:18" x14ac:dyDescent="0.25">
      <c r="A565" s="1" t="s">
        <v>441</v>
      </c>
      <c r="B565" s="2">
        <v>440</v>
      </c>
      <c r="C565" s="19">
        <v>44.6</v>
      </c>
      <c r="D565" s="3" t="s">
        <v>495</v>
      </c>
      <c r="E565" s="3" t="s">
        <v>512</v>
      </c>
      <c r="F565" s="23">
        <v>379000</v>
      </c>
      <c r="G565" s="35">
        <v>2005</v>
      </c>
      <c r="H565">
        <f>Table_8[[#This Row],[Listing Price (USD)]]/10000</f>
        <v>37.9</v>
      </c>
      <c r="I565">
        <f>Table_8[[#This Row],[Length 
(ft)]]</f>
        <v>44.6</v>
      </c>
      <c r="J565" s="37">
        <f>2020-Table_8[[#This Row],[Year]]</f>
        <v>15</v>
      </c>
      <c r="K565">
        <v>15842922532.7202</v>
      </c>
      <c r="L565">
        <v>4255.7429932125397</v>
      </c>
      <c r="M565">
        <v>5.2024648897533003</v>
      </c>
      <c r="N565">
        <v>-6.7604398170551896</v>
      </c>
      <c r="O565" s="39">
        <v>41.83</v>
      </c>
      <c r="P565" s="39">
        <v>860</v>
      </c>
      <c r="Q565" s="39">
        <v>172</v>
      </c>
      <c r="R565" s="39">
        <v>25.26</v>
      </c>
    </row>
    <row r="566" spans="1:18" x14ac:dyDescent="0.25">
      <c r="A566" s="1" t="s">
        <v>427</v>
      </c>
      <c r="B566" s="2">
        <v>440</v>
      </c>
      <c r="C566" s="19">
        <v>44.6</v>
      </c>
      <c r="D566" s="3" t="s">
        <v>497</v>
      </c>
      <c r="E566" s="3" t="s">
        <v>377</v>
      </c>
      <c r="F566" s="23">
        <v>380000</v>
      </c>
      <c r="G566" s="35">
        <v>2010</v>
      </c>
      <c r="H566">
        <f>Table_8[[#This Row],[Listing Price (USD)]]/10000</f>
        <v>38</v>
      </c>
      <c r="I566">
        <f>Table_8[[#This Row],[Length 
(ft)]]</f>
        <v>44.6</v>
      </c>
      <c r="J566" s="37">
        <f>2020-Table_8[[#This Row],[Year]]</f>
        <v>10</v>
      </c>
      <c r="K566">
        <v>681973374534.10596</v>
      </c>
      <c r="L566">
        <v>27575.495000325591</v>
      </c>
      <c r="M566">
        <v>0.8848420113691905</v>
      </c>
      <c r="N566">
        <v>-6.3525291034127971</v>
      </c>
      <c r="O566" s="39">
        <v>41.83</v>
      </c>
      <c r="P566" s="39">
        <v>860</v>
      </c>
      <c r="Q566" s="39">
        <v>172</v>
      </c>
      <c r="R566" s="39">
        <v>25.26</v>
      </c>
    </row>
    <row r="567" spans="1:18" x14ac:dyDescent="0.25">
      <c r="A567" s="1" t="s">
        <v>427</v>
      </c>
      <c r="B567" s="2">
        <v>440</v>
      </c>
      <c r="C567" s="19">
        <v>44.6</v>
      </c>
      <c r="D567" s="3" t="s">
        <v>496</v>
      </c>
      <c r="E567" s="4" t="s">
        <v>24</v>
      </c>
      <c r="F567" s="23">
        <v>388400</v>
      </c>
      <c r="G567" s="35">
        <v>2008</v>
      </c>
      <c r="H567">
        <f>Table_8[[#This Row],[Listing Price (USD)]]/10000</f>
        <v>38.840000000000003</v>
      </c>
      <c r="I567">
        <f>Table_8[[#This Row],[Length 
(ft)]]</f>
        <v>44.6</v>
      </c>
      <c r="J567" s="37">
        <f>2020-Table_8[[#This Row],[Year]]</f>
        <v>12</v>
      </c>
      <c r="K567">
        <v>1896755301518.1399</v>
      </c>
      <c r="L567">
        <v>31911.0357890017</v>
      </c>
      <c r="M567">
        <v>-0.13770757391656999</v>
      </c>
      <c r="N567">
        <v>-9.0399534112288507</v>
      </c>
      <c r="O567" s="39">
        <v>41.83</v>
      </c>
      <c r="P567" s="39">
        <v>860</v>
      </c>
      <c r="Q567" s="39">
        <v>172</v>
      </c>
      <c r="R567" s="39">
        <v>25.26</v>
      </c>
    </row>
    <row r="568" spans="1:18" x14ac:dyDescent="0.25">
      <c r="A568" s="1" t="s">
        <v>427</v>
      </c>
      <c r="B568" s="2">
        <v>440</v>
      </c>
      <c r="C568" s="19">
        <v>44.6</v>
      </c>
      <c r="D568" s="3" t="s">
        <v>496</v>
      </c>
      <c r="E568" s="4" t="s">
        <v>24</v>
      </c>
      <c r="F568" s="23">
        <v>388400</v>
      </c>
      <c r="G568" s="35">
        <v>2008</v>
      </c>
      <c r="H568">
        <f>Table_8[[#This Row],[Listing Price (USD)]]/10000</f>
        <v>38.840000000000003</v>
      </c>
      <c r="I568">
        <f>Table_8[[#This Row],[Length 
(ft)]]</f>
        <v>44.6</v>
      </c>
      <c r="J568" s="37">
        <f>2020-Table_8[[#This Row],[Year]]</f>
        <v>12</v>
      </c>
      <c r="K568">
        <v>1896755301518.1399</v>
      </c>
      <c r="L568">
        <v>31911.0357890017</v>
      </c>
      <c r="M568">
        <v>-0.13770757391656999</v>
      </c>
      <c r="N568">
        <v>-9.0399534112288507</v>
      </c>
      <c r="O568" s="39">
        <v>41.83</v>
      </c>
      <c r="P568" s="39">
        <v>860</v>
      </c>
      <c r="Q568" s="39">
        <v>172</v>
      </c>
      <c r="R568" s="39">
        <v>25.26</v>
      </c>
    </row>
    <row r="569" spans="1:18" x14ac:dyDescent="0.25">
      <c r="A569" s="1" t="s">
        <v>427</v>
      </c>
      <c r="B569" s="2">
        <v>440</v>
      </c>
      <c r="C569" s="19">
        <v>44.6</v>
      </c>
      <c r="D569" s="3" t="s">
        <v>496</v>
      </c>
      <c r="E569" s="4" t="s">
        <v>63</v>
      </c>
      <c r="F569" s="23">
        <v>388400</v>
      </c>
      <c r="G569" s="35">
        <v>2008</v>
      </c>
      <c r="H569">
        <f>Table_8[[#This Row],[Listing Price (USD)]]/10000</f>
        <v>38.840000000000003</v>
      </c>
      <c r="I569">
        <f>Table_8[[#This Row],[Length 
(ft)]]</f>
        <v>44.6</v>
      </c>
      <c r="J569" s="37">
        <f>2020-Table_8[[#This Row],[Year]]</f>
        <v>12</v>
      </c>
      <c r="K569">
        <v>720290000000</v>
      </c>
      <c r="L569">
        <v>13341.6</v>
      </c>
      <c r="M569">
        <v>13</v>
      </c>
      <c r="N569">
        <v>-3</v>
      </c>
      <c r="O569" s="39">
        <v>41.83</v>
      </c>
      <c r="P569" s="39">
        <v>860</v>
      </c>
      <c r="Q569" s="39">
        <v>172</v>
      </c>
      <c r="R569" s="39">
        <v>25.26</v>
      </c>
    </row>
    <row r="570" spans="1:18" x14ac:dyDescent="0.25">
      <c r="A570" s="1" t="s">
        <v>427</v>
      </c>
      <c r="B570" s="2">
        <v>440</v>
      </c>
      <c r="C570" s="19">
        <v>44.6</v>
      </c>
      <c r="D570" s="3" t="s">
        <v>496</v>
      </c>
      <c r="E570" s="4" t="s">
        <v>9</v>
      </c>
      <c r="F570" s="23">
        <v>394469</v>
      </c>
      <c r="G570" s="35">
        <v>2007</v>
      </c>
      <c r="H570">
        <f>Table_8[[#This Row],[Listing Price (USD)]]/10000</f>
        <v>39.446899999999999</v>
      </c>
      <c r="I570">
        <f>Table_8[[#This Row],[Length 
(ft)]]</f>
        <v>44.6</v>
      </c>
      <c r="J570" s="37">
        <f>2020-Table_8[[#This Row],[Year]]</f>
        <v>13</v>
      </c>
      <c r="K570">
        <v>1276962685648.25</v>
      </c>
      <c r="L570">
        <v>26959.675436732599</v>
      </c>
      <c r="M570">
        <v>-0.32275301729970501</v>
      </c>
      <c r="N570">
        <v>-11.3254383222864</v>
      </c>
      <c r="O570" s="39">
        <v>41.83</v>
      </c>
      <c r="P570" s="39">
        <v>860</v>
      </c>
      <c r="Q570" s="39">
        <v>172</v>
      </c>
      <c r="R570" s="39">
        <v>25.26</v>
      </c>
    </row>
    <row r="571" spans="1:18" x14ac:dyDescent="0.25">
      <c r="A571" s="1" t="s">
        <v>427</v>
      </c>
      <c r="B571" s="2">
        <v>440</v>
      </c>
      <c r="C571" s="19">
        <v>44.6</v>
      </c>
      <c r="D571" s="3" t="s">
        <v>496</v>
      </c>
      <c r="E571" s="3" t="s">
        <v>9</v>
      </c>
      <c r="F571" s="23">
        <v>394877</v>
      </c>
      <c r="G571" s="35">
        <v>2007</v>
      </c>
      <c r="H571">
        <f>Table_8[[#This Row],[Listing Price (USD)]]/10000</f>
        <v>39.487699999999997</v>
      </c>
      <c r="I571">
        <f>Table_8[[#This Row],[Length 
(ft)]]</f>
        <v>44.6</v>
      </c>
      <c r="J571" s="37">
        <f>2020-Table_8[[#This Row],[Year]]</f>
        <v>13</v>
      </c>
      <c r="K571">
        <v>1276962685648.25</v>
      </c>
      <c r="L571">
        <v>26959.675436732599</v>
      </c>
      <c r="M571">
        <v>-0.32275301729970501</v>
      </c>
      <c r="N571">
        <v>-11.3254383222864</v>
      </c>
      <c r="O571" s="39">
        <v>41.83</v>
      </c>
      <c r="P571" s="39">
        <v>860</v>
      </c>
      <c r="Q571" s="39">
        <v>172</v>
      </c>
      <c r="R571" s="39">
        <v>25.26</v>
      </c>
    </row>
    <row r="572" spans="1:18" x14ac:dyDescent="0.25">
      <c r="A572" s="1" t="s">
        <v>427</v>
      </c>
      <c r="B572" s="2">
        <v>440</v>
      </c>
      <c r="C572" s="19">
        <v>44.6</v>
      </c>
      <c r="D572" s="3" t="s">
        <v>497</v>
      </c>
      <c r="E572" s="3" t="s">
        <v>377</v>
      </c>
      <c r="F572" s="23">
        <v>400537</v>
      </c>
      <c r="G572" s="35">
        <v>2008</v>
      </c>
      <c r="H572">
        <f>Table_8[[#This Row],[Listing Price (USD)]]/10000</f>
        <v>40.053699999999999</v>
      </c>
      <c r="I572">
        <f>Table_8[[#This Row],[Length 
(ft)]]</f>
        <v>44.6</v>
      </c>
      <c r="J572" s="37">
        <f>2020-Table_8[[#This Row],[Year]]</f>
        <v>12</v>
      </c>
      <c r="K572">
        <v>681973374534.10596</v>
      </c>
      <c r="L572">
        <v>27575.495000325591</v>
      </c>
      <c r="M572">
        <v>0.8848420113691905</v>
      </c>
      <c r="N572">
        <v>-6.3525291034127971</v>
      </c>
      <c r="O572" s="39">
        <v>41.83</v>
      </c>
      <c r="P572" s="39">
        <v>860</v>
      </c>
      <c r="Q572" s="39">
        <v>172</v>
      </c>
      <c r="R572" s="39">
        <v>25.26</v>
      </c>
    </row>
    <row r="573" spans="1:18" x14ac:dyDescent="0.25">
      <c r="A573" s="1" t="s">
        <v>427</v>
      </c>
      <c r="B573" s="2">
        <v>440</v>
      </c>
      <c r="C573" s="19">
        <v>44.6</v>
      </c>
      <c r="D573" s="3" t="s">
        <v>496</v>
      </c>
      <c r="E573" s="4" t="s">
        <v>9</v>
      </c>
      <c r="F573" s="23">
        <v>424812</v>
      </c>
      <c r="G573" s="35">
        <v>2010</v>
      </c>
      <c r="H573">
        <f>Table_8[[#This Row],[Listing Price (USD)]]/10000</f>
        <v>42.481200000000001</v>
      </c>
      <c r="I573">
        <f>Table_8[[#This Row],[Length 
(ft)]]</f>
        <v>44.6</v>
      </c>
      <c r="J573" s="37">
        <f>2020-Table_8[[#This Row],[Year]]</f>
        <v>10</v>
      </c>
      <c r="K573">
        <v>1276962685648.25</v>
      </c>
      <c r="L573">
        <v>26959.675436732599</v>
      </c>
      <c r="M573">
        <v>-0.32275301729970501</v>
      </c>
      <c r="N573">
        <v>-11.3254383222864</v>
      </c>
      <c r="O573" s="39">
        <v>41.83</v>
      </c>
      <c r="P573" s="39">
        <v>860</v>
      </c>
      <c r="Q573" s="39">
        <v>172</v>
      </c>
      <c r="R573" s="39">
        <v>25.26</v>
      </c>
    </row>
    <row r="574" spans="1:18" x14ac:dyDescent="0.25">
      <c r="A574" s="1" t="s">
        <v>427</v>
      </c>
      <c r="B574" s="2">
        <v>440</v>
      </c>
      <c r="C574" s="19">
        <v>44.6</v>
      </c>
      <c r="D574" s="3" t="s">
        <v>496</v>
      </c>
      <c r="E574" s="4" t="s">
        <v>9</v>
      </c>
      <c r="F574" s="23">
        <v>430881</v>
      </c>
      <c r="G574" s="35">
        <v>2008</v>
      </c>
      <c r="H574">
        <f>Table_8[[#This Row],[Listing Price (USD)]]/10000</f>
        <v>43.088099999999997</v>
      </c>
      <c r="I574">
        <f>Table_8[[#This Row],[Length 
(ft)]]</f>
        <v>44.6</v>
      </c>
      <c r="J574" s="37">
        <f>2020-Table_8[[#This Row],[Year]]</f>
        <v>12</v>
      </c>
      <c r="K574">
        <v>1276962685648.25</v>
      </c>
      <c r="L574">
        <v>26959.675436732599</v>
      </c>
      <c r="M574">
        <v>-0.32275301729970501</v>
      </c>
      <c r="N574">
        <v>-11.3254383222864</v>
      </c>
      <c r="O574" s="39">
        <v>41.83</v>
      </c>
      <c r="P574" s="39">
        <v>860</v>
      </c>
      <c r="Q574" s="39">
        <v>172</v>
      </c>
      <c r="R574" s="39">
        <v>25.26</v>
      </c>
    </row>
    <row r="575" spans="1:18" x14ac:dyDescent="0.25">
      <c r="A575" s="1" t="s">
        <v>427</v>
      </c>
      <c r="B575" s="2">
        <v>440</v>
      </c>
      <c r="C575" s="19">
        <v>44.6</v>
      </c>
      <c r="D575" s="3" t="s">
        <v>496</v>
      </c>
      <c r="E575" s="4" t="s">
        <v>9</v>
      </c>
      <c r="F575" s="23">
        <v>431327</v>
      </c>
      <c r="G575" s="35">
        <v>2008</v>
      </c>
      <c r="H575">
        <f>Table_8[[#This Row],[Listing Price (USD)]]/10000</f>
        <v>43.1327</v>
      </c>
      <c r="I575">
        <f>Table_8[[#This Row],[Length 
(ft)]]</f>
        <v>44.6</v>
      </c>
      <c r="J575" s="37">
        <f>2020-Table_8[[#This Row],[Year]]</f>
        <v>12</v>
      </c>
      <c r="K575">
        <v>1276962685648.25</v>
      </c>
      <c r="L575">
        <v>26959.675436732599</v>
      </c>
      <c r="M575">
        <v>-0.32275301729970501</v>
      </c>
      <c r="N575">
        <v>-11.3254383222864</v>
      </c>
      <c r="O575" s="39">
        <v>41.83</v>
      </c>
      <c r="P575" s="39">
        <v>860</v>
      </c>
      <c r="Q575" s="39">
        <v>172</v>
      </c>
      <c r="R575" s="39">
        <v>25.26</v>
      </c>
    </row>
    <row r="576" spans="1:18" x14ac:dyDescent="0.25">
      <c r="A576" s="1" t="s">
        <v>427</v>
      </c>
      <c r="B576" s="2">
        <v>440</v>
      </c>
      <c r="C576" s="19">
        <v>44.6</v>
      </c>
      <c r="D576" s="3" t="s">
        <v>496</v>
      </c>
      <c r="E576" s="4" t="s">
        <v>31</v>
      </c>
      <c r="F576" s="23">
        <v>435736</v>
      </c>
      <c r="G576" s="35">
        <v>2009</v>
      </c>
      <c r="H576">
        <f>Table_8[[#This Row],[Listing Price (USD)]]/10000</f>
        <v>43.573599999999999</v>
      </c>
      <c r="I576">
        <f>Table_8[[#This Row],[Length 
(ft)]]</f>
        <v>44.6</v>
      </c>
      <c r="J576" s="37">
        <f>2020-Table_8[[#This Row],[Year]]</f>
        <v>11</v>
      </c>
      <c r="K576">
        <v>57472012426.685303</v>
      </c>
      <c r="L576">
        <v>14198.753959474399</v>
      </c>
      <c r="M576">
        <v>0.15481137456202801</v>
      </c>
      <c r="N576">
        <v>-8.5803430210621805</v>
      </c>
      <c r="O576" s="39">
        <v>41.83</v>
      </c>
      <c r="P576" s="39">
        <v>860</v>
      </c>
      <c r="Q576" s="39">
        <v>172</v>
      </c>
      <c r="R576" s="39">
        <v>25.26</v>
      </c>
    </row>
    <row r="577" spans="1:18" x14ac:dyDescent="0.25">
      <c r="A577" s="1" t="s">
        <v>427</v>
      </c>
      <c r="B577" s="2">
        <v>440</v>
      </c>
      <c r="C577" s="19">
        <v>45.8</v>
      </c>
      <c r="D577" s="3" t="s">
        <v>496</v>
      </c>
      <c r="E577" s="4" t="s">
        <v>3</v>
      </c>
      <c r="F577" s="23">
        <v>479431</v>
      </c>
      <c r="G577" s="35">
        <v>2010</v>
      </c>
      <c r="H577">
        <f>Table_8[[#This Row],[Listing Price (USD)]]/10000</f>
        <v>47.943100000000001</v>
      </c>
      <c r="I577">
        <f>Table_8[[#This Row],[Length 
(ft)]]</f>
        <v>45.8</v>
      </c>
      <c r="J577" s="37">
        <f>2020-Table_8[[#This Row],[Year]]</f>
        <v>10</v>
      </c>
      <c r="K577">
        <v>2639008701648.2598</v>
      </c>
      <c r="L577">
        <v>39055.282928075401</v>
      </c>
      <c r="M577">
        <v>0.47649885272508302</v>
      </c>
      <c r="N577">
        <v>-7.7845864916787102</v>
      </c>
      <c r="O577" s="39">
        <v>41.83</v>
      </c>
      <c r="P577" s="39">
        <v>860</v>
      </c>
      <c r="Q577" s="39">
        <v>172</v>
      </c>
      <c r="R577" s="39">
        <v>25.26</v>
      </c>
    </row>
    <row r="578" spans="1:18" x14ac:dyDescent="0.25">
      <c r="A578" s="1" t="s">
        <v>427</v>
      </c>
      <c r="B578" s="2">
        <v>440</v>
      </c>
      <c r="C578" s="19">
        <v>44.6</v>
      </c>
      <c r="D578" s="3" t="s">
        <v>495</v>
      </c>
      <c r="E578" s="3" t="s">
        <v>515</v>
      </c>
      <c r="F578" s="23">
        <v>525000</v>
      </c>
      <c r="G578" s="35">
        <v>2009</v>
      </c>
      <c r="H578">
        <f>Table_8[[#This Row],[Listing Price (USD)]]/10000</f>
        <v>52.5</v>
      </c>
      <c r="I578">
        <f>Table_8[[#This Row],[Length 
(ft)]]</f>
        <v>44.6</v>
      </c>
      <c r="J578" s="37">
        <f>2020-Table_8[[#This Row],[Year]]</f>
        <v>11</v>
      </c>
      <c r="K578">
        <v>410675000000</v>
      </c>
      <c r="L578">
        <v>66531.03</v>
      </c>
      <c r="M578">
        <v>1.23</v>
      </c>
      <c r="N578">
        <v>1.8</v>
      </c>
      <c r="O578" s="39">
        <v>41.83</v>
      </c>
      <c r="P578" s="39">
        <v>860</v>
      </c>
      <c r="Q578" s="39">
        <v>172</v>
      </c>
      <c r="R578" s="39">
        <v>25.26</v>
      </c>
    </row>
    <row r="579" spans="1:18" x14ac:dyDescent="0.25">
      <c r="A579" s="1" t="s">
        <v>444</v>
      </c>
      <c r="B579" s="2">
        <v>441</v>
      </c>
      <c r="C579" s="19">
        <v>44</v>
      </c>
      <c r="D579" s="3" t="s">
        <v>497</v>
      </c>
      <c r="E579" s="3" t="s">
        <v>377</v>
      </c>
      <c r="F579" s="23">
        <v>254887</v>
      </c>
      <c r="G579" s="35">
        <v>2011</v>
      </c>
      <c r="H579">
        <f>Table_8[[#This Row],[Listing Price (USD)]]/10000</f>
        <v>25.488700000000001</v>
      </c>
      <c r="I579">
        <f>Table_8[[#This Row],[Length 
(ft)]]</f>
        <v>44</v>
      </c>
      <c r="J579" s="37">
        <f>2020-Table_8[[#This Row],[Year]]</f>
        <v>9</v>
      </c>
      <c r="K579">
        <v>681973374534.10596</v>
      </c>
      <c r="L579">
        <v>27575.495000325591</v>
      </c>
      <c r="M579">
        <v>0.8848420113691905</v>
      </c>
      <c r="N579">
        <v>-6.3525291034127971</v>
      </c>
      <c r="O579" s="39">
        <v>42.98</v>
      </c>
      <c r="P579" s="39">
        <v>1345.492</v>
      </c>
      <c r="Q579" s="39">
        <v>145</v>
      </c>
      <c r="R579" s="39">
        <v>23.62</v>
      </c>
    </row>
    <row r="580" spans="1:18" x14ac:dyDescent="0.25">
      <c r="A580" s="1" t="s">
        <v>444</v>
      </c>
      <c r="B580" s="3">
        <v>441</v>
      </c>
      <c r="C580" s="19">
        <v>44</v>
      </c>
      <c r="D580" s="3" t="s">
        <v>497</v>
      </c>
      <c r="E580" s="3" t="s">
        <v>377</v>
      </c>
      <c r="F580" s="23">
        <v>255086</v>
      </c>
      <c r="G580" s="35">
        <v>2011</v>
      </c>
      <c r="H580">
        <f>Table_8[[#This Row],[Listing Price (USD)]]/10000</f>
        <v>25.508600000000001</v>
      </c>
      <c r="I580">
        <f>Table_8[[#This Row],[Length 
(ft)]]</f>
        <v>44</v>
      </c>
      <c r="J580" s="37">
        <f>2020-Table_8[[#This Row],[Year]]</f>
        <v>9</v>
      </c>
      <c r="K580">
        <v>681973374534.10596</v>
      </c>
      <c r="L580">
        <v>27575.495000325591</v>
      </c>
      <c r="M580">
        <v>0.8848420113691905</v>
      </c>
      <c r="N580">
        <v>-6.3525291034127971</v>
      </c>
      <c r="O580" s="39">
        <v>42.98</v>
      </c>
      <c r="P580" s="39">
        <v>1345.492</v>
      </c>
      <c r="Q580" s="39">
        <v>145</v>
      </c>
      <c r="R580" s="39">
        <v>23.62</v>
      </c>
    </row>
    <row r="581" spans="1:18" x14ac:dyDescent="0.25">
      <c r="A581" s="1" t="s">
        <v>444</v>
      </c>
      <c r="B581" s="2">
        <v>441</v>
      </c>
      <c r="C581" s="19">
        <v>44</v>
      </c>
      <c r="D581" s="3" t="s">
        <v>497</v>
      </c>
      <c r="E581" s="3" t="s">
        <v>377</v>
      </c>
      <c r="F581" s="23">
        <v>269724</v>
      </c>
      <c r="G581" s="35">
        <v>2010</v>
      </c>
      <c r="H581">
        <f>Table_8[[#This Row],[Listing Price (USD)]]/10000</f>
        <v>26.9724</v>
      </c>
      <c r="I581">
        <f>Table_8[[#This Row],[Length 
(ft)]]</f>
        <v>44</v>
      </c>
      <c r="J581" s="37">
        <f>2020-Table_8[[#This Row],[Year]]</f>
        <v>10</v>
      </c>
      <c r="K581">
        <v>681973374534.10596</v>
      </c>
      <c r="L581">
        <v>27575.495000325591</v>
      </c>
      <c r="M581">
        <v>0.8848420113691905</v>
      </c>
      <c r="N581">
        <v>-6.3525291034127971</v>
      </c>
      <c r="O581" s="39">
        <v>42.98</v>
      </c>
      <c r="P581" s="39">
        <v>1345.492</v>
      </c>
      <c r="Q581" s="39">
        <v>145</v>
      </c>
      <c r="R581" s="39">
        <v>23.62</v>
      </c>
    </row>
    <row r="582" spans="1:18" x14ac:dyDescent="0.25">
      <c r="A582" s="1" t="s">
        <v>444</v>
      </c>
      <c r="B582" s="2">
        <v>441</v>
      </c>
      <c r="C582" s="19">
        <v>44</v>
      </c>
      <c r="D582" s="3" t="s">
        <v>497</v>
      </c>
      <c r="E582" s="3" t="s">
        <v>483</v>
      </c>
      <c r="F582" s="23">
        <v>279162</v>
      </c>
      <c r="G582" s="35">
        <v>2011</v>
      </c>
      <c r="H582">
        <f>Table_8[[#This Row],[Listing Price (USD)]]/10000</f>
        <v>27.9162</v>
      </c>
      <c r="I582">
        <f>Table_8[[#This Row],[Length 
(ft)]]</f>
        <v>44</v>
      </c>
      <c r="J582" s="37">
        <f>2020-Table_8[[#This Row],[Year]]</f>
        <v>9</v>
      </c>
      <c r="K582">
        <v>4200000000</v>
      </c>
      <c r="L582">
        <v>39553.199999999997</v>
      </c>
      <c r="M582">
        <v>2.5</v>
      </c>
      <c r="N582">
        <v>-2.1</v>
      </c>
      <c r="O582" s="39">
        <v>42.98</v>
      </c>
      <c r="P582" s="39">
        <v>1345.492</v>
      </c>
      <c r="Q582" s="39">
        <v>145</v>
      </c>
      <c r="R582" s="39">
        <v>23.62</v>
      </c>
    </row>
    <row r="583" spans="1:18" x14ac:dyDescent="0.25">
      <c r="A583" s="1" t="s">
        <v>444</v>
      </c>
      <c r="B583" s="3">
        <v>441</v>
      </c>
      <c r="C583" s="19">
        <v>44</v>
      </c>
      <c r="D583" s="3" t="s">
        <v>497</v>
      </c>
      <c r="E583" s="3" t="s">
        <v>483</v>
      </c>
      <c r="F583" s="23">
        <v>282000</v>
      </c>
      <c r="G583" s="35">
        <v>2010</v>
      </c>
      <c r="H583">
        <f>Table_8[[#This Row],[Listing Price (USD)]]/10000</f>
        <v>28.2</v>
      </c>
      <c r="I583">
        <f>Table_8[[#This Row],[Length 
(ft)]]</f>
        <v>44</v>
      </c>
      <c r="J583" s="37">
        <f>2020-Table_8[[#This Row],[Year]]</f>
        <v>10</v>
      </c>
      <c r="K583">
        <v>4200000000</v>
      </c>
      <c r="L583">
        <v>39553.199999999997</v>
      </c>
      <c r="M583">
        <v>2.5</v>
      </c>
      <c r="N583">
        <v>-2.1</v>
      </c>
      <c r="O583" s="39">
        <v>42.98</v>
      </c>
      <c r="P583" s="39">
        <v>1345.492</v>
      </c>
      <c r="Q583" s="39">
        <v>145</v>
      </c>
      <c r="R583" s="39">
        <v>23.62</v>
      </c>
    </row>
    <row r="584" spans="1:18" x14ac:dyDescent="0.25">
      <c r="A584" s="1" t="s">
        <v>444</v>
      </c>
      <c r="B584" s="2">
        <v>441</v>
      </c>
      <c r="C584" s="19">
        <v>44</v>
      </c>
      <c r="D584" s="3" t="s">
        <v>497</v>
      </c>
      <c r="E584" s="3" t="s">
        <v>483</v>
      </c>
      <c r="F584" s="23">
        <v>291300</v>
      </c>
      <c r="G584" s="35">
        <v>2010</v>
      </c>
      <c r="H584">
        <f>Table_8[[#This Row],[Listing Price (USD)]]/10000</f>
        <v>29.13</v>
      </c>
      <c r="I584">
        <f>Table_8[[#This Row],[Length 
(ft)]]</f>
        <v>44</v>
      </c>
      <c r="J584" s="37">
        <f>2020-Table_8[[#This Row],[Year]]</f>
        <v>10</v>
      </c>
      <c r="K584">
        <v>4200000000</v>
      </c>
      <c r="L584">
        <v>39553.199999999997</v>
      </c>
      <c r="M584">
        <v>2.5</v>
      </c>
      <c r="N584">
        <v>-2.1</v>
      </c>
      <c r="O584" s="39">
        <v>42.98</v>
      </c>
      <c r="P584" s="39">
        <v>1345.492</v>
      </c>
      <c r="Q584" s="39">
        <v>145</v>
      </c>
      <c r="R584" s="39">
        <v>23.62</v>
      </c>
    </row>
    <row r="585" spans="1:18" x14ac:dyDescent="0.25">
      <c r="A585" s="1" t="s">
        <v>444</v>
      </c>
      <c r="B585" s="2" t="s">
        <v>490</v>
      </c>
      <c r="C585" s="19">
        <v>44</v>
      </c>
      <c r="D585" s="3" t="s">
        <v>497</v>
      </c>
      <c r="E585" s="3" t="s">
        <v>483</v>
      </c>
      <c r="F585" s="23">
        <v>291527</v>
      </c>
      <c r="G585" s="35">
        <v>2010</v>
      </c>
      <c r="H585">
        <f>Table_8[[#This Row],[Listing Price (USD)]]/10000</f>
        <v>29.152699999999999</v>
      </c>
      <c r="I585">
        <f>Table_8[[#This Row],[Length 
(ft)]]</f>
        <v>44</v>
      </c>
      <c r="J585" s="37">
        <f>2020-Table_8[[#This Row],[Year]]</f>
        <v>10</v>
      </c>
      <c r="K585">
        <v>4200000000</v>
      </c>
      <c r="L585">
        <v>39553.199999999997</v>
      </c>
      <c r="M585">
        <v>2.5</v>
      </c>
      <c r="N585">
        <v>-2.1</v>
      </c>
      <c r="O585" s="39">
        <v>42.98</v>
      </c>
      <c r="P585" s="39">
        <v>1345.492</v>
      </c>
      <c r="Q585" s="39">
        <v>145</v>
      </c>
      <c r="R585" s="39">
        <v>23.62</v>
      </c>
    </row>
    <row r="586" spans="1:18" x14ac:dyDescent="0.25">
      <c r="A586" s="1" t="s">
        <v>444</v>
      </c>
      <c r="B586" s="2">
        <v>441</v>
      </c>
      <c r="C586" s="19">
        <v>44</v>
      </c>
      <c r="D586" s="3" t="s">
        <v>497</v>
      </c>
      <c r="E586" s="3" t="s">
        <v>483</v>
      </c>
      <c r="F586" s="23">
        <v>345919</v>
      </c>
      <c r="G586" s="35">
        <v>2010</v>
      </c>
      <c r="H586">
        <f>Table_8[[#This Row],[Listing Price (USD)]]/10000</f>
        <v>34.591900000000003</v>
      </c>
      <c r="I586">
        <f>Table_8[[#This Row],[Length 
(ft)]]</f>
        <v>44</v>
      </c>
      <c r="J586" s="37">
        <f>2020-Table_8[[#This Row],[Year]]</f>
        <v>10</v>
      </c>
      <c r="K586">
        <v>4200000000</v>
      </c>
      <c r="L586">
        <v>39553.199999999997</v>
      </c>
      <c r="M586">
        <v>2.5</v>
      </c>
      <c r="N586">
        <v>-2.1</v>
      </c>
      <c r="O586" s="39">
        <v>42.98</v>
      </c>
      <c r="P586" s="39">
        <v>1345.492</v>
      </c>
      <c r="Q586" s="39">
        <v>145</v>
      </c>
      <c r="R586" s="39">
        <v>23.62</v>
      </c>
    </row>
    <row r="587" spans="1:18" x14ac:dyDescent="0.25">
      <c r="A587" s="1" t="s">
        <v>444</v>
      </c>
      <c r="B587" s="3">
        <v>441</v>
      </c>
      <c r="C587" s="19">
        <v>44</v>
      </c>
      <c r="D587" s="3" t="s">
        <v>497</v>
      </c>
      <c r="E587" s="3" t="s">
        <v>483</v>
      </c>
      <c r="F587" s="23">
        <v>346188</v>
      </c>
      <c r="G587" s="35">
        <v>2010</v>
      </c>
      <c r="H587">
        <f>Table_8[[#This Row],[Listing Price (USD)]]/10000</f>
        <v>34.6188</v>
      </c>
      <c r="I587">
        <f>Table_8[[#This Row],[Length 
(ft)]]</f>
        <v>44</v>
      </c>
      <c r="J587" s="37">
        <f>2020-Table_8[[#This Row],[Year]]</f>
        <v>10</v>
      </c>
      <c r="K587">
        <v>4200000000</v>
      </c>
      <c r="L587">
        <v>39553.199999999997</v>
      </c>
      <c r="M587">
        <v>2.5</v>
      </c>
      <c r="N587">
        <v>-2.1</v>
      </c>
      <c r="O587" s="39">
        <v>42.98</v>
      </c>
      <c r="P587" s="39">
        <v>1345.492</v>
      </c>
      <c r="Q587" s="39">
        <v>145</v>
      </c>
      <c r="R587" s="39">
        <v>23.62</v>
      </c>
    </row>
    <row r="588" spans="1:18" x14ac:dyDescent="0.25">
      <c r="A588" s="1" t="s">
        <v>427</v>
      </c>
      <c r="B588" s="2">
        <v>450</v>
      </c>
      <c r="C588" s="19">
        <v>45.8</v>
      </c>
      <c r="D588" s="3" t="s">
        <v>496</v>
      </c>
      <c r="E588" s="4" t="s">
        <v>31</v>
      </c>
      <c r="F588" s="23">
        <v>338302</v>
      </c>
      <c r="G588" s="35">
        <v>2012</v>
      </c>
      <c r="H588">
        <f>Table_8[[#This Row],[Listing Price (USD)]]/10000</f>
        <v>33.830199999999998</v>
      </c>
      <c r="I588">
        <f>Table_8[[#This Row],[Length 
(ft)]]</f>
        <v>45.8</v>
      </c>
      <c r="J588" s="37">
        <f>2020-Table_8[[#This Row],[Year]]</f>
        <v>8</v>
      </c>
      <c r="K588">
        <v>57472012426.685303</v>
      </c>
      <c r="L588">
        <v>14198.753959474399</v>
      </c>
      <c r="M588">
        <v>0.15481137456202801</v>
      </c>
      <c r="N588">
        <v>-8.5803430210621805</v>
      </c>
      <c r="O588" s="39">
        <v>41.83</v>
      </c>
      <c r="P588" s="39">
        <v>1398</v>
      </c>
      <c r="Q588" s="39">
        <v>275</v>
      </c>
      <c r="R588" s="39">
        <v>25.82</v>
      </c>
    </row>
    <row r="589" spans="1:18" x14ac:dyDescent="0.25">
      <c r="A589" s="1" t="s">
        <v>427</v>
      </c>
      <c r="B589" s="2">
        <v>450</v>
      </c>
      <c r="C589" s="19">
        <v>45.8</v>
      </c>
      <c r="D589" s="3" t="s">
        <v>496</v>
      </c>
      <c r="E589" s="4" t="s">
        <v>31</v>
      </c>
      <c r="F589" s="23">
        <v>339267</v>
      </c>
      <c r="G589" s="35">
        <v>2012</v>
      </c>
      <c r="H589">
        <f>Table_8[[#This Row],[Listing Price (USD)]]/10000</f>
        <v>33.926699999999997</v>
      </c>
      <c r="I589">
        <f>Table_8[[#This Row],[Length 
(ft)]]</f>
        <v>45.8</v>
      </c>
      <c r="J589" s="37">
        <f>2020-Table_8[[#This Row],[Year]]</f>
        <v>8</v>
      </c>
      <c r="K589">
        <v>57472012426.685303</v>
      </c>
      <c r="L589">
        <v>14198.753959474399</v>
      </c>
      <c r="M589">
        <v>0.15481137456202801</v>
      </c>
      <c r="N589">
        <v>-8.5803430210621805</v>
      </c>
      <c r="O589" s="39">
        <v>41.83</v>
      </c>
      <c r="P589" s="39">
        <v>1398</v>
      </c>
      <c r="Q589" s="39">
        <v>275</v>
      </c>
      <c r="R589" s="39">
        <v>25.82</v>
      </c>
    </row>
    <row r="590" spans="1:18" x14ac:dyDescent="0.25">
      <c r="A590" s="1" t="s">
        <v>427</v>
      </c>
      <c r="B590" s="2">
        <v>450</v>
      </c>
      <c r="C590" s="19">
        <v>45.8</v>
      </c>
      <c r="D590" s="3" t="s">
        <v>497</v>
      </c>
      <c r="E590" s="3" t="s">
        <v>483</v>
      </c>
      <c r="F590" s="23">
        <v>345000</v>
      </c>
      <c r="G590" s="35">
        <v>2013</v>
      </c>
      <c r="H590">
        <f>Table_8[[#This Row],[Listing Price (USD)]]/10000</f>
        <v>34.5</v>
      </c>
      <c r="I590">
        <f>Table_8[[#This Row],[Length 
(ft)]]</f>
        <v>45.8</v>
      </c>
      <c r="J590" s="37">
        <f>2020-Table_8[[#This Row],[Year]]</f>
        <v>7</v>
      </c>
      <c r="K590">
        <v>4200000000</v>
      </c>
      <c r="L590">
        <v>39553.199999999997</v>
      </c>
      <c r="M590">
        <v>2.5</v>
      </c>
      <c r="N590">
        <v>-2.1</v>
      </c>
      <c r="O590" s="39">
        <v>41.83</v>
      </c>
      <c r="P590" s="39">
        <v>1398</v>
      </c>
      <c r="Q590" s="39">
        <v>275</v>
      </c>
      <c r="R590" s="39">
        <v>25.82</v>
      </c>
    </row>
    <row r="591" spans="1:18" x14ac:dyDescent="0.25">
      <c r="A591" s="1" t="s">
        <v>427</v>
      </c>
      <c r="B591" s="3">
        <v>450</v>
      </c>
      <c r="C591" s="19">
        <v>45.8</v>
      </c>
      <c r="D591" s="3" t="s">
        <v>497</v>
      </c>
      <c r="E591" s="3" t="s">
        <v>483</v>
      </c>
      <c r="F591" s="23">
        <v>345000</v>
      </c>
      <c r="G591" s="35">
        <v>2013</v>
      </c>
      <c r="H591">
        <f>Table_8[[#This Row],[Listing Price (USD)]]/10000</f>
        <v>34.5</v>
      </c>
      <c r="I591">
        <f>Table_8[[#This Row],[Length 
(ft)]]</f>
        <v>45.8</v>
      </c>
      <c r="J591" s="37">
        <f>2020-Table_8[[#This Row],[Year]]</f>
        <v>7</v>
      </c>
      <c r="K591">
        <v>4200000000</v>
      </c>
      <c r="L591">
        <v>39553.199999999997</v>
      </c>
      <c r="M591">
        <v>2.5</v>
      </c>
      <c r="N591">
        <v>-2.1</v>
      </c>
      <c r="O591" s="39">
        <v>41.83</v>
      </c>
      <c r="P591" s="39">
        <v>1398</v>
      </c>
      <c r="Q591" s="39">
        <v>275</v>
      </c>
      <c r="R591" s="39">
        <v>25.82</v>
      </c>
    </row>
    <row r="592" spans="1:18" x14ac:dyDescent="0.25">
      <c r="A592" s="1" t="s">
        <v>427</v>
      </c>
      <c r="B592" s="2">
        <v>450</v>
      </c>
      <c r="C592" s="19">
        <v>45.8</v>
      </c>
      <c r="D592" s="3" t="s">
        <v>497</v>
      </c>
      <c r="E592" s="3" t="s">
        <v>483</v>
      </c>
      <c r="F592" s="23">
        <v>358056</v>
      </c>
      <c r="G592" s="35">
        <v>2013</v>
      </c>
      <c r="H592">
        <f>Table_8[[#This Row],[Listing Price (USD)]]/10000</f>
        <v>35.805599999999998</v>
      </c>
      <c r="I592">
        <f>Table_8[[#This Row],[Length 
(ft)]]</f>
        <v>45.8</v>
      </c>
      <c r="J592" s="37">
        <f>2020-Table_8[[#This Row],[Year]]</f>
        <v>7</v>
      </c>
      <c r="K592">
        <v>4200000000</v>
      </c>
      <c r="L592">
        <v>39553.199999999997</v>
      </c>
      <c r="M592">
        <v>2.5</v>
      </c>
      <c r="N592">
        <v>-2.1</v>
      </c>
      <c r="O592" s="39">
        <v>41.83</v>
      </c>
      <c r="P592" s="39">
        <v>1398</v>
      </c>
      <c r="Q592" s="39">
        <v>275</v>
      </c>
      <c r="R592" s="39">
        <v>25.82</v>
      </c>
    </row>
    <row r="593" spans="1:18" x14ac:dyDescent="0.25">
      <c r="A593" s="1" t="s">
        <v>427</v>
      </c>
      <c r="B593" s="2">
        <v>450</v>
      </c>
      <c r="C593" s="19">
        <v>45.8</v>
      </c>
      <c r="D593" s="3" t="s">
        <v>496</v>
      </c>
      <c r="E593" s="4" t="s">
        <v>31</v>
      </c>
      <c r="F593" s="23">
        <v>362911</v>
      </c>
      <c r="G593" s="35">
        <v>2012</v>
      </c>
      <c r="H593">
        <f>Table_8[[#This Row],[Listing Price (USD)]]/10000</f>
        <v>36.2911</v>
      </c>
      <c r="I593">
        <f>Table_8[[#This Row],[Length 
(ft)]]</f>
        <v>45.8</v>
      </c>
      <c r="J593" s="37">
        <f>2020-Table_8[[#This Row],[Year]]</f>
        <v>8</v>
      </c>
      <c r="K593">
        <v>57472012426.685303</v>
      </c>
      <c r="L593">
        <v>14198.753959474399</v>
      </c>
      <c r="M593">
        <v>0.15481137456202801</v>
      </c>
      <c r="N593">
        <v>-8.5803430210621805</v>
      </c>
      <c r="O593" s="39">
        <v>41.83</v>
      </c>
      <c r="P593" s="39">
        <v>1398</v>
      </c>
      <c r="Q593" s="39">
        <v>275</v>
      </c>
      <c r="R593" s="39">
        <v>25.82</v>
      </c>
    </row>
    <row r="594" spans="1:18" x14ac:dyDescent="0.25">
      <c r="A594" s="1" t="s">
        <v>427</v>
      </c>
      <c r="B594" s="2">
        <v>450</v>
      </c>
      <c r="C594" s="19">
        <v>45.8</v>
      </c>
      <c r="D594" s="3" t="s">
        <v>496</v>
      </c>
      <c r="E594" s="4" t="s">
        <v>31</v>
      </c>
      <c r="F594" s="23">
        <v>363587</v>
      </c>
      <c r="G594" s="35">
        <v>2012</v>
      </c>
      <c r="H594">
        <f>Table_8[[#This Row],[Listing Price (USD)]]/10000</f>
        <v>36.358699999999999</v>
      </c>
      <c r="I594">
        <f>Table_8[[#This Row],[Length 
(ft)]]</f>
        <v>45.8</v>
      </c>
      <c r="J594" s="37">
        <f>2020-Table_8[[#This Row],[Year]]</f>
        <v>8</v>
      </c>
      <c r="K594">
        <v>57472012426.685303</v>
      </c>
      <c r="L594">
        <v>14198.753959474399</v>
      </c>
      <c r="M594">
        <v>0.15481137456202801</v>
      </c>
      <c r="N594">
        <v>-8.5803430210621805</v>
      </c>
      <c r="O594" s="39">
        <v>41.83</v>
      </c>
      <c r="P594" s="39">
        <v>1398</v>
      </c>
      <c r="Q594" s="39">
        <v>275</v>
      </c>
      <c r="R594" s="39">
        <v>25.82</v>
      </c>
    </row>
    <row r="595" spans="1:18" x14ac:dyDescent="0.25">
      <c r="A595" s="1" t="s">
        <v>427</v>
      </c>
      <c r="B595" s="2">
        <v>450</v>
      </c>
      <c r="C595" s="19">
        <v>45.8</v>
      </c>
      <c r="D595" s="3" t="s">
        <v>496</v>
      </c>
      <c r="E595" s="4" t="s">
        <v>31</v>
      </c>
      <c r="F595" s="23">
        <v>364501</v>
      </c>
      <c r="G595" s="35">
        <v>2012</v>
      </c>
      <c r="H595">
        <f>Table_8[[#This Row],[Listing Price (USD)]]/10000</f>
        <v>36.450099999999999</v>
      </c>
      <c r="I595">
        <f>Table_8[[#This Row],[Length 
(ft)]]</f>
        <v>45.8</v>
      </c>
      <c r="J595" s="37">
        <f>2020-Table_8[[#This Row],[Year]]</f>
        <v>8</v>
      </c>
      <c r="K595">
        <v>57472012426.685303</v>
      </c>
      <c r="L595">
        <v>14198.753959474399</v>
      </c>
      <c r="M595">
        <v>0.15481137456202801</v>
      </c>
      <c r="N595">
        <v>-8.5803430210621805</v>
      </c>
      <c r="O595" s="39">
        <v>41.83</v>
      </c>
      <c r="P595" s="39">
        <v>1398</v>
      </c>
      <c r="Q595" s="39">
        <v>275</v>
      </c>
      <c r="R595" s="39">
        <v>25.82</v>
      </c>
    </row>
    <row r="596" spans="1:18" x14ac:dyDescent="0.25">
      <c r="A596" s="1" t="s">
        <v>427</v>
      </c>
      <c r="B596" s="2">
        <v>450</v>
      </c>
      <c r="C596" s="19">
        <v>45.8</v>
      </c>
      <c r="D596" s="3" t="s">
        <v>496</v>
      </c>
      <c r="E596" s="4" t="s">
        <v>31</v>
      </c>
      <c r="F596" s="23">
        <v>364778</v>
      </c>
      <c r="G596" s="35">
        <v>2012</v>
      </c>
      <c r="H596">
        <f>Table_8[[#This Row],[Listing Price (USD)]]/10000</f>
        <v>36.477800000000002</v>
      </c>
      <c r="I596">
        <f>Table_8[[#This Row],[Length 
(ft)]]</f>
        <v>45.8</v>
      </c>
      <c r="J596" s="37">
        <f>2020-Table_8[[#This Row],[Year]]</f>
        <v>8</v>
      </c>
      <c r="K596">
        <v>57472012426.685303</v>
      </c>
      <c r="L596">
        <v>14198.753959474399</v>
      </c>
      <c r="M596">
        <v>0.15481137456202801</v>
      </c>
      <c r="N596">
        <v>-8.5803430210621805</v>
      </c>
      <c r="O596" s="39">
        <v>41.83</v>
      </c>
      <c r="P596" s="39">
        <v>1398</v>
      </c>
      <c r="Q596" s="39">
        <v>275</v>
      </c>
      <c r="R596" s="39">
        <v>25.82</v>
      </c>
    </row>
    <row r="597" spans="1:18" x14ac:dyDescent="0.25">
      <c r="A597" s="1" t="s">
        <v>427</v>
      </c>
      <c r="B597" s="2">
        <v>450</v>
      </c>
      <c r="C597" s="19">
        <v>45.8</v>
      </c>
      <c r="D597" s="3" t="s">
        <v>497</v>
      </c>
      <c r="E597" s="3" t="s">
        <v>508</v>
      </c>
      <c r="F597" s="23">
        <v>369000</v>
      </c>
      <c r="G597" s="35">
        <v>2013</v>
      </c>
      <c r="H597">
        <f>Table_8[[#This Row],[Listing Price (USD)]]/10000</f>
        <v>36.9</v>
      </c>
      <c r="I597">
        <f>Table_8[[#This Row],[Length 
(ft)]]</f>
        <v>45.8</v>
      </c>
      <c r="J597" s="37">
        <f>2020-Table_8[[#This Row],[Year]]</f>
        <v>7</v>
      </c>
      <c r="K597">
        <v>9700000000</v>
      </c>
      <c r="L597">
        <v>26659</v>
      </c>
      <c r="M597">
        <v>-3.5</v>
      </c>
      <c r="N597">
        <v>-24.2</v>
      </c>
      <c r="O597" s="39">
        <v>41.83</v>
      </c>
      <c r="P597" s="39">
        <v>1398</v>
      </c>
      <c r="Q597" s="39">
        <v>275</v>
      </c>
      <c r="R597" s="39">
        <v>25.82</v>
      </c>
    </row>
    <row r="598" spans="1:18" x14ac:dyDescent="0.25">
      <c r="A598" s="1" t="s">
        <v>427</v>
      </c>
      <c r="B598" s="2">
        <v>450</v>
      </c>
      <c r="C598" s="19">
        <v>45.8</v>
      </c>
      <c r="D598" s="3" t="s">
        <v>496</v>
      </c>
      <c r="E598" s="4" t="s">
        <v>31</v>
      </c>
      <c r="F598" s="23">
        <v>376262</v>
      </c>
      <c r="G598" s="35">
        <v>2013</v>
      </c>
      <c r="H598">
        <f>Table_8[[#This Row],[Listing Price (USD)]]/10000</f>
        <v>37.626199999999997</v>
      </c>
      <c r="I598">
        <f>Table_8[[#This Row],[Length 
(ft)]]</f>
        <v>45.8</v>
      </c>
      <c r="J598" s="37">
        <f>2020-Table_8[[#This Row],[Year]]</f>
        <v>7</v>
      </c>
      <c r="K598">
        <v>57472012426.685303</v>
      </c>
      <c r="L598">
        <v>14198.753959474399</v>
      </c>
      <c r="M598">
        <v>0.15481137456202801</v>
      </c>
      <c r="N598">
        <v>-8.5803430210621805</v>
      </c>
      <c r="O598" s="39">
        <v>41.83</v>
      </c>
      <c r="P598" s="39">
        <v>1398</v>
      </c>
      <c r="Q598" s="39">
        <v>275</v>
      </c>
      <c r="R598" s="39">
        <v>25.82</v>
      </c>
    </row>
    <row r="599" spans="1:18" x14ac:dyDescent="0.25">
      <c r="A599" s="1" t="s">
        <v>427</v>
      </c>
      <c r="B599" s="2">
        <v>450</v>
      </c>
      <c r="C599" s="19">
        <v>45.8</v>
      </c>
      <c r="D599" s="3" t="s">
        <v>496</v>
      </c>
      <c r="E599" s="4" t="s">
        <v>24</v>
      </c>
      <c r="F599" s="23">
        <v>376556</v>
      </c>
      <c r="G599" s="35">
        <v>2012</v>
      </c>
      <c r="H599">
        <f>Table_8[[#This Row],[Listing Price (USD)]]/10000</f>
        <v>37.6556</v>
      </c>
      <c r="I599">
        <f>Table_8[[#This Row],[Length 
(ft)]]</f>
        <v>45.8</v>
      </c>
      <c r="J599" s="37">
        <f>2020-Table_8[[#This Row],[Year]]</f>
        <v>8</v>
      </c>
      <c r="K599">
        <v>1896755301518.1399</v>
      </c>
      <c r="L599">
        <v>31911.0357890017</v>
      </c>
      <c r="M599">
        <v>-0.13770757391656999</v>
      </c>
      <c r="N599">
        <v>-9.0399534112288507</v>
      </c>
      <c r="O599" s="39">
        <v>41.83</v>
      </c>
      <c r="P599" s="39">
        <v>1398</v>
      </c>
      <c r="Q599" s="39">
        <v>275</v>
      </c>
      <c r="R599" s="39">
        <v>25.82</v>
      </c>
    </row>
    <row r="600" spans="1:18" x14ac:dyDescent="0.25">
      <c r="A600" s="1" t="s">
        <v>427</v>
      </c>
      <c r="B600" s="2">
        <v>450</v>
      </c>
      <c r="C600" s="19">
        <v>45.8</v>
      </c>
      <c r="D600" s="3" t="s">
        <v>496</v>
      </c>
      <c r="E600" s="4" t="s">
        <v>31</v>
      </c>
      <c r="F600" s="23">
        <v>376556</v>
      </c>
      <c r="G600" s="35">
        <v>2013</v>
      </c>
      <c r="H600">
        <f>Table_8[[#This Row],[Listing Price (USD)]]/10000</f>
        <v>37.6556</v>
      </c>
      <c r="I600">
        <f>Table_8[[#This Row],[Length 
(ft)]]</f>
        <v>45.8</v>
      </c>
      <c r="J600" s="37">
        <f>2020-Table_8[[#This Row],[Year]]</f>
        <v>7</v>
      </c>
      <c r="K600">
        <v>57472012426.685303</v>
      </c>
      <c r="L600">
        <v>14198.753959474399</v>
      </c>
      <c r="M600">
        <v>0.15481137456202801</v>
      </c>
      <c r="N600">
        <v>-8.5803430210621805</v>
      </c>
      <c r="O600" s="39">
        <v>41.83</v>
      </c>
      <c r="P600" s="39">
        <v>1398</v>
      </c>
      <c r="Q600" s="39">
        <v>275</v>
      </c>
      <c r="R600" s="39">
        <v>25.82</v>
      </c>
    </row>
    <row r="601" spans="1:18" x14ac:dyDescent="0.25">
      <c r="A601" s="1" t="s">
        <v>427</v>
      </c>
      <c r="B601" s="2">
        <v>450</v>
      </c>
      <c r="C601" s="19">
        <v>45.8</v>
      </c>
      <c r="D601" s="3" t="s">
        <v>496</v>
      </c>
      <c r="E601" s="4" t="s">
        <v>24</v>
      </c>
      <c r="F601" s="23">
        <v>376937</v>
      </c>
      <c r="G601" s="35">
        <v>2012</v>
      </c>
      <c r="H601">
        <f>Table_8[[#This Row],[Listing Price (USD)]]/10000</f>
        <v>37.6937</v>
      </c>
      <c r="I601">
        <f>Table_8[[#This Row],[Length 
(ft)]]</f>
        <v>45.8</v>
      </c>
      <c r="J601" s="37">
        <f>2020-Table_8[[#This Row],[Year]]</f>
        <v>8</v>
      </c>
      <c r="K601">
        <v>1896755301518.1399</v>
      </c>
      <c r="L601">
        <v>31911.0357890017</v>
      </c>
      <c r="M601">
        <v>-0.13770757391656999</v>
      </c>
      <c r="N601">
        <v>-9.0399534112288507</v>
      </c>
      <c r="O601" s="39">
        <v>41.83</v>
      </c>
      <c r="P601" s="39">
        <v>1398</v>
      </c>
      <c r="Q601" s="39">
        <v>275</v>
      </c>
      <c r="R601" s="39">
        <v>25.82</v>
      </c>
    </row>
    <row r="602" spans="1:18" x14ac:dyDescent="0.25">
      <c r="A602" s="1" t="s">
        <v>427</v>
      </c>
      <c r="B602" s="2">
        <v>450</v>
      </c>
      <c r="C602" s="19">
        <v>45.8</v>
      </c>
      <c r="D602" s="3" t="s">
        <v>496</v>
      </c>
      <c r="E602" s="4" t="s">
        <v>24</v>
      </c>
      <c r="F602" s="23">
        <v>376937</v>
      </c>
      <c r="G602" s="35">
        <v>2012</v>
      </c>
      <c r="H602">
        <f>Table_8[[#This Row],[Listing Price (USD)]]/10000</f>
        <v>37.6937</v>
      </c>
      <c r="I602">
        <f>Table_8[[#This Row],[Length 
(ft)]]</f>
        <v>45.8</v>
      </c>
      <c r="J602" s="37">
        <f>2020-Table_8[[#This Row],[Year]]</f>
        <v>8</v>
      </c>
      <c r="K602">
        <v>1896755301518.1399</v>
      </c>
      <c r="L602">
        <v>31911.0357890017</v>
      </c>
      <c r="M602">
        <v>-0.13770757391656999</v>
      </c>
      <c r="N602">
        <v>-9.0399534112288507</v>
      </c>
      <c r="O602" s="39">
        <v>41.83</v>
      </c>
      <c r="P602" s="39">
        <v>1398</v>
      </c>
      <c r="Q602" s="39">
        <v>275</v>
      </c>
      <c r="R602" s="39">
        <v>25.82</v>
      </c>
    </row>
    <row r="603" spans="1:18" x14ac:dyDescent="0.25">
      <c r="A603" s="1" t="s">
        <v>427</v>
      </c>
      <c r="B603" s="2">
        <v>450</v>
      </c>
      <c r="C603" s="19">
        <v>45.8</v>
      </c>
      <c r="D603" s="3" t="s">
        <v>496</v>
      </c>
      <c r="E603" s="4" t="s">
        <v>18</v>
      </c>
      <c r="F603" s="23">
        <v>382727</v>
      </c>
      <c r="G603" s="35">
        <v>2013</v>
      </c>
      <c r="H603">
        <f>Table_8[[#This Row],[Listing Price (USD)]]/10000</f>
        <v>38.2727</v>
      </c>
      <c r="I603">
        <f>Table_8[[#This Row],[Length 
(ft)]]</f>
        <v>45.8</v>
      </c>
      <c r="J603" s="37">
        <f>2020-Table_8[[#This Row],[Year]]</f>
        <v>7</v>
      </c>
      <c r="K603">
        <v>188925995936.80701</v>
      </c>
      <c r="L603">
        <v>17658.947301119199</v>
      </c>
      <c r="M603">
        <v>-1.2479835558140799</v>
      </c>
      <c r="N603">
        <v>-9.0040436420214593</v>
      </c>
      <c r="O603" s="39">
        <v>41.83</v>
      </c>
      <c r="P603" s="39">
        <v>1398</v>
      </c>
      <c r="Q603" s="39">
        <v>275</v>
      </c>
      <c r="R603" s="39">
        <v>25.82</v>
      </c>
    </row>
    <row r="604" spans="1:18" x14ac:dyDescent="0.25">
      <c r="A604" s="1" t="s">
        <v>427</v>
      </c>
      <c r="B604" s="2">
        <v>450</v>
      </c>
      <c r="C604" s="19">
        <v>45.8</v>
      </c>
      <c r="D604" s="3" t="s">
        <v>496</v>
      </c>
      <c r="E604" s="4" t="s">
        <v>18</v>
      </c>
      <c r="F604" s="23">
        <v>383017</v>
      </c>
      <c r="G604" s="35">
        <v>2013</v>
      </c>
      <c r="H604">
        <f>Table_8[[#This Row],[Listing Price (USD)]]/10000</f>
        <v>38.301699999999997</v>
      </c>
      <c r="I604">
        <f>Table_8[[#This Row],[Length 
(ft)]]</f>
        <v>45.8</v>
      </c>
      <c r="J604" s="37">
        <f>2020-Table_8[[#This Row],[Year]]</f>
        <v>7</v>
      </c>
      <c r="K604">
        <v>188925995936.80701</v>
      </c>
      <c r="L604">
        <v>17658.947301119199</v>
      </c>
      <c r="M604">
        <v>-1.2479835558140799</v>
      </c>
      <c r="N604">
        <v>-9.0040436420214593</v>
      </c>
      <c r="O604" s="39">
        <v>41.83</v>
      </c>
      <c r="P604" s="39">
        <v>1398</v>
      </c>
      <c r="Q604" s="39">
        <v>275</v>
      </c>
      <c r="R604" s="39">
        <v>25.82</v>
      </c>
    </row>
    <row r="605" spans="1:18" x14ac:dyDescent="0.25">
      <c r="A605" s="1" t="s">
        <v>427</v>
      </c>
      <c r="B605" s="2">
        <v>450</v>
      </c>
      <c r="C605" s="19">
        <v>45.8</v>
      </c>
      <c r="D605" s="3" t="s">
        <v>496</v>
      </c>
      <c r="E605" s="4" t="s">
        <v>18</v>
      </c>
      <c r="F605" s="23">
        <v>388016</v>
      </c>
      <c r="G605" s="35">
        <v>2012</v>
      </c>
      <c r="H605">
        <f>Table_8[[#This Row],[Listing Price (USD)]]/10000</f>
        <v>38.801600000000001</v>
      </c>
      <c r="I605">
        <f>Table_8[[#This Row],[Length 
(ft)]]</f>
        <v>45.8</v>
      </c>
      <c r="J605" s="37">
        <f>2020-Table_8[[#This Row],[Year]]</f>
        <v>8</v>
      </c>
      <c r="K605">
        <v>188925995936.80701</v>
      </c>
      <c r="L605">
        <v>17658.947301119199</v>
      </c>
      <c r="M605">
        <v>-1.2479835558140799</v>
      </c>
      <c r="N605">
        <v>-9.0040436420214593</v>
      </c>
      <c r="O605" s="39">
        <v>41.83</v>
      </c>
      <c r="P605" s="39">
        <v>1398</v>
      </c>
      <c r="Q605" s="39">
        <v>275</v>
      </c>
      <c r="R605" s="39">
        <v>25.82</v>
      </c>
    </row>
    <row r="606" spans="1:18" x14ac:dyDescent="0.25">
      <c r="A606" s="1" t="s">
        <v>427</v>
      </c>
      <c r="B606" s="2">
        <v>450</v>
      </c>
      <c r="C606" s="19">
        <v>45.8</v>
      </c>
      <c r="D606" s="3" t="s">
        <v>496</v>
      </c>
      <c r="E606" s="4" t="s">
        <v>18</v>
      </c>
      <c r="F606" s="23">
        <v>388802</v>
      </c>
      <c r="G606" s="35">
        <v>2012</v>
      </c>
      <c r="H606">
        <f>Table_8[[#This Row],[Listing Price (USD)]]/10000</f>
        <v>38.880200000000002</v>
      </c>
      <c r="I606">
        <f>Table_8[[#This Row],[Length 
(ft)]]</f>
        <v>45.8</v>
      </c>
      <c r="J606" s="37">
        <f>2020-Table_8[[#This Row],[Year]]</f>
        <v>8</v>
      </c>
      <c r="K606">
        <v>188925995936.80701</v>
      </c>
      <c r="L606">
        <v>17658.947301119199</v>
      </c>
      <c r="M606">
        <v>-1.2479835558140799</v>
      </c>
      <c r="N606">
        <v>-9.0040436420214593</v>
      </c>
      <c r="O606" s="39">
        <v>41.83</v>
      </c>
      <c r="P606" s="39">
        <v>1398</v>
      </c>
      <c r="Q606" s="39">
        <v>275</v>
      </c>
      <c r="R606" s="39">
        <v>25.82</v>
      </c>
    </row>
    <row r="607" spans="1:18" x14ac:dyDescent="0.25">
      <c r="A607" s="1" t="s">
        <v>427</v>
      </c>
      <c r="B607" s="2">
        <v>450</v>
      </c>
      <c r="C607" s="19">
        <v>45.8</v>
      </c>
      <c r="D607" s="3" t="s">
        <v>496</v>
      </c>
      <c r="E607" s="4" t="s">
        <v>24</v>
      </c>
      <c r="F607" s="23">
        <v>389097</v>
      </c>
      <c r="G607" s="35">
        <v>2011</v>
      </c>
      <c r="H607">
        <f>Table_8[[#This Row],[Listing Price (USD)]]/10000</f>
        <v>38.909700000000001</v>
      </c>
      <c r="I607">
        <f>Table_8[[#This Row],[Length 
(ft)]]</f>
        <v>45.8</v>
      </c>
      <c r="J607" s="37">
        <f>2020-Table_8[[#This Row],[Year]]</f>
        <v>9</v>
      </c>
      <c r="K607">
        <v>1896755301518.1399</v>
      </c>
      <c r="L607">
        <v>31911.0357890017</v>
      </c>
      <c r="M607">
        <v>-0.13770757391656999</v>
      </c>
      <c r="N607">
        <v>-9.0399534112288507</v>
      </c>
      <c r="O607" s="39">
        <v>41.83</v>
      </c>
      <c r="P607" s="39">
        <v>1398</v>
      </c>
      <c r="Q607" s="39">
        <v>275</v>
      </c>
      <c r="R607" s="39">
        <v>25.82</v>
      </c>
    </row>
    <row r="608" spans="1:18" x14ac:dyDescent="0.25">
      <c r="A608" s="1" t="s">
        <v>427</v>
      </c>
      <c r="B608" s="2">
        <v>450</v>
      </c>
      <c r="C608" s="19">
        <v>45.8</v>
      </c>
      <c r="D608" s="3" t="s">
        <v>496</v>
      </c>
      <c r="E608" s="4" t="s">
        <v>31</v>
      </c>
      <c r="F608" s="23">
        <v>397717</v>
      </c>
      <c r="G608" s="35">
        <v>2012</v>
      </c>
      <c r="H608">
        <f>Table_8[[#This Row],[Listing Price (USD)]]/10000</f>
        <v>39.771700000000003</v>
      </c>
      <c r="I608">
        <f>Table_8[[#This Row],[Length 
(ft)]]</f>
        <v>45.8</v>
      </c>
      <c r="J608" s="37">
        <f>2020-Table_8[[#This Row],[Year]]</f>
        <v>8</v>
      </c>
      <c r="K608">
        <v>57472012426.685303</v>
      </c>
      <c r="L608">
        <v>14198.753959474399</v>
      </c>
      <c r="M608">
        <v>0.15481137456202801</v>
      </c>
      <c r="N608">
        <v>-8.5803430210621805</v>
      </c>
      <c r="O608" s="39">
        <v>41.83</v>
      </c>
      <c r="P608" s="39">
        <v>1398</v>
      </c>
      <c r="Q608" s="39">
        <v>275</v>
      </c>
      <c r="R608" s="39">
        <v>25.82</v>
      </c>
    </row>
    <row r="609" spans="1:18" x14ac:dyDescent="0.25">
      <c r="A609" s="1" t="s">
        <v>427</v>
      </c>
      <c r="B609" s="2">
        <v>450</v>
      </c>
      <c r="C609" s="19">
        <v>45.8</v>
      </c>
      <c r="D609" s="3" t="s">
        <v>496</v>
      </c>
      <c r="E609" s="4" t="s">
        <v>31</v>
      </c>
      <c r="F609" s="23">
        <v>398110</v>
      </c>
      <c r="G609" s="35">
        <v>2012</v>
      </c>
      <c r="H609">
        <f>Table_8[[#This Row],[Listing Price (USD)]]/10000</f>
        <v>39.811</v>
      </c>
      <c r="I609">
        <f>Table_8[[#This Row],[Length 
(ft)]]</f>
        <v>45.8</v>
      </c>
      <c r="J609" s="37">
        <f>2020-Table_8[[#This Row],[Year]]</f>
        <v>8</v>
      </c>
      <c r="K609">
        <v>57472012426.685303</v>
      </c>
      <c r="L609">
        <v>14198.753959474399</v>
      </c>
      <c r="M609">
        <v>0.15481137456202801</v>
      </c>
      <c r="N609">
        <v>-8.5803430210621805</v>
      </c>
      <c r="O609" s="39">
        <v>41.83</v>
      </c>
      <c r="P609" s="39">
        <v>1398</v>
      </c>
      <c r="Q609" s="39">
        <v>275</v>
      </c>
      <c r="R609" s="39">
        <v>25.82</v>
      </c>
    </row>
    <row r="610" spans="1:18" x14ac:dyDescent="0.25">
      <c r="A610" s="1" t="s">
        <v>427</v>
      </c>
      <c r="B610" s="2">
        <v>450</v>
      </c>
      <c r="C610" s="19">
        <v>45.8</v>
      </c>
      <c r="D610" s="3" t="s">
        <v>496</v>
      </c>
      <c r="E610" s="4" t="s">
        <v>31</v>
      </c>
      <c r="F610" s="23">
        <v>398420</v>
      </c>
      <c r="G610" s="35">
        <v>2012</v>
      </c>
      <c r="H610">
        <f>Table_8[[#This Row],[Listing Price (USD)]]/10000</f>
        <v>39.841999999999999</v>
      </c>
      <c r="I610">
        <f>Table_8[[#This Row],[Length 
(ft)]]</f>
        <v>45.8</v>
      </c>
      <c r="J610" s="37">
        <f>2020-Table_8[[#This Row],[Year]]</f>
        <v>8</v>
      </c>
      <c r="K610">
        <v>57472012426.685303</v>
      </c>
      <c r="L610">
        <v>14198.753959474399</v>
      </c>
      <c r="M610">
        <v>0.15481137456202801</v>
      </c>
      <c r="N610">
        <v>-8.5803430210621805</v>
      </c>
      <c r="O610" s="39">
        <v>41.83</v>
      </c>
      <c r="P610" s="39">
        <v>1398</v>
      </c>
      <c r="Q610" s="39">
        <v>275</v>
      </c>
      <c r="R610" s="39">
        <v>25.82</v>
      </c>
    </row>
    <row r="611" spans="1:18" x14ac:dyDescent="0.25">
      <c r="A611" s="1" t="s">
        <v>427</v>
      </c>
      <c r="B611" s="2">
        <v>450</v>
      </c>
      <c r="C611" s="19">
        <v>45.8</v>
      </c>
      <c r="D611" s="3" t="s">
        <v>496</v>
      </c>
      <c r="E611" s="4" t="s">
        <v>31</v>
      </c>
      <c r="F611" s="23">
        <v>398420</v>
      </c>
      <c r="G611" s="35">
        <v>2012</v>
      </c>
      <c r="H611">
        <f>Table_8[[#This Row],[Listing Price (USD)]]/10000</f>
        <v>39.841999999999999</v>
      </c>
      <c r="I611">
        <f>Table_8[[#This Row],[Length 
(ft)]]</f>
        <v>45.8</v>
      </c>
      <c r="J611" s="37">
        <f>2020-Table_8[[#This Row],[Year]]</f>
        <v>8</v>
      </c>
      <c r="K611">
        <v>57472012426.685303</v>
      </c>
      <c r="L611">
        <v>14198.753959474399</v>
      </c>
      <c r="M611">
        <v>0.15481137456202801</v>
      </c>
      <c r="N611">
        <v>-8.5803430210621805</v>
      </c>
      <c r="O611" s="39">
        <v>41.83</v>
      </c>
      <c r="P611" s="39">
        <v>1398</v>
      </c>
      <c r="Q611" s="39">
        <v>275</v>
      </c>
      <c r="R611" s="39">
        <v>25.82</v>
      </c>
    </row>
    <row r="612" spans="1:18" x14ac:dyDescent="0.25">
      <c r="A612" s="1" t="s">
        <v>427</v>
      </c>
      <c r="B612" s="2">
        <v>450</v>
      </c>
      <c r="C612" s="19">
        <v>45.8</v>
      </c>
      <c r="D612" s="3" t="s">
        <v>497</v>
      </c>
      <c r="E612" s="3" t="s">
        <v>511</v>
      </c>
      <c r="F612" s="23">
        <v>400142</v>
      </c>
      <c r="G612" s="35">
        <v>2012</v>
      </c>
      <c r="H612">
        <f>Table_8[[#This Row],[Listing Price (USD)]]/10000</f>
        <v>40.014200000000002</v>
      </c>
      <c r="I612">
        <f>Table_8[[#This Row],[Length 
(ft)]]</f>
        <v>45.8</v>
      </c>
      <c r="J612" s="37">
        <f>2020-Table_8[[#This Row],[Year]]</f>
        <v>8</v>
      </c>
      <c r="K612">
        <v>681973374534.10596</v>
      </c>
      <c r="L612">
        <v>27575.495000325591</v>
      </c>
      <c r="M612">
        <v>0.8848420113691905</v>
      </c>
      <c r="N612">
        <v>-6.3525291034127971</v>
      </c>
      <c r="O612" s="39">
        <v>41.83</v>
      </c>
      <c r="P612" s="39">
        <v>1398</v>
      </c>
      <c r="Q612" s="39">
        <v>275</v>
      </c>
      <c r="R612" s="39">
        <v>25.82</v>
      </c>
    </row>
    <row r="613" spans="1:18" x14ac:dyDescent="0.25">
      <c r="A613" s="1" t="s">
        <v>427</v>
      </c>
      <c r="B613" s="2">
        <v>450</v>
      </c>
      <c r="C613" s="19">
        <v>45.8</v>
      </c>
      <c r="D613" s="3" t="s">
        <v>497</v>
      </c>
      <c r="E613" s="3" t="s">
        <v>370</v>
      </c>
      <c r="F613" s="23">
        <v>400142</v>
      </c>
      <c r="G613" s="35">
        <v>2014</v>
      </c>
      <c r="H613">
        <f>Table_8[[#This Row],[Listing Price (USD)]]/10000</f>
        <v>40.014200000000002</v>
      </c>
      <c r="I613">
        <f>Table_8[[#This Row],[Length 
(ft)]]</f>
        <v>45.8</v>
      </c>
      <c r="J613" s="37">
        <f>2020-Table_8[[#This Row],[Year]]</f>
        <v>6</v>
      </c>
      <c r="K613">
        <v>500000000</v>
      </c>
      <c r="L613">
        <v>34200</v>
      </c>
      <c r="M613">
        <v>1.1000000000000001</v>
      </c>
      <c r="N613">
        <v>2</v>
      </c>
      <c r="O613" s="39">
        <v>41.83</v>
      </c>
      <c r="P613" s="39">
        <v>1398</v>
      </c>
      <c r="Q613" s="39">
        <v>275</v>
      </c>
      <c r="R613" s="39">
        <v>25.82</v>
      </c>
    </row>
    <row r="614" spans="1:18" x14ac:dyDescent="0.25">
      <c r="A614" s="1" t="s">
        <v>427</v>
      </c>
      <c r="B614" s="2">
        <v>450</v>
      </c>
      <c r="C614" s="19">
        <v>45.8</v>
      </c>
      <c r="D614" s="3" t="s">
        <v>497</v>
      </c>
      <c r="E614" s="3" t="s">
        <v>483</v>
      </c>
      <c r="F614" s="23">
        <v>400142</v>
      </c>
      <c r="G614" s="35">
        <v>2014</v>
      </c>
      <c r="H614">
        <f>Table_8[[#This Row],[Listing Price (USD)]]/10000</f>
        <v>40.014200000000002</v>
      </c>
      <c r="I614">
        <f>Table_8[[#This Row],[Length 
(ft)]]</f>
        <v>45.8</v>
      </c>
      <c r="J614" s="37">
        <f>2020-Table_8[[#This Row],[Year]]</f>
        <v>6</v>
      </c>
      <c r="K614">
        <v>4200000000</v>
      </c>
      <c r="L614">
        <v>39553.199999999997</v>
      </c>
      <c r="M614">
        <v>2.5</v>
      </c>
      <c r="N614">
        <v>-2.1</v>
      </c>
      <c r="O614" s="39">
        <v>41.83</v>
      </c>
      <c r="P614" s="39">
        <v>1398</v>
      </c>
      <c r="Q614" s="39">
        <v>275</v>
      </c>
      <c r="R614" s="39">
        <v>25.82</v>
      </c>
    </row>
    <row r="615" spans="1:18" x14ac:dyDescent="0.25">
      <c r="A615" s="1" t="s">
        <v>427</v>
      </c>
      <c r="B615" s="2">
        <v>450</v>
      </c>
      <c r="C615" s="19">
        <v>45.8</v>
      </c>
      <c r="D615" s="3" t="s">
        <v>497</v>
      </c>
      <c r="E615" s="3" t="s">
        <v>483</v>
      </c>
      <c r="F615" s="23">
        <v>400142</v>
      </c>
      <c r="G615" s="35">
        <v>2015</v>
      </c>
      <c r="H615">
        <f>Table_8[[#This Row],[Listing Price (USD)]]/10000</f>
        <v>40.014200000000002</v>
      </c>
      <c r="I615">
        <f>Table_8[[#This Row],[Length 
(ft)]]</f>
        <v>45.8</v>
      </c>
      <c r="J615" s="37">
        <f>2020-Table_8[[#This Row],[Year]]</f>
        <v>5</v>
      </c>
      <c r="K615">
        <v>4200000000</v>
      </c>
      <c r="L615">
        <v>39553.199999999997</v>
      </c>
      <c r="M615">
        <v>2.5</v>
      </c>
      <c r="N615">
        <v>-2.1</v>
      </c>
      <c r="O615" s="39">
        <v>41.83</v>
      </c>
      <c r="P615" s="39">
        <v>1398</v>
      </c>
      <c r="Q615" s="39">
        <v>275</v>
      </c>
      <c r="R615" s="39">
        <v>25.82</v>
      </c>
    </row>
    <row r="616" spans="1:18" x14ac:dyDescent="0.25">
      <c r="A616" s="1" t="s">
        <v>427</v>
      </c>
      <c r="B616" s="2">
        <v>450</v>
      </c>
      <c r="C616" s="19">
        <v>45.8</v>
      </c>
      <c r="D616" s="3" t="s">
        <v>496</v>
      </c>
      <c r="E616" s="4" t="s">
        <v>18</v>
      </c>
      <c r="F616" s="23">
        <v>400537</v>
      </c>
      <c r="G616" s="35">
        <v>2012</v>
      </c>
      <c r="H616">
        <f>Table_8[[#This Row],[Listing Price (USD)]]/10000</f>
        <v>40.053699999999999</v>
      </c>
      <c r="I616">
        <f>Table_8[[#This Row],[Length 
(ft)]]</f>
        <v>45.8</v>
      </c>
      <c r="J616" s="37">
        <f>2020-Table_8[[#This Row],[Year]]</f>
        <v>8</v>
      </c>
      <c r="K616">
        <v>188925995936.80701</v>
      </c>
      <c r="L616">
        <v>17658.947301119199</v>
      </c>
      <c r="M616">
        <v>-1.2479835558140799</v>
      </c>
      <c r="N616">
        <v>-9.0040436420214593</v>
      </c>
      <c r="O616" s="39">
        <v>41.83</v>
      </c>
      <c r="P616" s="39">
        <v>1398</v>
      </c>
      <c r="Q616" s="39">
        <v>275</v>
      </c>
      <c r="R616" s="39">
        <v>25.82</v>
      </c>
    </row>
    <row r="617" spans="1:18" x14ac:dyDescent="0.25">
      <c r="A617" s="1" t="s">
        <v>427</v>
      </c>
      <c r="B617" s="2">
        <v>450</v>
      </c>
      <c r="C617" s="19">
        <v>45.8</v>
      </c>
      <c r="D617" s="3" t="s">
        <v>496</v>
      </c>
      <c r="E617" s="4" t="s">
        <v>31</v>
      </c>
      <c r="F617" s="23">
        <v>400537</v>
      </c>
      <c r="G617" s="35">
        <v>2013</v>
      </c>
      <c r="H617">
        <f>Table_8[[#This Row],[Listing Price (USD)]]/10000</f>
        <v>40.053699999999999</v>
      </c>
      <c r="I617">
        <f>Table_8[[#This Row],[Length 
(ft)]]</f>
        <v>45.8</v>
      </c>
      <c r="J617" s="37">
        <f>2020-Table_8[[#This Row],[Year]]</f>
        <v>7</v>
      </c>
      <c r="K617">
        <v>57472012426.685303</v>
      </c>
      <c r="L617">
        <v>14198.753959474399</v>
      </c>
      <c r="M617">
        <v>0.15481137456202801</v>
      </c>
      <c r="N617">
        <v>-8.5803430210621805</v>
      </c>
      <c r="O617" s="39">
        <v>41.83</v>
      </c>
      <c r="P617" s="39">
        <v>1398</v>
      </c>
      <c r="Q617" s="39">
        <v>275</v>
      </c>
      <c r="R617" s="39">
        <v>25.82</v>
      </c>
    </row>
    <row r="618" spans="1:18" x14ac:dyDescent="0.25">
      <c r="A618" s="1" t="s">
        <v>427</v>
      </c>
      <c r="B618" s="2">
        <v>450</v>
      </c>
      <c r="C618" s="19">
        <v>45.8</v>
      </c>
      <c r="D618" s="3" t="s">
        <v>496</v>
      </c>
      <c r="E618" s="4" t="s">
        <v>3</v>
      </c>
      <c r="F618" s="23">
        <v>400537</v>
      </c>
      <c r="G618" s="35">
        <v>2013</v>
      </c>
      <c r="H618">
        <f>Table_8[[#This Row],[Listing Price (USD)]]/10000</f>
        <v>40.053699999999999</v>
      </c>
      <c r="I618">
        <f>Table_8[[#This Row],[Length 
(ft)]]</f>
        <v>45.8</v>
      </c>
      <c r="J618" s="37">
        <f>2020-Table_8[[#This Row],[Year]]</f>
        <v>7</v>
      </c>
      <c r="K618">
        <v>2639008701648.2598</v>
      </c>
      <c r="L618">
        <v>39055.282928075401</v>
      </c>
      <c r="M618">
        <v>0.47649885272508302</v>
      </c>
      <c r="N618">
        <v>-7.7845864916787102</v>
      </c>
      <c r="O618" s="39">
        <v>41.83</v>
      </c>
      <c r="P618" s="39">
        <v>1398</v>
      </c>
      <c r="Q618" s="39">
        <v>275</v>
      </c>
      <c r="R618" s="39">
        <v>25.82</v>
      </c>
    </row>
    <row r="619" spans="1:18" x14ac:dyDescent="0.25">
      <c r="A619" s="1" t="s">
        <v>427</v>
      </c>
      <c r="B619" s="2">
        <v>450</v>
      </c>
      <c r="C619" s="19">
        <v>45.8</v>
      </c>
      <c r="D619" s="3" t="s">
        <v>496</v>
      </c>
      <c r="E619" s="4" t="s">
        <v>18</v>
      </c>
      <c r="F619" s="23">
        <v>400850</v>
      </c>
      <c r="G619" s="35">
        <v>2012</v>
      </c>
      <c r="H619">
        <f>Table_8[[#This Row],[Listing Price (USD)]]/10000</f>
        <v>40.085000000000001</v>
      </c>
      <c r="I619">
        <f>Table_8[[#This Row],[Length 
(ft)]]</f>
        <v>45.8</v>
      </c>
      <c r="J619" s="37">
        <f>2020-Table_8[[#This Row],[Year]]</f>
        <v>8</v>
      </c>
      <c r="K619">
        <v>188925995936.80701</v>
      </c>
      <c r="L619">
        <v>17658.947301119199</v>
      </c>
      <c r="M619">
        <v>-1.2479835558140799</v>
      </c>
      <c r="N619">
        <v>-9.0040436420214593</v>
      </c>
      <c r="O619" s="39">
        <v>41.83</v>
      </c>
      <c r="P619" s="39">
        <v>1398</v>
      </c>
      <c r="Q619" s="39">
        <v>275</v>
      </c>
      <c r="R619" s="39">
        <v>25.82</v>
      </c>
    </row>
    <row r="620" spans="1:18" x14ac:dyDescent="0.25">
      <c r="A620" s="1" t="s">
        <v>427</v>
      </c>
      <c r="B620" s="2">
        <v>450</v>
      </c>
      <c r="C620" s="19">
        <v>45.8</v>
      </c>
      <c r="D620" s="3" t="s">
        <v>496</v>
      </c>
      <c r="E620" s="4" t="s">
        <v>31</v>
      </c>
      <c r="F620" s="23">
        <v>400850</v>
      </c>
      <c r="G620" s="35">
        <v>2013</v>
      </c>
      <c r="H620">
        <f>Table_8[[#This Row],[Listing Price (USD)]]/10000</f>
        <v>40.085000000000001</v>
      </c>
      <c r="I620">
        <f>Table_8[[#This Row],[Length 
(ft)]]</f>
        <v>45.8</v>
      </c>
      <c r="J620" s="37">
        <f>2020-Table_8[[#This Row],[Year]]</f>
        <v>7</v>
      </c>
      <c r="K620">
        <v>57472012426.685303</v>
      </c>
      <c r="L620">
        <v>14198.753959474399</v>
      </c>
      <c r="M620">
        <v>0.15481137456202801</v>
      </c>
      <c r="N620">
        <v>-8.5803430210621805</v>
      </c>
      <c r="O620" s="39">
        <v>41.83</v>
      </c>
      <c r="P620" s="39">
        <v>1398</v>
      </c>
      <c r="Q620" s="39">
        <v>275</v>
      </c>
      <c r="R620" s="39">
        <v>25.82</v>
      </c>
    </row>
    <row r="621" spans="1:18" x14ac:dyDescent="0.25">
      <c r="A621" s="1" t="s">
        <v>427</v>
      </c>
      <c r="B621" s="2">
        <v>450</v>
      </c>
      <c r="C621" s="19">
        <v>45.8</v>
      </c>
      <c r="D621" s="3" t="s">
        <v>496</v>
      </c>
      <c r="E621" s="3" t="s">
        <v>3</v>
      </c>
      <c r="F621" s="23">
        <v>400850</v>
      </c>
      <c r="G621" s="35">
        <v>2013</v>
      </c>
      <c r="H621">
        <f>Table_8[[#This Row],[Listing Price (USD)]]/10000</f>
        <v>40.085000000000001</v>
      </c>
      <c r="I621">
        <f>Table_8[[#This Row],[Length 
(ft)]]</f>
        <v>45.8</v>
      </c>
      <c r="J621" s="37">
        <f>2020-Table_8[[#This Row],[Year]]</f>
        <v>7</v>
      </c>
      <c r="K621">
        <v>2639008701648.2598</v>
      </c>
      <c r="L621">
        <v>39055.282928075401</v>
      </c>
      <c r="M621">
        <v>0.47649885272508302</v>
      </c>
      <c r="N621">
        <v>-7.7845864916787102</v>
      </c>
      <c r="O621" s="39">
        <v>41.83</v>
      </c>
      <c r="P621" s="39">
        <v>1398</v>
      </c>
      <c r="Q621" s="39">
        <v>275</v>
      </c>
      <c r="R621" s="39">
        <v>25.82</v>
      </c>
    </row>
    <row r="622" spans="1:18" x14ac:dyDescent="0.25">
      <c r="A622" s="1" t="s">
        <v>427</v>
      </c>
      <c r="B622" s="2">
        <v>450</v>
      </c>
      <c r="C622" s="19">
        <v>45.8</v>
      </c>
      <c r="D622" s="3" t="s">
        <v>496</v>
      </c>
      <c r="E622" s="4" t="s">
        <v>18</v>
      </c>
      <c r="F622" s="23">
        <v>407335</v>
      </c>
      <c r="G622" s="35">
        <v>2011</v>
      </c>
      <c r="H622">
        <f>Table_8[[#This Row],[Listing Price (USD)]]/10000</f>
        <v>40.733499999999999</v>
      </c>
      <c r="I622">
        <f>Table_8[[#This Row],[Length 
(ft)]]</f>
        <v>45.8</v>
      </c>
      <c r="J622" s="37">
        <f>2020-Table_8[[#This Row],[Year]]</f>
        <v>9</v>
      </c>
      <c r="K622">
        <v>188925995936.80701</v>
      </c>
      <c r="L622">
        <v>17658.947301119199</v>
      </c>
      <c r="M622">
        <v>-1.2479835558140799</v>
      </c>
      <c r="N622">
        <v>-9.0040436420214593</v>
      </c>
      <c r="O622" s="39">
        <v>41.83</v>
      </c>
      <c r="P622" s="39">
        <v>1398</v>
      </c>
      <c r="Q622" s="39">
        <v>275</v>
      </c>
      <c r="R622" s="39">
        <v>25.82</v>
      </c>
    </row>
    <row r="623" spans="1:18" x14ac:dyDescent="0.25">
      <c r="A623" s="1" t="s">
        <v>427</v>
      </c>
      <c r="B623" s="2">
        <v>450</v>
      </c>
      <c r="C623" s="19">
        <v>45.8</v>
      </c>
      <c r="D623" s="3" t="s">
        <v>496</v>
      </c>
      <c r="E623" s="4" t="s">
        <v>3</v>
      </c>
      <c r="F623" s="23">
        <v>411461</v>
      </c>
      <c r="G623" s="35">
        <v>2012</v>
      </c>
      <c r="H623">
        <f>Table_8[[#This Row],[Listing Price (USD)]]/10000</f>
        <v>41.146099999999997</v>
      </c>
      <c r="I623">
        <f>Table_8[[#This Row],[Length 
(ft)]]</f>
        <v>45.8</v>
      </c>
      <c r="J623" s="37">
        <f>2020-Table_8[[#This Row],[Year]]</f>
        <v>8</v>
      </c>
      <c r="K623">
        <v>2639008701648.2598</v>
      </c>
      <c r="L623">
        <v>39055.282928075401</v>
      </c>
      <c r="M623">
        <v>0.47649885272508302</v>
      </c>
      <c r="N623">
        <v>-7.7845864916787102</v>
      </c>
      <c r="O623" s="39">
        <v>41.83</v>
      </c>
      <c r="P623" s="39">
        <v>1398</v>
      </c>
      <c r="Q623" s="39">
        <v>275</v>
      </c>
      <c r="R623" s="39">
        <v>25.82</v>
      </c>
    </row>
    <row r="624" spans="1:18" x14ac:dyDescent="0.25">
      <c r="A624" s="1" t="s">
        <v>427</v>
      </c>
      <c r="B624" s="2">
        <v>450</v>
      </c>
      <c r="C624" s="19">
        <v>45.8</v>
      </c>
      <c r="D624" s="3" t="s">
        <v>496</v>
      </c>
      <c r="E624" s="4" t="s">
        <v>3</v>
      </c>
      <c r="F624" s="23">
        <v>411782</v>
      </c>
      <c r="G624" s="35">
        <v>2012</v>
      </c>
      <c r="H624">
        <f>Table_8[[#This Row],[Listing Price (USD)]]/10000</f>
        <v>41.178199999999997</v>
      </c>
      <c r="I624">
        <f>Table_8[[#This Row],[Length 
(ft)]]</f>
        <v>45.8</v>
      </c>
      <c r="J624" s="37">
        <f>2020-Table_8[[#This Row],[Year]]</f>
        <v>8</v>
      </c>
      <c r="K624">
        <v>2639008701648.2598</v>
      </c>
      <c r="L624">
        <v>39055.282928075401</v>
      </c>
      <c r="M624">
        <v>0.47649885272508302</v>
      </c>
      <c r="N624">
        <v>-7.7845864916787102</v>
      </c>
      <c r="O624" s="39">
        <v>41.83</v>
      </c>
      <c r="P624" s="39">
        <v>1398</v>
      </c>
      <c r="Q624" s="39">
        <v>275</v>
      </c>
      <c r="R624" s="39">
        <v>25.82</v>
      </c>
    </row>
    <row r="625" spans="1:18" x14ac:dyDescent="0.25">
      <c r="A625" s="1" t="s">
        <v>427</v>
      </c>
      <c r="B625" s="2">
        <v>450</v>
      </c>
      <c r="C625" s="19">
        <v>45.8</v>
      </c>
      <c r="D625" s="3" t="s">
        <v>496</v>
      </c>
      <c r="E625" s="4" t="s">
        <v>18</v>
      </c>
      <c r="F625" s="23">
        <v>418330</v>
      </c>
      <c r="G625" s="35">
        <v>2013</v>
      </c>
      <c r="H625">
        <f>Table_8[[#This Row],[Listing Price (USD)]]/10000</f>
        <v>41.832999999999998</v>
      </c>
      <c r="I625">
        <f>Table_8[[#This Row],[Length 
(ft)]]</f>
        <v>45.8</v>
      </c>
      <c r="J625" s="37">
        <f>2020-Table_8[[#This Row],[Year]]</f>
        <v>7</v>
      </c>
      <c r="K625">
        <v>188925995936.80701</v>
      </c>
      <c r="L625">
        <v>17658.947301119199</v>
      </c>
      <c r="M625">
        <v>-1.2479835558140799</v>
      </c>
      <c r="N625">
        <v>-9.0040436420214593</v>
      </c>
      <c r="O625" s="39">
        <v>41.83</v>
      </c>
      <c r="P625" s="39">
        <v>1398</v>
      </c>
      <c r="Q625" s="39">
        <v>275</v>
      </c>
      <c r="R625" s="39">
        <v>25.82</v>
      </c>
    </row>
    <row r="626" spans="1:18" x14ac:dyDescent="0.25">
      <c r="A626" s="1" t="s">
        <v>427</v>
      </c>
      <c r="B626" s="2">
        <v>450</v>
      </c>
      <c r="C626" s="19">
        <v>45.8</v>
      </c>
      <c r="D626" s="3" t="s">
        <v>496</v>
      </c>
      <c r="E626" s="4" t="s">
        <v>18</v>
      </c>
      <c r="F626" s="23">
        <v>419177</v>
      </c>
      <c r="G626" s="35">
        <v>2013</v>
      </c>
      <c r="H626">
        <f>Table_8[[#This Row],[Listing Price (USD)]]/10000</f>
        <v>41.917700000000004</v>
      </c>
      <c r="I626">
        <f>Table_8[[#This Row],[Length 
(ft)]]</f>
        <v>45.8</v>
      </c>
      <c r="J626" s="37">
        <f>2020-Table_8[[#This Row],[Year]]</f>
        <v>7</v>
      </c>
      <c r="K626">
        <v>188925995936.80701</v>
      </c>
      <c r="L626">
        <v>17658.947301119199</v>
      </c>
      <c r="M626">
        <v>-1.2479835558140799</v>
      </c>
      <c r="N626">
        <v>-9.0040436420214593</v>
      </c>
      <c r="O626" s="39">
        <v>41.83</v>
      </c>
      <c r="P626" s="39">
        <v>1398</v>
      </c>
      <c r="Q626" s="39">
        <v>275</v>
      </c>
      <c r="R626" s="39">
        <v>25.82</v>
      </c>
    </row>
    <row r="627" spans="1:18" x14ac:dyDescent="0.25">
      <c r="A627" s="1" t="s">
        <v>427</v>
      </c>
      <c r="B627" s="2">
        <v>450</v>
      </c>
      <c r="C627" s="19">
        <v>44.6</v>
      </c>
      <c r="D627" s="3" t="s">
        <v>496</v>
      </c>
      <c r="E627" s="4" t="s">
        <v>18</v>
      </c>
      <c r="F627" s="23">
        <v>424206</v>
      </c>
      <c r="G627" s="35">
        <v>2013</v>
      </c>
      <c r="H627">
        <f>Table_8[[#This Row],[Listing Price (USD)]]/10000</f>
        <v>42.4206</v>
      </c>
      <c r="I627">
        <f>Table_8[[#This Row],[Length 
(ft)]]</f>
        <v>44.6</v>
      </c>
      <c r="J627" s="37">
        <f>2020-Table_8[[#This Row],[Year]]</f>
        <v>7</v>
      </c>
      <c r="K627">
        <v>188925995936.80701</v>
      </c>
      <c r="L627">
        <v>17658.947301119199</v>
      </c>
      <c r="M627">
        <v>-1.2479835558140799</v>
      </c>
      <c r="N627">
        <v>-9.0040436420214593</v>
      </c>
      <c r="O627" s="39">
        <v>41.83</v>
      </c>
      <c r="P627" s="39">
        <v>1398</v>
      </c>
      <c r="Q627" s="39">
        <v>275</v>
      </c>
      <c r="R627" s="39">
        <v>25.82</v>
      </c>
    </row>
    <row r="628" spans="1:18" x14ac:dyDescent="0.25">
      <c r="A628" s="1" t="s">
        <v>427</v>
      </c>
      <c r="B628" s="2">
        <v>450</v>
      </c>
      <c r="C628" s="19">
        <v>45.8</v>
      </c>
      <c r="D628" s="3" t="s">
        <v>496</v>
      </c>
      <c r="E628" s="4" t="s">
        <v>24</v>
      </c>
      <c r="F628" s="23">
        <v>424393</v>
      </c>
      <c r="G628" s="35">
        <v>2014</v>
      </c>
      <c r="H628">
        <f>Table_8[[#This Row],[Listing Price (USD)]]/10000</f>
        <v>42.439300000000003</v>
      </c>
      <c r="I628">
        <f>Table_8[[#This Row],[Length 
(ft)]]</f>
        <v>45.8</v>
      </c>
      <c r="J628" s="37">
        <f>2020-Table_8[[#This Row],[Year]]</f>
        <v>6</v>
      </c>
      <c r="K628">
        <v>1896755301518.1399</v>
      </c>
      <c r="L628">
        <v>31911.0357890017</v>
      </c>
      <c r="M628">
        <v>-0.13770757391656999</v>
      </c>
      <c r="N628">
        <v>-9.0399534112288507</v>
      </c>
      <c r="O628" s="39">
        <v>41.83</v>
      </c>
      <c r="P628" s="39">
        <v>1398</v>
      </c>
      <c r="Q628" s="39">
        <v>275</v>
      </c>
      <c r="R628" s="39">
        <v>25.82</v>
      </c>
    </row>
    <row r="629" spans="1:18" x14ac:dyDescent="0.25">
      <c r="A629" s="1" t="s">
        <v>427</v>
      </c>
      <c r="B629" s="2" t="s">
        <v>434</v>
      </c>
      <c r="C629" s="19">
        <v>45.8</v>
      </c>
      <c r="D629" s="3" t="s">
        <v>496</v>
      </c>
      <c r="E629" s="4" t="s">
        <v>18</v>
      </c>
      <c r="F629" s="23">
        <v>424536</v>
      </c>
      <c r="G629" s="35">
        <v>2013</v>
      </c>
      <c r="H629">
        <f>Table_8[[#This Row],[Listing Price (USD)]]/10000</f>
        <v>42.453600000000002</v>
      </c>
      <c r="I629">
        <f>Table_8[[#This Row],[Length 
(ft)]]</f>
        <v>45.8</v>
      </c>
      <c r="J629" s="37">
        <f>2020-Table_8[[#This Row],[Year]]</f>
        <v>7</v>
      </c>
      <c r="K629">
        <v>188925995936.80701</v>
      </c>
      <c r="L629">
        <v>17658.947301119199</v>
      </c>
      <c r="M629">
        <v>-1.2479835558140799</v>
      </c>
      <c r="N629">
        <v>-9.0040436420214593</v>
      </c>
      <c r="O629" s="39">
        <v>41.83</v>
      </c>
      <c r="P629" s="39">
        <v>1398</v>
      </c>
      <c r="Q629" s="39">
        <v>275</v>
      </c>
      <c r="R629" s="39">
        <v>25.82</v>
      </c>
    </row>
    <row r="630" spans="1:18" x14ac:dyDescent="0.25">
      <c r="A630" s="1" t="s">
        <v>427</v>
      </c>
      <c r="B630" s="2">
        <v>450</v>
      </c>
      <c r="C630" s="19">
        <v>44.6</v>
      </c>
      <c r="D630" s="3" t="s">
        <v>496</v>
      </c>
      <c r="E630" s="4" t="s">
        <v>24</v>
      </c>
      <c r="F630" s="23">
        <v>424812</v>
      </c>
      <c r="G630" s="35">
        <v>2014</v>
      </c>
      <c r="H630">
        <f>Table_8[[#This Row],[Listing Price (USD)]]/10000</f>
        <v>42.481200000000001</v>
      </c>
      <c r="I630">
        <f>Table_8[[#This Row],[Length 
(ft)]]</f>
        <v>44.6</v>
      </c>
      <c r="J630" s="37">
        <f>2020-Table_8[[#This Row],[Year]]</f>
        <v>6</v>
      </c>
      <c r="K630">
        <v>1896755301518.1399</v>
      </c>
      <c r="L630">
        <v>31911.0357890017</v>
      </c>
      <c r="M630">
        <v>-0.13770757391656999</v>
      </c>
      <c r="N630">
        <v>-9.0399534112288507</v>
      </c>
      <c r="O630" s="39">
        <v>41.83</v>
      </c>
      <c r="P630" s="39">
        <v>1398</v>
      </c>
      <c r="Q630" s="39">
        <v>275</v>
      </c>
      <c r="R630" s="39">
        <v>25.82</v>
      </c>
    </row>
    <row r="631" spans="1:18" x14ac:dyDescent="0.25">
      <c r="A631" s="1" t="s">
        <v>427</v>
      </c>
      <c r="B631" s="2">
        <v>450</v>
      </c>
      <c r="C631" s="19">
        <v>45.8</v>
      </c>
      <c r="D631" s="3" t="s">
        <v>496</v>
      </c>
      <c r="E631" s="4" t="s">
        <v>18</v>
      </c>
      <c r="F631" s="23">
        <v>430455</v>
      </c>
      <c r="G631" s="35">
        <v>2015</v>
      </c>
      <c r="H631">
        <f>Table_8[[#This Row],[Listing Price (USD)]]/10000</f>
        <v>43.045499999999997</v>
      </c>
      <c r="I631">
        <f>Table_8[[#This Row],[Length 
(ft)]]</f>
        <v>45.8</v>
      </c>
      <c r="J631" s="37">
        <f>2020-Table_8[[#This Row],[Year]]</f>
        <v>5</v>
      </c>
      <c r="K631">
        <v>188925995936.80701</v>
      </c>
      <c r="L631">
        <v>17658.947301119199</v>
      </c>
      <c r="M631">
        <v>-1.2479835558140799</v>
      </c>
      <c r="N631">
        <v>-9.0040436420214593</v>
      </c>
      <c r="O631" s="39">
        <v>41.83</v>
      </c>
      <c r="P631" s="39">
        <v>1398</v>
      </c>
      <c r="Q631" s="39">
        <v>275</v>
      </c>
      <c r="R631" s="39">
        <v>25.82</v>
      </c>
    </row>
    <row r="632" spans="1:18" x14ac:dyDescent="0.25">
      <c r="A632" s="1" t="s">
        <v>427</v>
      </c>
      <c r="B632" s="2">
        <v>450</v>
      </c>
      <c r="C632" s="19">
        <v>45.8</v>
      </c>
      <c r="D632" s="3" t="s">
        <v>497</v>
      </c>
      <c r="E632" s="3" t="s">
        <v>483</v>
      </c>
      <c r="F632" s="23">
        <v>434093</v>
      </c>
      <c r="G632" s="35">
        <v>2012</v>
      </c>
      <c r="H632">
        <f>Table_8[[#This Row],[Listing Price (USD)]]/10000</f>
        <v>43.409300000000002</v>
      </c>
      <c r="I632">
        <f>Table_8[[#This Row],[Length 
(ft)]]</f>
        <v>45.8</v>
      </c>
      <c r="J632" s="37">
        <f>2020-Table_8[[#This Row],[Year]]</f>
        <v>8</v>
      </c>
      <c r="K632">
        <v>4200000000</v>
      </c>
      <c r="L632">
        <v>39553.199999999997</v>
      </c>
      <c r="M632">
        <v>2.5</v>
      </c>
      <c r="N632">
        <v>-2.1</v>
      </c>
      <c r="O632" s="39">
        <v>41.83</v>
      </c>
      <c r="P632" s="39">
        <v>1398</v>
      </c>
      <c r="Q632" s="39">
        <v>275</v>
      </c>
      <c r="R632" s="39">
        <v>25.82</v>
      </c>
    </row>
    <row r="633" spans="1:18" x14ac:dyDescent="0.25">
      <c r="A633" s="1" t="s">
        <v>427</v>
      </c>
      <c r="B633" s="3">
        <v>450</v>
      </c>
      <c r="C633" s="19">
        <v>45.8</v>
      </c>
      <c r="D633" s="3" t="s">
        <v>497</v>
      </c>
      <c r="E633" s="3" t="s">
        <v>483</v>
      </c>
      <c r="F633" s="23">
        <v>435020</v>
      </c>
      <c r="G633" s="35">
        <v>2012</v>
      </c>
      <c r="H633">
        <f>Table_8[[#This Row],[Listing Price (USD)]]/10000</f>
        <v>43.502000000000002</v>
      </c>
      <c r="I633">
        <f>Table_8[[#This Row],[Length 
(ft)]]</f>
        <v>45.8</v>
      </c>
      <c r="J633" s="37">
        <f>2020-Table_8[[#This Row],[Year]]</f>
        <v>8</v>
      </c>
      <c r="K633">
        <v>4200000000</v>
      </c>
      <c r="L633">
        <v>39553.199999999997</v>
      </c>
      <c r="M633">
        <v>2.5</v>
      </c>
      <c r="N633">
        <v>-2.1</v>
      </c>
      <c r="O633" s="39">
        <v>41.83</v>
      </c>
      <c r="P633" s="39">
        <v>1398</v>
      </c>
      <c r="Q633" s="39">
        <v>275</v>
      </c>
      <c r="R633" s="39">
        <v>25.82</v>
      </c>
    </row>
    <row r="634" spans="1:18" x14ac:dyDescent="0.25">
      <c r="A634" s="1" t="s">
        <v>427</v>
      </c>
      <c r="B634" s="2">
        <v>450</v>
      </c>
      <c r="C634" s="19">
        <v>45.8</v>
      </c>
      <c r="D634" s="3" t="s">
        <v>497</v>
      </c>
      <c r="E634" s="3" t="s">
        <v>377</v>
      </c>
      <c r="F634" s="23">
        <v>436950</v>
      </c>
      <c r="G634" s="35">
        <v>2015</v>
      </c>
      <c r="H634">
        <f>Table_8[[#This Row],[Listing Price (USD)]]/10000</f>
        <v>43.695</v>
      </c>
      <c r="I634">
        <f>Table_8[[#This Row],[Length 
(ft)]]</f>
        <v>45.8</v>
      </c>
      <c r="J634" s="37">
        <f>2020-Table_8[[#This Row],[Year]]</f>
        <v>5</v>
      </c>
      <c r="K634">
        <v>681973374534.10596</v>
      </c>
      <c r="L634">
        <v>27575.495000325591</v>
      </c>
      <c r="M634">
        <v>0.8848420113691905</v>
      </c>
      <c r="N634">
        <v>-6.3525291034127971</v>
      </c>
      <c r="O634" s="39">
        <v>41.83</v>
      </c>
      <c r="P634" s="39">
        <v>1398</v>
      </c>
      <c r="Q634" s="39">
        <v>275</v>
      </c>
      <c r="R634" s="39">
        <v>25.82</v>
      </c>
    </row>
    <row r="635" spans="1:18" x14ac:dyDescent="0.25">
      <c r="A635" s="1" t="s">
        <v>427</v>
      </c>
      <c r="B635" s="3">
        <v>450</v>
      </c>
      <c r="C635" s="19">
        <v>45.8</v>
      </c>
      <c r="D635" s="3" t="s">
        <v>497</v>
      </c>
      <c r="E635" s="3" t="s">
        <v>377</v>
      </c>
      <c r="F635" s="23">
        <v>437308</v>
      </c>
      <c r="G635" s="35">
        <v>2015</v>
      </c>
      <c r="H635">
        <f>Table_8[[#This Row],[Listing Price (USD)]]/10000</f>
        <v>43.730800000000002</v>
      </c>
      <c r="I635">
        <f>Table_8[[#This Row],[Length 
(ft)]]</f>
        <v>45.8</v>
      </c>
      <c r="J635" s="37">
        <f>2020-Table_8[[#This Row],[Year]]</f>
        <v>5</v>
      </c>
      <c r="K635">
        <v>681973374534.10596</v>
      </c>
      <c r="L635">
        <v>27575.495000325591</v>
      </c>
      <c r="M635">
        <v>0.8848420113691905</v>
      </c>
      <c r="N635">
        <v>-6.3525291034127971</v>
      </c>
      <c r="O635" s="39">
        <v>41.83</v>
      </c>
      <c r="P635" s="39">
        <v>1398</v>
      </c>
      <c r="Q635" s="39">
        <v>275</v>
      </c>
      <c r="R635" s="39">
        <v>25.82</v>
      </c>
    </row>
    <row r="636" spans="1:18" x14ac:dyDescent="0.25">
      <c r="A636" s="1" t="s">
        <v>427</v>
      </c>
      <c r="B636" s="2">
        <v>450</v>
      </c>
      <c r="C636" s="19">
        <v>45.8</v>
      </c>
      <c r="D636" s="3" t="s">
        <v>497</v>
      </c>
      <c r="E636" s="3" t="s">
        <v>483</v>
      </c>
      <c r="F636" s="23">
        <v>442581</v>
      </c>
      <c r="G636" s="35">
        <v>2012</v>
      </c>
      <c r="H636">
        <f>Table_8[[#This Row],[Listing Price (USD)]]/10000</f>
        <v>44.258099999999999</v>
      </c>
      <c r="I636">
        <f>Table_8[[#This Row],[Length 
(ft)]]</f>
        <v>45.8</v>
      </c>
      <c r="J636" s="37">
        <f>2020-Table_8[[#This Row],[Year]]</f>
        <v>8</v>
      </c>
      <c r="K636">
        <v>4200000000</v>
      </c>
      <c r="L636">
        <v>39553.199999999997</v>
      </c>
      <c r="M636">
        <v>2.5</v>
      </c>
      <c r="N636">
        <v>-2.1</v>
      </c>
      <c r="O636" s="39">
        <v>41.83</v>
      </c>
      <c r="P636" s="39">
        <v>1398</v>
      </c>
      <c r="Q636" s="39">
        <v>275</v>
      </c>
      <c r="R636" s="39">
        <v>25.82</v>
      </c>
    </row>
    <row r="637" spans="1:18" x14ac:dyDescent="0.25">
      <c r="A637" s="1" t="s">
        <v>427</v>
      </c>
      <c r="B637" s="2">
        <v>450</v>
      </c>
      <c r="C637" s="19">
        <v>45.8</v>
      </c>
      <c r="D637" s="3" t="s">
        <v>496</v>
      </c>
      <c r="E637" s="4" t="s">
        <v>31</v>
      </c>
      <c r="F637" s="23">
        <v>445006</v>
      </c>
      <c r="G637" s="35">
        <v>2013</v>
      </c>
      <c r="H637">
        <f>Table_8[[#This Row],[Listing Price (USD)]]/10000</f>
        <v>44.500599999999999</v>
      </c>
      <c r="I637">
        <f>Table_8[[#This Row],[Length 
(ft)]]</f>
        <v>45.8</v>
      </c>
      <c r="J637" s="37">
        <f>2020-Table_8[[#This Row],[Year]]</f>
        <v>7</v>
      </c>
      <c r="K637">
        <v>57472012426.685303</v>
      </c>
      <c r="L637">
        <v>14198.753959474399</v>
      </c>
      <c r="M637">
        <v>0.15481137456202801</v>
      </c>
      <c r="N637">
        <v>-8.5803430210621805</v>
      </c>
      <c r="O637" s="39">
        <v>41.83</v>
      </c>
      <c r="P637" s="39">
        <v>1398</v>
      </c>
      <c r="Q637" s="39">
        <v>275</v>
      </c>
      <c r="R637" s="39">
        <v>25.82</v>
      </c>
    </row>
    <row r="638" spans="1:18" x14ac:dyDescent="0.25">
      <c r="A638" s="1" t="s">
        <v>427</v>
      </c>
      <c r="B638" s="2">
        <v>450</v>
      </c>
      <c r="C638" s="19">
        <v>45.8</v>
      </c>
      <c r="D638" s="3" t="s">
        <v>496</v>
      </c>
      <c r="E638" s="4" t="s">
        <v>31</v>
      </c>
      <c r="F638" s="23">
        <v>445907</v>
      </c>
      <c r="G638" s="35">
        <v>2013</v>
      </c>
      <c r="H638">
        <f>Table_8[[#This Row],[Listing Price (USD)]]/10000</f>
        <v>44.590699999999998</v>
      </c>
      <c r="I638">
        <f>Table_8[[#This Row],[Length 
(ft)]]</f>
        <v>45.8</v>
      </c>
      <c r="J638" s="37">
        <f>2020-Table_8[[#This Row],[Year]]</f>
        <v>7</v>
      </c>
      <c r="K638">
        <v>57472012426.685303</v>
      </c>
      <c r="L638">
        <v>14198.753959474399</v>
      </c>
      <c r="M638">
        <v>0.15481137456202801</v>
      </c>
      <c r="N638">
        <v>-8.5803430210621805</v>
      </c>
      <c r="O638" s="39">
        <v>41.83</v>
      </c>
      <c r="P638" s="39">
        <v>1398</v>
      </c>
      <c r="Q638" s="39">
        <v>275</v>
      </c>
      <c r="R638" s="39">
        <v>25.82</v>
      </c>
    </row>
    <row r="639" spans="1:18" x14ac:dyDescent="0.25">
      <c r="A639" s="1" t="s">
        <v>427</v>
      </c>
      <c r="B639" s="2">
        <v>450</v>
      </c>
      <c r="C639" s="19">
        <v>45.8</v>
      </c>
      <c r="D639" s="3" t="s">
        <v>496</v>
      </c>
      <c r="E639" s="4" t="s">
        <v>18</v>
      </c>
      <c r="F639" s="23">
        <v>448644</v>
      </c>
      <c r="G639" s="35">
        <v>2011</v>
      </c>
      <c r="H639">
        <f>Table_8[[#This Row],[Listing Price (USD)]]/10000</f>
        <v>44.864400000000003</v>
      </c>
      <c r="I639">
        <f>Table_8[[#This Row],[Length 
(ft)]]</f>
        <v>45.8</v>
      </c>
      <c r="J639" s="37">
        <f>2020-Table_8[[#This Row],[Year]]</f>
        <v>9</v>
      </c>
      <c r="K639">
        <v>188925995936.80701</v>
      </c>
      <c r="L639">
        <v>17658.947301119199</v>
      </c>
      <c r="M639">
        <v>-1.2479835558140799</v>
      </c>
      <c r="N639">
        <v>-9.0040436420214593</v>
      </c>
      <c r="O639" s="39">
        <v>41.83</v>
      </c>
      <c r="P639" s="39">
        <v>1398</v>
      </c>
      <c r="Q639" s="39">
        <v>275</v>
      </c>
      <c r="R639" s="39">
        <v>25.82</v>
      </c>
    </row>
    <row r="640" spans="1:18" x14ac:dyDescent="0.25">
      <c r="A640" s="1" t="s">
        <v>427</v>
      </c>
      <c r="B640" s="2">
        <v>450</v>
      </c>
      <c r="C640" s="19">
        <v>45.8</v>
      </c>
      <c r="D640" s="3" t="s">
        <v>496</v>
      </c>
      <c r="E640" s="4" t="s">
        <v>24</v>
      </c>
      <c r="F640" s="23">
        <v>448644</v>
      </c>
      <c r="G640" s="35">
        <v>2012</v>
      </c>
      <c r="H640">
        <f>Table_8[[#This Row],[Listing Price (USD)]]/10000</f>
        <v>44.864400000000003</v>
      </c>
      <c r="I640">
        <f>Table_8[[#This Row],[Length 
(ft)]]</f>
        <v>45.8</v>
      </c>
      <c r="J640" s="37">
        <f>2020-Table_8[[#This Row],[Year]]</f>
        <v>8</v>
      </c>
      <c r="K640">
        <v>1896755301518.1399</v>
      </c>
      <c r="L640">
        <v>31911.0357890017</v>
      </c>
      <c r="M640">
        <v>-0.13770757391656999</v>
      </c>
      <c r="N640">
        <v>-9.0399534112288507</v>
      </c>
      <c r="O640" s="39">
        <v>41.83</v>
      </c>
      <c r="P640" s="39">
        <v>1398</v>
      </c>
      <c r="Q640" s="39">
        <v>275</v>
      </c>
      <c r="R640" s="39">
        <v>25.82</v>
      </c>
    </row>
    <row r="641" spans="1:18" x14ac:dyDescent="0.25">
      <c r="A641" s="1" t="s">
        <v>427</v>
      </c>
      <c r="B641" s="2">
        <v>450</v>
      </c>
      <c r="C641" s="19">
        <v>45.8</v>
      </c>
      <c r="D641" s="3" t="s">
        <v>497</v>
      </c>
      <c r="E641" s="3" t="s">
        <v>506</v>
      </c>
      <c r="F641" s="23">
        <v>449000</v>
      </c>
      <c r="G641" s="35">
        <v>2014</v>
      </c>
      <c r="H641">
        <f>Table_8[[#This Row],[Listing Price (USD)]]/10000</f>
        <v>44.9</v>
      </c>
      <c r="I641">
        <f>Table_8[[#This Row],[Length 
(ft)]]</f>
        <v>45.8</v>
      </c>
      <c r="J641" s="37">
        <f>2020-Table_8[[#This Row],[Year]]</f>
        <v>6</v>
      </c>
      <c r="K641">
        <v>1370281481.4814799</v>
      </c>
      <c r="L641">
        <v>14787.6357752901</v>
      </c>
      <c r="M641">
        <v>0.62598970704669799</v>
      </c>
      <c r="N641">
        <v>-20.1923705722071</v>
      </c>
      <c r="O641" s="39">
        <v>41.83</v>
      </c>
      <c r="P641" s="39">
        <v>1398</v>
      </c>
      <c r="Q641" s="39">
        <v>275</v>
      </c>
      <c r="R641" s="39">
        <v>25.82</v>
      </c>
    </row>
    <row r="642" spans="1:18" x14ac:dyDescent="0.25">
      <c r="A642" s="1" t="s">
        <v>427</v>
      </c>
      <c r="B642" s="2">
        <v>450</v>
      </c>
      <c r="C642" s="19">
        <v>45.8</v>
      </c>
      <c r="D642" s="3" t="s">
        <v>496</v>
      </c>
      <c r="E642" s="4" t="s">
        <v>24</v>
      </c>
      <c r="F642" s="23">
        <v>449087</v>
      </c>
      <c r="G642" s="35">
        <v>2012</v>
      </c>
      <c r="H642">
        <f>Table_8[[#This Row],[Listing Price (USD)]]/10000</f>
        <v>44.908700000000003</v>
      </c>
      <c r="I642">
        <f>Table_8[[#This Row],[Length 
(ft)]]</f>
        <v>45.8</v>
      </c>
      <c r="J642" s="37">
        <f>2020-Table_8[[#This Row],[Year]]</f>
        <v>8</v>
      </c>
      <c r="K642">
        <v>1896755301518.1399</v>
      </c>
      <c r="L642">
        <v>31911.0357890017</v>
      </c>
      <c r="M642">
        <v>-0.13770757391656999</v>
      </c>
      <c r="N642">
        <v>-9.0399534112288507</v>
      </c>
      <c r="O642" s="39">
        <v>41.83</v>
      </c>
      <c r="P642" s="39">
        <v>1398</v>
      </c>
      <c r="Q642" s="39">
        <v>275</v>
      </c>
      <c r="R642" s="39">
        <v>25.82</v>
      </c>
    </row>
    <row r="643" spans="1:18" x14ac:dyDescent="0.25">
      <c r="A643" s="1" t="s">
        <v>427</v>
      </c>
      <c r="B643" s="2">
        <v>450</v>
      </c>
      <c r="C643" s="19">
        <v>45.8</v>
      </c>
      <c r="D643" s="3" t="s">
        <v>496</v>
      </c>
      <c r="E643" s="4" t="s">
        <v>24</v>
      </c>
      <c r="F643" s="23">
        <v>449438</v>
      </c>
      <c r="G643" s="35">
        <v>2012</v>
      </c>
      <c r="H643">
        <f>Table_8[[#This Row],[Listing Price (USD)]]/10000</f>
        <v>44.943800000000003</v>
      </c>
      <c r="I643">
        <f>Table_8[[#This Row],[Length 
(ft)]]</f>
        <v>45.8</v>
      </c>
      <c r="J643" s="37">
        <f>2020-Table_8[[#This Row],[Year]]</f>
        <v>8</v>
      </c>
      <c r="K643">
        <v>1896755301518.1399</v>
      </c>
      <c r="L643">
        <v>31911.0357890017</v>
      </c>
      <c r="M643">
        <v>-0.13770757391656999</v>
      </c>
      <c r="N643">
        <v>-9.0399534112288507</v>
      </c>
      <c r="O643" s="39">
        <v>41.83</v>
      </c>
      <c r="P643" s="39">
        <v>1398</v>
      </c>
      <c r="Q643" s="39">
        <v>275</v>
      </c>
      <c r="R643" s="39">
        <v>25.82</v>
      </c>
    </row>
    <row r="644" spans="1:18" x14ac:dyDescent="0.25">
      <c r="A644" s="1" t="s">
        <v>427</v>
      </c>
      <c r="B644" s="2">
        <v>450</v>
      </c>
      <c r="C644" s="19">
        <v>45.8</v>
      </c>
      <c r="D644" s="3" t="s">
        <v>497</v>
      </c>
      <c r="E644" s="3" t="s">
        <v>370</v>
      </c>
      <c r="F644" s="23">
        <v>450000</v>
      </c>
      <c r="G644" s="35">
        <v>2013</v>
      </c>
      <c r="H644">
        <f>Table_8[[#This Row],[Listing Price (USD)]]/10000</f>
        <v>45</v>
      </c>
      <c r="I644">
        <f>Table_8[[#This Row],[Length 
(ft)]]</f>
        <v>45.8</v>
      </c>
      <c r="J644" s="37">
        <f>2020-Table_8[[#This Row],[Year]]</f>
        <v>7</v>
      </c>
      <c r="K644">
        <v>500000000</v>
      </c>
      <c r="L644">
        <v>34200</v>
      </c>
      <c r="M644">
        <v>1.1000000000000001</v>
      </c>
      <c r="N644">
        <v>2</v>
      </c>
      <c r="O644" s="39">
        <v>41.83</v>
      </c>
      <c r="P644" s="39">
        <v>1398</v>
      </c>
      <c r="Q644" s="39">
        <v>275</v>
      </c>
      <c r="R644" s="39">
        <v>25.82</v>
      </c>
    </row>
    <row r="645" spans="1:18" x14ac:dyDescent="0.25">
      <c r="A645" s="1" t="s">
        <v>427</v>
      </c>
      <c r="B645" s="2">
        <v>450</v>
      </c>
      <c r="C645" s="19">
        <v>45.8</v>
      </c>
      <c r="D645" s="3" t="s">
        <v>496</v>
      </c>
      <c r="E645" s="4" t="s">
        <v>18</v>
      </c>
      <c r="F645" s="23">
        <v>455627</v>
      </c>
      <c r="G645" s="35">
        <v>2015</v>
      </c>
      <c r="H645">
        <f>Table_8[[#This Row],[Listing Price (USD)]]/10000</f>
        <v>45.5627</v>
      </c>
      <c r="I645">
        <f>Table_8[[#This Row],[Length 
(ft)]]</f>
        <v>45.8</v>
      </c>
      <c r="J645" s="37">
        <f>2020-Table_8[[#This Row],[Year]]</f>
        <v>5</v>
      </c>
      <c r="K645">
        <v>188925995936.80701</v>
      </c>
      <c r="L645">
        <v>17658.947301119199</v>
      </c>
      <c r="M645">
        <v>-1.2479835558140799</v>
      </c>
      <c r="N645">
        <v>-9.0040436420214593</v>
      </c>
      <c r="O645" s="39">
        <v>41.83</v>
      </c>
      <c r="P645" s="39">
        <v>1398</v>
      </c>
      <c r="Q645" s="39">
        <v>275</v>
      </c>
      <c r="R645" s="39">
        <v>25.82</v>
      </c>
    </row>
    <row r="646" spans="1:18" x14ac:dyDescent="0.25">
      <c r="A646" s="1" t="s">
        <v>427</v>
      </c>
      <c r="B646" s="2">
        <v>450</v>
      </c>
      <c r="C646" s="19">
        <v>45.8</v>
      </c>
      <c r="D646" s="3" t="s">
        <v>496</v>
      </c>
      <c r="E646" s="4" t="s">
        <v>18</v>
      </c>
      <c r="F646" s="23">
        <v>455973</v>
      </c>
      <c r="G646" s="35">
        <v>2015</v>
      </c>
      <c r="H646">
        <f>Table_8[[#This Row],[Listing Price (USD)]]/10000</f>
        <v>45.597299999999997</v>
      </c>
      <c r="I646">
        <f>Table_8[[#This Row],[Length 
(ft)]]</f>
        <v>45.8</v>
      </c>
      <c r="J646" s="37">
        <f>2020-Table_8[[#This Row],[Year]]</f>
        <v>5</v>
      </c>
      <c r="K646">
        <v>188925995936.80701</v>
      </c>
      <c r="L646">
        <v>17658.947301119199</v>
      </c>
      <c r="M646">
        <v>-1.2479835558140799</v>
      </c>
      <c r="N646">
        <v>-9.0040436420214593</v>
      </c>
      <c r="O646" s="39">
        <v>41.83</v>
      </c>
      <c r="P646" s="39">
        <v>1398</v>
      </c>
      <c r="Q646" s="39">
        <v>275</v>
      </c>
      <c r="R646" s="39">
        <v>25.82</v>
      </c>
    </row>
    <row r="647" spans="1:18" x14ac:dyDescent="0.25">
      <c r="A647" s="1" t="s">
        <v>427</v>
      </c>
      <c r="B647" s="2">
        <v>450</v>
      </c>
      <c r="C647" s="19">
        <v>45.8</v>
      </c>
      <c r="D647" s="3" t="s">
        <v>496</v>
      </c>
      <c r="E647" s="4" t="s">
        <v>18</v>
      </c>
      <c r="F647" s="23">
        <v>455973</v>
      </c>
      <c r="G647" s="35">
        <v>2015</v>
      </c>
      <c r="H647">
        <f>Table_8[[#This Row],[Listing Price (USD)]]/10000</f>
        <v>45.597299999999997</v>
      </c>
      <c r="I647">
        <f>Table_8[[#This Row],[Length 
(ft)]]</f>
        <v>45.8</v>
      </c>
      <c r="J647" s="37">
        <f>2020-Table_8[[#This Row],[Year]]</f>
        <v>5</v>
      </c>
      <c r="K647">
        <v>188925995936.80701</v>
      </c>
      <c r="L647">
        <v>17658.947301119199</v>
      </c>
      <c r="M647">
        <v>-1.2479835558140799</v>
      </c>
      <c r="N647">
        <v>-9.0040436420214593</v>
      </c>
      <c r="O647" s="39">
        <v>41.83</v>
      </c>
      <c r="P647" s="39">
        <v>1398</v>
      </c>
      <c r="Q647" s="39">
        <v>275</v>
      </c>
      <c r="R647" s="39">
        <v>25.82</v>
      </c>
    </row>
    <row r="648" spans="1:18" x14ac:dyDescent="0.25">
      <c r="A648" s="1" t="s">
        <v>441</v>
      </c>
      <c r="B648" s="2">
        <v>450</v>
      </c>
      <c r="C648" s="19">
        <v>45.8</v>
      </c>
      <c r="D648" s="3" t="s">
        <v>495</v>
      </c>
      <c r="E648" s="3" t="s">
        <v>333</v>
      </c>
      <c r="F648" s="23">
        <v>459950</v>
      </c>
      <c r="G648" s="35">
        <v>2012</v>
      </c>
      <c r="H648">
        <f>Table_8[[#This Row],[Listing Price (USD)]]/10000</f>
        <v>45.994999999999997</v>
      </c>
      <c r="I648">
        <f>Table_8[[#This Row],[Length 
(ft)]]</f>
        <v>45.8</v>
      </c>
      <c r="J648" s="37">
        <f>2020-Table_8[[#This Row],[Year]]</f>
        <v>8</v>
      </c>
      <c r="K648">
        <v>1106036000000</v>
      </c>
      <c r="L648">
        <v>51276.72</v>
      </c>
      <c r="M648">
        <v>1.23</v>
      </c>
      <c r="N648">
        <v>2.9</v>
      </c>
      <c r="O648" s="39">
        <v>41.83</v>
      </c>
      <c r="P648" s="39">
        <v>1398</v>
      </c>
      <c r="Q648" s="39">
        <v>275</v>
      </c>
      <c r="R648" s="39">
        <v>25.82</v>
      </c>
    </row>
    <row r="649" spans="1:18" x14ac:dyDescent="0.25">
      <c r="A649" s="1" t="s">
        <v>427</v>
      </c>
      <c r="B649" s="2">
        <v>450</v>
      </c>
      <c r="C649" s="19">
        <v>45.8</v>
      </c>
      <c r="D649" s="3" t="s">
        <v>496</v>
      </c>
      <c r="E649" s="4" t="s">
        <v>24</v>
      </c>
      <c r="F649" s="23">
        <v>461702</v>
      </c>
      <c r="G649" s="35">
        <v>2013</v>
      </c>
      <c r="H649">
        <f>Table_8[[#This Row],[Listing Price (USD)]]/10000</f>
        <v>46.170200000000001</v>
      </c>
      <c r="I649">
        <f>Table_8[[#This Row],[Length 
(ft)]]</f>
        <v>45.8</v>
      </c>
      <c r="J649" s="37">
        <f>2020-Table_8[[#This Row],[Year]]</f>
        <v>7</v>
      </c>
      <c r="K649">
        <v>1896755301518.1399</v>
      </c>
      <c r="L649">
        <v>31911.0357890017</v>
      </c>
      <c r="M649">
        <v>-0.13770757391656999</v>
      </c>
      <c r="N649">
        <v>-9.0399534112288507</v>
      </c>
      <c r="O649" s="39">
        <v>41.83</v>
      </c>
      <c r="P649" s="39">
        <v>1398</v>
      </c>
      <c r="Q649" s="39">
        <v>275</v>
      </c>
      <c r="R649" s="39">
        <v>25.82</v>
      </c>
    </row>
    <row r="650" spans="1:18" x14ac:dyDescent="0.25">
      <c r="A650" s="1" t="s">
        <v>427</v>
      </c>
      <c r="B650" s="2">
        <v>450</v>
      </c>
      <c r="C650" s="19">
        <v>45.8</v>
      </c>
      <c r="D650" s="3" t="s">
        <v>496</v>
      </c>
      <c r="E650" s="4" t="s">
        <v>63</v>
      </c>
      <c r="F650" s="23">
        <v>462000</v>
      </c>
      <c r="G650" s="35">
        <v>2014</v>
      </c>
      <c r="H650">
        <f>Table_8[[#This Row],[Listing Price (USD)]]/10000</f>
        <v>46.2</v>
      </c>
      <c r="I650">
        <f>Table_8[[#This Row],[Length 
(ft)]]</f>
        <v>45.8</v>
      </c>
      <c r="J650" s="37">
        <f>2020-Table_8[[#This Row],[Year]]</f>
        <v>6</v>
      </c>
      <c r="K650">
        <v>720290000000</v>
      </c>
      <c r="L650">
        <v>13341.6</v>
      </c>
      <c r="M650">
        <v>13</v>
      </c>
      <c r="N650">
        <v>-3</v>
      </c>
      <c r="O650" s="39">
        <v>41.83</v>
      </c>
      <c r="P650" s="39">
        <v>1398</v>
      </c>
      <c r="Q650" s="39">
        <v>275</v>
      </c>
      <c r="R650" s="39">
        <v>25.82</v>
      </c>
    </row>
    <row r="651" spans="1:18" x14ac:dyDescent="0.25">
      <c r="A651" s="1" t="s">
        <v>427</v>
      </c>
      <c r="B651" s="2">
        <v>450</v>
      </c>
      <c r="C651" s="19">
        <v>45.8</v>
      </c>
      <c r="D651" s="3" t="s">
        <v>496</v>
      </c>
      <c r="E651" s="4" t="s">
        <v>18</v>
      </c>
      <c r="F651" s="23">
        <v>464407</v>
      </c>
      <c r="G651" s="35">
        <v>2015</v>
      </c>
      <c r="H651">
        <f>Table_8[[#This Row],[Listing Price (USD)]]/10000</f>
        <v>46.4407</v>
      </c>
      <c r="I651">
        <f>Table_8[[#This Row],[Length 
(ft)]]</f>
        <v>45.8</v>
      </c>
      <c r="J651" s="37">
        <f>2020-Table_8[[#This Row],[Year]]</f>
        <v>5</v>
      </c>
      <c r="K651">
        <v>188925995936.80701</v>
      </c>
      <c r="L651">
        <v>17658.947301119199</v>
      </c>
      <c r="M651">
        <v>-1.2479835558140799</v>
      </c>
      <c r="N651">
        <v>-9.0040436420214593</v>
      </c>
      <c r="O651" s="39">
        <v>41.83</v>
      </c>
      <c r="P651" s="39">
        <v>1398</v>
      </c>
      <c r="Q651" s="39">
        <v>275</v>
      </c>
      <c r="R651" s="39">
        <v>25.82</v>
      </c>
    </row>
    <row r="652" spans="1:18" x14ac:dyDescent="0.25">
      <c r="A652" s="1" t="s">
        <v>427</v>
      </c>
      <c r="B652" s="2">
        <v>450</v>
      </c>
      <c r="C652" s="19">
        <v>45.8</v>
      </c>
      <c r="D652" s="3" t="s">
        <v>496</v>
      </c>
      <c r="E652" s="4" t="s">
        <v>18</v>
      </c>
      <c r="F652" s="23">
        <v>465165</v>
      </c>
      <c r="G652" s="35">
        <v>2015</v>
      </c>
      <c r="H652">
        <f>Table_8[[#This Row],[Listing Price (USD)]]/10000</f>
        <v>46.516500000000001</v>
      </c>
      <c r="I652">
        <f>Table_8[[#This Row],[Length 
(ft)]]</f>
        <v>45.8</v>
      </c>
      <c r="J652" s="37">
        <f>2020-Table_8[[#This Row],[Year]]</f>
        <v>5</v>
      </c>
      <c r="K652">
        <v>188925995936.80701</v>
      </c>
      <c r="L652">
        <v>17658.947301119199</v>
      </c>
      <c r="M652">
        <v>-1.2479835558140799</v>
      </c>
      <c r="N652">
        <v>-9.0040436420214593</v>
      </c>
      <c r="O652" s="39">
        <v>41.83</v>
      </c>
      <c r="P652" s="39">
        <v>1398</v>
      </c>
      <c r="Q652" s="39">
        <v>275</v>
      </c>
      <c r="R652" s="39">
        <v>25.82</v>
      </c>
    </row>
    <row r="653" spans="1:18" x14ac:dyDescent="0.25">
      <c r="A653" s="1" t="s">
        <v>427</v>
      </c>
      <c r="B653" s="2">
        <v>450</v>
      </c>
      <c r="C653" s="19">
        <v>45.8</v>
      </c>
      <c r="D653" s="3" t="s">
        <v>496</v>
      </c>
      <c r="E653" s="3" t="s">
        <v>180</v>
      </c>
      <c r="F653" s="23">
        <v>472029</v>
      </c>
      <c r="G653" s="35">
        <v>2014</v>
      </c>
      <c r="H653">
        <f>Table_8[[#This Row],[Listing Price (USD)]]/10000</f>
        <v>47.2029</v>
      </c>
      <c r="I653">
        <f>Table_8[[#This Row],[Length 
(ft)]]</f>
        <v>45.8</v>
      </c>
      <c r="J653" s="37">
        <f>2020-Table_8[[#This Row],[Year]]</f>
        <v>6</v>
      </c>
      <c r="K653">
        <v>681973374534.10596</v>
      </c>
      <c r="L653">
        <v>27575.495000325591</v>
      </c>
      <c r="M653">
        <v>0.8848420113691905</v>
      </c>
      <c r="N653">
        <v>-6.3525291034127971</v>
      </c>
      <c r="O653" s="39">
        <v>41.83</v>
      </c>
      <c r="P653" s="39">
        <v>1398</v>
      </c>
      <c r="Q653" s="39">
        <v>275</v>
      </c>
      <c r="R653" s="39">
        <v>25.82</v>
      </c>
    </row>
    <row r="654" spans="1:18" x14ac:dyDescent="0.25">
      <c r="A654" s="1" t="s">
        <v>427</v>
      </c>
      <c r="B654" s="2">
        <v>450</v>
      </c>
      <c r="C654" s="19">
        <v>45.8</v>
      </c>
      <c r="D654" s="3" t="s">
        <v>496</v>
      </c>
      <c r="E654" s="4" t="s">
        <v>31</v>
      </c>
      <c r="F654" s="23">
        <v>472420</v>
      </c>
      <c r="G654" s="35">
        <v>2014</v>
      </c>
      <c r="H654">
        <f>Table_8[[#This Row],[Listing Price (USD)]]/10000</f>
        <v>47.241999999999997</v>
      </c>
      <c r="I654">
        <f>Table_8[[#This Row],[Length 
(ft)]]</f>
        <v>45.8</v>
      </c>
      <c r="J654" s="37">
        <f>2020-Table_8[[#This Row],[Year]]</f>
        <v>6</v>
      </c>
      <c r="K654">
        <v>57472012426.685303</v>
      </c>
      <c r="L654">
        <v>14198.753959474399</v>
      </c>
      <c r="M654">
        <v>0.15481137456202801</v>
      </c>
      <c r="N654">
        <v>-8.5803430210621805</v>
      </c>
      <c r="O654" s="39">
        <v>41.83</v>
      </c>
      <c r="P654" s="39">
        <v>1398</v>
      </c>
      <c r="Q654" s="39">
        <v>275</v>
      </c>
      <c r="R654" s="39">
        <v>25.82</v>
      </c>
    </row>
    <row r="655" spans="1:18" x14ac:dyDescent="0.25">
      <c r="A655" s="1" t="s">
        <v>427</v>
      </c>
      <c r="B655" s="2">
        <v>450</v>
      </c>
      <c r="C655" s="19">
        <v>45.8</v>
      </c>
      <c r="D655" s="3" t="s">
        <v>496</v>
      </c>
      <c r="E655" s="4" t="s">
        <v>18</v>
      </c>
      <c r="F655" s="23">
        <v>472895</v>
      </c>
      <c r="G655" s="35">
        <v>2011</v>
      </c>
      <c r="H655">
        <f>Table_8[[#This Row],[Listing Price (USD)]]/10000</f>
        <v>47.289499999999997</v>
      </c>
      <c r="I655">
        <f>Table_8[[#This Row],[Length 
(ft)]]</f>
        <v>45.8</v>
      </c>
      <c r="J655" s="37">
        <f>2020-Table_8[[#This Row],[Year]]</f>
        <v>9</v>
      </c>
      <c r="K655">
        <v>188925995936.80701</v>
      </c>
      <c r="L655">
        <v>17658.947301119199</v>
      </c>
      <c r="M655">
        <v>-1.2479835558140799</v>
      </c>
      <c r="N655">
        <v>-9.0040436420214593</v>
      </c>
      <c r="O655" s="39">
        <v>41.83</v>
      </c>
      <c r="P655" s="39">
        <v>1398</v>
      </c>
      <c r="Q655" s="39">
        <v>275</v>
      </c>
      <c r="R655" s="39">
        <v>25.82</v>
      </c>
    </row>
    <row r="656" spans="1:18" x14ac:dyDescent="0.25">
      <c r="A656" s="1" t="s">
        <v>427</v>
      </c>
      <c r="B656" s="2">
        <v>450</v>
      </c>
      <c r="C656" s="19">
        <v>45.8</v>
      </c>
      <c r="D656" s="3" t="s">
        <v>496</v>
      </c>
      <c r="E656" s="4" t="s">
        <v>3</v>
      </c>
      <c r="F656" s="23">
        <v>472895</v>
      </c>
      <c r="G656" s="35">
        <v>2012</v>
      </c>
      <c r="H656">
        <f>Table_8[[#This Row],[Listing Price (USD)]]/10000</f>
        <v>47.289499999999997</v>
      </c>
      <c r="I656">
        <f>Table_8[[#This Row],[Length 
(ft)]]</f>
        <v>45.8</v>
      </c>
      <c r="J656" s="37">
        <f>2020-Table_8[[#This Row],[Year]]</f>
        <v>8</v>
      </c>
      <c r="K656">
        <v>2639008701648.2598</v>
      </c>
      <c r="L656">
        <v>39055.282928075401</v>
      </c>
      <c r="M656">
        <v>0.47649885272508302</v>
      </c>
      <c r="N656">
        <v>-7.7845864916787102</v>
      </c>
      <c r="O656" s="39">
        <v>41.83</v>
      </c>
      <c r="P656" s="39">
        <v>1398</v>
      </c>
      <c r="Q656" s="39">
        <v>275</v>
      </c>
      <c r="R656" s="39">
        <v>25.82</v>
      </c>
    </row>
    <row r="657" spans="1:18" x14ac:dyDescent="0.25">
      <c r="A657" s="1" t="s">
        <v>427</v>
      </c>
      <c r="B657" s="2">
        <v>450</v>
      </c>
      <c r="C657" s="19">
        <v>45.8</v>
      </c>
      <c r="D657" s="3" t="s">
        <v>496</v>
      </c>
      <c r="E657" s="4" t="s">
        <v>31</v>
      </c>
      <c r="F657" s="23">
        <v>472895</v>
      </c>
      <c r="G657" s="35">
        <v>2015</v>
      </c>
      <c r="H657">
        <f>Table_8[[#This Row],[Listing Price (USD)]]/10000</f>
        <v>47.289499999999997</v>
      </c>
      <c r="I657">
        <f>Table_8[[#This Row],[Length 
(ft)]]</f>
        <v>45.8</v>
      </c>
      <c r="J657" s="37">
        <f>2020-Table_8[[#This Row],[Year]]</f>
        <v>5</v>
      </c>
      <c r="K657">
        <v>57472012426.685303</v>
      </c>
      <c r="L657">
        <v>14198.753959474399</v>
      </c>
      <c r="M657">
        <v>0.15481137456202801</v>
      </c>
      <c r="N657">
        <v>-8.5803430210621805</v>
      </c>
      <c r="O657" s="39">
        <v>41.83</v>
      </c>
      <c r="P657" s="39">
        <v>1398</v>
      </c>
      <c r="Q657" s="39">
        <v>275</v>
      </c>
      <c r="R657" s="39">
        <v>25.82</v>
      </c>
    </row>
    <row r="658" spans="1:18" x14ac:dyDescent="0.25">
      <c r="A658" s="1" t="s">
        <v>427</v>
      </c>
      <c r="B658" s="2">
        <v>450</v>
      </c>
      <c r="C658" s="19">
        <v>45.8</v>
      </c>
      <c r="D658" s="3" t="s">
        <v>496</v>
      </c>
      <c r="E658" s="4" t="s">
        <v>24</v>
      </c>
      <c r="F658" s="23">
        <v>473362</v>
      </c>
      <c r="G658" s="35">
        <v>2012</v>
      </c>
      <c r="H658">
        <f>Table_8[[#This Row],[Listing Price (USD)]]/10000</f>
        <v>47.336199999999998</v>
      </c>
      <c r="I658">
        <f>Table_8[[#This Row],[Length 
(ft)]]</f>
        <v>45.8</v>
      </c>
      <c r="J658" s="37">
        <f>2020-Table_8[[#This Row],[Year]]</f>
        <v>8</v>
      </c>
      <c r="K658">
        <v>1896755301518.1399</v>
      </c>
      <c r="L658">
        <v>31911.0357890017</v>
      </c>
      <c r="M658">
        <v>-0.13770757391656999</v>
      </c>
      <c r="N658">
        <v>-9.0399534112288507</v>
      </c>
      <c r="O658" s="39">
        <v>41.83</v>
      </c>
      <c r="P658" s="39">
        <v>1398</v>
      </c>
      <c r="Q658" s="39">
        <v>275</v>
      </c>
      <c r="R658" s="39">
        <v>25.82</v>
      </c>
    </row>
    <row r="659" spans="1:18" x14ac:dyDescent="0.25">
      <c r="A659" s="1" t="s">
        <v>427</v>
      </c>
      <c r="B659" s="2">
        <v>450</v>
      </c>
      <c r="C659" s="19">
        <v>45.8</v>
      </c>
      <c r="D659" s="3" t="s">
        <v>496</v>
      </c>
      <c r="E659" s="4" t="s">
        <v>31</v>
      </c>
      <c r="F659" s="23">
        <v>473667</v>
      </c>
      <c r="G659" s="35">
        <v>2015</v>
      </c>
      <c r="H659">
        <f>Table_8[[#This Row],[Listing Price (USD)]]/10000</f>
        <v>47.366700000000002</v>
      </c>
      <c r="I659">
        <f>Table_8[[#This Row],[Length 
(ft)]]</f>
        <v>45.8</v>
      </c>
      <c r="J659" s="37">
        <f>2020-Table_8[[#This Row],[Year]]</f>
        <v>5</v>
      </c>
      <c r="K659">
        <v>57472012426.685303</v>
      </c>
      <c r="L659">
        <v>14198.753959474399</v>
      </c>
      <c r="M659">
        <v>0.15481137456202801</v>
      </c>
      <c r="N659">
        <v>-8.5803430210621805</v>
      </c>
      <c r="O659" s="39">
        <v>41.83</v>
      </c>
      <c r="P659" s="39">
        <v>1398</v>
      </c>
      <c r="Q659" s="39">
        <v>275</v>
      </c>
      <c r="R659" s="39">
        <v>25.82</v>
      </c>
    </row>
    <row r="660" spans="1:18" x14ac:dyDescent="0.25">
      <c r="A660" s="1" t="s">
        <v>427</v>
      </c>
      <c r="B660" s="2">
        <v>450</v>
      </c>
      <c r="C660" s="19">
        <v>45.8</v>
      </c>
      <c r="D660" s="3" t="s">
        <v>496</v>
      </c>
      <c r="E660" s="4" t="s">
        <v>24</v>
      </c>
      <c r="F660" s="23">
        <v>474211</v>
      </c>
      <c r="G660" s="35">
        <v>2012</v>
      </c>
      <c r="H660">
        <f>Table_8[[#This Row],[Listing Price (USD)]]/10000</f>
        <v>47.421100000000003</v>
      </c>
      <c r="I660">
        <f>Table_8[[#This Row],[Length 
(ft)]]</f>
        <v>45.8</v>
      </c>
      <c r="J660" s="37">
        <f>2020-Table_8[[#This Row],[Year]]</f>
        <v>8</v>
      </c>
      <c r="K660">
        <v>1896755301518.1399</v>
      </c>
      <c r="L660">
        <v>31911.0357890017</v>
      </c>
      <c r="M660">
        <v>-0.13770757391656999</v>
      </c>
      <c r="N660">
        <v>-9.0399534112288507</v>
      </c>
      <c r="O660" s="39">
        <v>41.83</v>
      </c>
      <c r="P660" s="39">
        <v>1398</v>
      </c>
      <c r="Q660" s="39">
        <v>275</v>
      </c>
      <c r="R660" s="39">
        <v>25.82</v>
      </c>
    </row>
    <row r="661" spans="1:18" x14ac:dyDescent="0.25">
      <c r="A661" s="1" t="s">
        <v>427</v>
      </c>
      <c r="B661" s="3">
        <v>450</v>
      </c>
      <c r="C661" s="19">
        <v>45.8</v>
      </c>
      <c r="D661" s="3" t="s">
        <v>497</v>
      </c>
      <c r="E661" s="3" t="s">
        <v>525</v>
      </c>
      <c r="F661" s="23">
        <v>475000</v>
      </c>
      <c r="G661" s="35">
        <v>2011</v>
      </c>
      <c r="H661">
        <f>Table_8[[#This Row],[Listing Price (USD)]]/10000</f>
        <v>47.5</v>
      </c>
      <c r="I661">
        <f>Table_8[[#This Row],[Length 
(ft)]]</f>
        <v>45.8</v>
      </c>
      <c r="J661" s="37">
        <f>2020-Table_8[[#This Row],[Year]]</f>
        <v>9</v>
      </c>
      <c r="K661">
        <v>4200000000</v>
      </c>
      <c r="L661">
        <v>39553.199999999997</v>
      </c>
      <c r="M661">
        <v>4.0999999999999996</v>
      </c>
      <c r="N661">
        <v>-2.1</v>
      </c>
      <c r="O661" s="39">
        <v>41.83</v>
      </c>
      <c r="P661" s="39">
        <v>1398</v>
      </c>
      <c r="Q661" s="39">
        <v>275</v>
      </c>
      <c r="R661" s="39">
        <v>25.82</v>
      </c>
    </row>
    <row r="662" spans="1:18" x14ac:dyDescent="0.25">
      <c r="A662" s="1" t="s">
        <v>427</v>
      </c>
      <c r="B662" s="2">
        <v>450</v>
      </c>
      <c r="C662" s="19">
        <v>45.8</v>
      </c>
      <c r="D662" s="3" t="s">
        <v>496</v>
      </c>
      <c r="E662" s="4" t="s">
        <v>56</v>
      </c>
      <c r="F662" s="23">
        <v>479431</v>
      </c>
      <c r="G662" s="35">
        <v>2011</v>
      </c>
      <c r="H662">
        <f>Table_8[[#This Row],[Listing Price (USD)]]/10000</f>
        <v>47.943100000000001</v>
      </c>
      <c r="I662">
        <f>Table_8[[#This Row],[Length 
(ft)]]</f>
        <v>45.8</v>
      </c>
      <c r="J662" s="37">
        <f>2020-Table_8[[#This Row],[Year]]</f>
        <v>9</v>
      </c>
      <c r="K662">
        <v>14933066818.9606</v>
      </c>
      <c r="L662">
        <v>28977.565567363599</v>
      </c>
      <c r="M662">
        <v>0.63854495677665302</v>
      </c>
      <c r="N662">
        <v>-8.3242832319722009</v>
      </c>
      <c r="O662" s="39">
        <v>41.83</v>
      </c>
      <c r="P662" s="39">
        <v>1398</v>
      </c>
      <c r="Q662" s="39">
        <v>275</v>
      </c>
      <c r="R662" s="39">
        <v>25.82</v>
      </c>
    </row>
    <row r="663" spans="1:18" x14ac:dyDescent="0.25">
      <c r="A663" s="1" t="s">
        <v>427</v>
      </c>
      <c r="B663" s="3">
        <v>450</v>
      </c>
      <c r="C663" s="19">
        <v>45.8</v>
      </c>
      <c r="D663" s="3" t="s">
        <v>497</v>
      </c>
      <c r="E663" s="3" t="s">
        <v>517</v>
      </c>
      <c r="F663" s="23">
        <v>480000</v>
      </c>
      <c r="G663" s="35">
        <v>2015</v>
      </c>
      <c r="H663">
        <f>Table_8[[#This Row],[Listing Price (USD)]]/10000</f>
        <v>48</v>
      </c>
      <c r="I663">
        <f>Table_8[[#This Row],[Length 
(ft)]]</f>
        <v>45.8</v>
      </c>
      <c r="J663" s="37">
        <f>2020-Table_8[[#This Row],[Year]]</f>
        <v>5</v>
      </c>
      <c r="K663">
        <v>681973374534.10596</v>
      </c>
      <c r="L663">
        <v>27575.495000325591</v>
      </c>
      <c r="M663">
        <v>0.8848420113691905</v>
      </c>
      <c r="N663">
        <v>-6.3525291034127971</v>
      </c>
      <c r="O663" s="39">
        <v>41.83</v>
      </c>
      <c r="P663" s="39">
        <v>1398</v>
      </c>
      <c r="Q663" s="39">
        <v>275</v>
      </c>
      <c r="R663" s="39">
        <v>25.82</v>
      </c>
    </row>
    <row r="664" spans="1:18" x14ac:dyDescent="0.25">
      <c r="A664" s="1" t="s">
        <v>427</v>
      </c>
      <c r="B664" s="2">
        <v>450</v>
      </c>
      <c r="C664" s="19">
        <v>45.8</v>
      </c>
      <c r="D664" s="3" t="s">
        <v>496</v>
      </c>
      <c r="E664" s="4" t="s">
        <v>18</v>
      </c>
      <c r="F664" s="23">
        <v>482595</v>
      </c>
      <c r="G664" s="35">
        <v>2015</v>
      </c>
      <c r="H664">
        <f>Table_8[[#This Row],[Listing Price (USD)]]/10000</f>
        <v>48.259500000000003</v>
      </c>
      <c r="I664">
        <f>Table_8[[#This Row],[Length 
(ft)]]</f>
        <v>45.8</v>
      </c>
      <c r="J664" s="37">
        <f>2020-Table_8[[#This Row],[Year]]</f>
        <v>5</v>
      </c>
      <c r="K664">
        <v>188925995936.80701</v>
      </c>
      <c r="L664">
        <v>17658.947301119199</v>
      </c>
      <c r="M664">
        <v>-1.2479835558140799</v>
      </c>
      <c r="N664">
        <v>-9.0040436420214593</v>
      </c>
      <c r="O664" s="39">
        <v>41.83</v>
      </c>
      <c r="P664" s="39">
        <v>1398</v>
      </c>
      <c r="Q664" s="39">
        <v>275</v>
      </c>
      <c r="R664" s="39">
        <v>25.82</v>
      </c>
    </row>
    <row r="665" spans="1:18" x14ac:dyDescent="0.25">
      <c r="A665" s="1" t="s">
        <v>427</v>
      </c>
      <c r="B665" s="2">
        <v>450</v>
      </c>
      <c r="C665" s="19">
        <v>45.8</v>
      </c>
      <c r="D665" s="3" t="s">
        <v>496</v>
      </c>
      <c r="E665" s="4" t="s">
        <v>18</v>
      </c>
      <c r="F665" s="23">
        <v>483383</v>
      </c>
      <c r="G665" s="35">
        <v>2015</v>
      </c>
      <c r="H665">
        <f>Table_8[[#This Row],[Listing Price (USD)]]/10000</f>
        <v>48.338299999999997</v>
      </c>
      <c r="I665">
        <f>Table_8[[#This Row],[Length 
(ft)]]</f>
        <v>45.8</v>
      </c>
      <c r="J665" s="37">
        <f>2020-Table_8[[#This Row],[Year]]</f>
        <v>5</v>
      </c>
      <c r="K665">
        <v>188925995936.80701</v>
      </c>
      <c r="L665">
        <v>17658.947301119199</v>
      </c>
      <c r="M665">
        <v>-1.2479835558140799</v>
      </c>
      <c r="N665">
        <v>-9.0040436420214593</v>
      </c>
      <c r="O665" s="39">
        <v>41.83</v>
      </c>
      <c r="P665" s="39">
        <v>1398</v>
      </c>
      <c r="Q665" s="39">
        <v>275</v>
      </c>
      <c r="R665" s="39">
        <v>25.82</v>
      </c>
    </row>
    <row r="666" spans="1:18" x14ac:dyDescent="0.25">
      <c r="A666" s="1" t="s">
        <v>427</v>
      </c>
      <c r="B666" s="2">
        <v>450</v>
      </c>
      <c r="C666" s="19">
        <v>45.8</v>
      </c>
      <c r="D666" s="3" t="s">
        <v>496</v>
      </c>
      <c r="E666" s="4" t="s">
        <v>31</v>
      </c>
      <c r="F666" s="23">
        <v>483808</v>
      </c>
      <c r="G666" s="35">
        <v>2014</v>
      </c>
      <c r="H666">
        <f>Table_8[[#This Row],[Listing Price (USD)]]/10000</f>
        <v>48.380800000000001</v>
      </c>
      <c r="I666">
        <f>Table_8[[#This Row],[Length 
(ft)]]</f>
        <v>45.8</v>
      </c>
      <c r="J666" s="37">
        <f>2020-Table_8[[#This Row],[Year]]</f>
        <v>6</v>
      </c>
      <c r="K666">
        <v>57472012426.685303</v>
      </c>
      <c r="L666">
        <v>14198.753959474399</v>
      </c>
      <c r="M666">
        <v>0.15481137456202801</v>
      </c>
      <c r="N666">
        <v>-8.5803430210621805</v>
      </c>
      <c r="O666" s="39">
        <v>41.83</v>
      </c>
      <c r="P666" s="39">
        <v>1398</v>
      </c>
      <c r="Q666" s="39">
        <v>275</v>
      </c>
      <c r="R666" s="39">
        <v>25.82</v>
      </c>
    </row>
    <row r="667" spans="1:18" x14ac:dyDescent="0.25">
      <c r="A667" s="1" t="s">
        <v>427</v>
      </c>
      <c r="B667" s="2">
        <v>450</v>
      </c>
      <c r="C667" s="19">
        <v>45.8</v>
      </c>
      <c r="D667" s="3" t="s">
        <v>496</v>
      </c>
      <c r="E667" s="4" t="s">
        <v>31</v>
      </c>
      <c r="F667" s="23">
        <v>483808</v>
      </c>
      <c r="G667" s="35">
        <v>2017</v>
      </c>
      <c r="H667">
        <f>Table_8[[#This Row],[Listing Price (USD)]]/10000</f>
        <v>48.380800000000001</v>
      </c>
      <c r="I667">
        <f>Table_8[[#This Row],[Length 
(ft)]]</f>
        <v>45.8</v>
      </c>
      <c r="J667" s="37">
        <f>2020-Table_8[[#This Row],[Year]]</f>
        <v>3</v>
      </c>
      <c r="K667">
        <v>57472012426.685303</v>
      </c>
      <c r="L667">
        <v>14198.753959474399</v>
      </c>
      <c r="M667">
        <v>0.15481137456202801</v>
      </c>
      <c r="N667">
        <v>-8.5803430210621805</v>
      </c>
      <c r="O667" s="39">
        <v>41.83</v>
      </c>
      <c r="P667" s="39">
        <v>1398</v>
      </c>
      <c r="Q667" s="39">
        <v>275</v>
      </c>
      <c r="R667" s="39">
        <v>25.82</v>
      </c>
    </row>
    <row r="668" spans="1:18" x14ac:dyDescent="0.25">
      <c r="A668" s="1" t="s">
        <v>427</v>
      </c>
      <c r="B668" s="2">
        <v>450</v>
      </c>
      <c r="C668" s="19">
        <v>45.8</v>
      </c>
      <c r="D668" s="3" t="s">
        <v>496</v>
      </c>
      <c r="E668" s="4" t="s">
        <v>31</v>
      </c>
      <c r="F668" s="23">
        <v>484598</v>
      </c>
      <c r="G668" s="35">
        <v>2014</v>
      </c>
      <c r="H668">
        <f>Table_8[[#This Row],[Listing Price (USD)]]/10000</f>
        <v>48.459800000000001</v>
      </c>
      <c r="I668">
        <f>Table_8[[#This Row],[Length 
(ft)]]</f>
        <v>45.8</v>
      </c>
      <c r="J668" s="37">
        <f>2020-Table_8[[#This Row],[Year]]</f>
        <v>6</v>
      </c>
      <c r="K668">
        <v>57472012426.685303</v>
      </c>
      <c r="L668">
        <v>14198.753959474399</v>
      </c>
      <c r="M668">
        <v>0.15481137456202801</v>
      </c>
      <c r="N668">
        <v>-8.5803430210621805</v>
      </c>
      <c r="O668" s="39">
        <v>41.83</v>
      </c>
      <c r="P668" s="39">
        <v>1398</v>
      </c>
      <c r="Q668" s="39">
        <v>275</v>
      </c>
      <c r="R668" s="39">
        <v>25.82</v>
      </c>
    </row>
    <row r="669" spans="1:18" x14ac:dyDescent="0.25">
      <c r="A669" s="1" t="s">
        <v>427</v>
      </c>
      <c r="B669" s="2">
        <v>450</v>
      </c>
      <c r="C669" s="19">
        <v>45.8</v>
      </c>
      <c r="D669" s="3" t="s">
        <v>496</v>
      </c>
      <c r="E669" s="4" t="s">
        <v>31</v>
      </c>
      <c r="F669" s="23">
        <v>484664</v>
      </c>
      <c r="G669" s="35">
        <v>2017</v>
      </c>
      <c r="H669">
        <f>Table_8[[#This Row],[Listing Price (USD)]]/10000</f>
        <v>48.4664</v>
      </c>
      <c r="I669">
        <f>Table_8[[#This Row],[Length 
(ft)]]</f>
        <v>45.8</v>
      </c>
      <c r="J669" s="37">
        <f>2020-Table_8[[#This Row],[Year]]</f>
        <v>3</v>
      </c>
      <c r="K669">
        <v>57472012426.685303</v>
      </c>
      <c r="L669">
        <v>14198.753959474399</v>
      </c>
      <c r="M669">
        <v>0.15481137456202801</v>
      </c>
      <c r="N669">
        <v>-8.5803430210621805</v>
      </c>
      <c r="O669" s="39">
        <v>41.83</v>
      </c>
      <c r="P669" s="39">
        <v>1398</v>
      </c>
      <c r="Q669" s="39">
        <v>275</v>
      </c>
      <c r="R669" s="39">
        <v>25.82</v>
      </c>
    </row>
    <row r="670" spans="1:18" x14ac:dyDescent="0.25">
      <c r="A670" s="1" t="s">
        <v>427</v>
      </c>
      <c r="B670" s="2">
        <v>450</v>
      </c>
      <c r="C670" s="19">
        <v>45.8</v>
      </c>
      <c r="D670" s="3" t="s">
        <v>496</v>
      </c>
      <c r="E670" s="4" t="s">
        <v>18</v>
      </c>
      <c r="F670" s="23">
        <v>485500</v>
      </c>
      <c r="G670" s="35">
        <v>2015</v>
      </c>
      <c r="H670">
        <f>Table_8[[#This Row],[Listing Price (USD)]]/10000</f>
        <v>48.55</v>
      </c>
      <c r="I670">
        <f>Table_8[[#This Row],[Length 
(ft)]]</f>
        <v>45.8</v>
      </c>
      <c r="J670" s="37">
        <f>2020-Table_8[[#This Row],[Year]]</f>
        <v>5</v>
      </c>
      <c r="K670">
        <v>188925995936.80701</v>
      </c>
      <c r="L670">
        <v>17658.947301119199</v>
      </c>
      <c r="M670">
        <v>-1.2479835558140799</v>
      </c>
      <c r="N670">
        <v>-9.0040436420214593</v>
      </c>
      <c r="O670" s="39">
        <v>41.83</v>
      </c>
      <c r="P670" s="39">
        <v>1398</v>
      </c>
      <c r="Q670" s="39">
        <v>275</v>
      </c>
      <c r="R670" s="39">
        <v>25.82</v>
      </c>
    </row>
    <row r="671" spans="1:18" x14ac:dyDescent="0.25">
      <c r="A671" s="1" t="s">
        <v>427</v>
      </c>
      <c r="B671" s="2">
        <v>450</v>
      </c>
      <c r="C671" s="19">
        <v>45.8</v>
      </c>
      <c r="D671" s="3" t="s">
        <v>496</v>
      </c>
      <c r="E671" s="4" t="s">
        <v>18</v>
      </c>
      <c r="F671" s="23">
        <v>485879</v>
      </c>
      <c r="G671" s="35">
        <v>2015</v>
      </c>
      <c r="H671">
        <f>Table_8[[#This Row],[Listing Price (USD)]]/10000</f>
        <v>48.587899999999998</v>
      </c>
      <c r="I671">
        <f>Table_8[[#This Row],[Length 
(ft)]]</f>
        <v>45.8</v>
      </c>
      <c r="J671" s="37">
        <f>2020-Table_8[[#This Row],[Year]]</f>
        <v>5</v>
      </c>
      <c r="K671">
        <v>188925995936.80701</v>
      </c>
      <c r="L671">
        <v>17658.947301119199</v>
      </c>
      <c r="M671">
        <v>-1.2479835558140799</v>
      </c>
      <c r="N671">
        <v>-9.0040436420214593</v>
      </c>
      <c r="O671" s="39">
        <v>41.83</v>
      </c>
      <c r="P671" s="39">
        <v>1398</v>
      </c>
      <c r="Q671" s="39">
        <v>275</v>
      </c>
      <c r="R671" s="39">
        <v>25.82</v>
      </c>
    </row>
    <row r="672" spans="1:18" x14ac:dyDescent="0.25">
      <c r="A672" s="1" t="s">
        <v>427</v>
      </c>
      <c r="B672" s="2">
        <v>450</v>
      </c>
      <c r="C672" s="19">
        <v>45.8</v>
      </c>
      <c r="D672" s="3" t="s">
        <v>496</v>
      </c>
      <c r="E672" s="4" t="s">
        <v>18</v>
      </c>
      <c r="F672" s="23">
        <v>486249</v>
      </c>
      <c r="G672" s="35">
        <v>2012</v>
      </c>
      <c r="H672">
        <f>Table_8[[#This Row],[Listing Price (USD)]]/10000</f>
        <v>48.624899999999997</v>
      </c>
      <c r="I672">
        <f>Table_8[[#This Row],[Length 
(ft)]]</f>
        <v>45.8</v>
      </c>
      <c r="J672" s="37">
        <f>2020-Table_8[[#This Row],[Year]]</f>
        <v>8</v>
      </c>
      <c r="K672">
        <v>188925995936.80701</v>
      </c>
      <c r="L672">
        <v>17658.947301119199</v>
      </c>
      <c r="M672">
        <v>-1.2479835558140799</v>
      </c>
      <c r="N672">
        <v>-9.0040436420214593</v>
      </c>
      <c r="O672" s="39">
        <v>41.83</v>
      </c>
      <c r="P672" s="39">
        <v>1398</v>
      </c>
      <c r="Q672" s="39">
        <v>275</v>
      </c>
      <c r="R672" s="39">
        <v>25.82</v>
      </c>
    </row>
    <row r="673" spans="1:18" x14ac:dyDescent="0.25">
      <c r="A673" s="1" t="s">
        <v>427</v>
      </c>
      <c r="B673" s="2">
        <v>450</v>
      </c>
      <c r="C673" s="19">
        <v>45.8</v>
      </c>
      <c r="D673" s="3" t="s">
        <v>496</v>
      </c>
      <c r="E673" s="4" t="s">
        <v>24</v>
      </c>
      <c r="F673" s="23">
        <v>486371</v>
      </c>
      <c r="G673" s="35">
        <v>2012</v>
      </c>
      <c r="H673">
        <f>Table_8[[#This Row],[Listing Price (USD)]]/10000</f>
        <v>48.637099999999997</v>
      </c>
      <c r="I673">
        <f>Table_8[[#This Row],[Length 
(ft)]]</f>
        <v>45.8</v>
      </c>
      <c r="J673" s="37">
        <f>2020-Table_8[[#This Row],[Year]]</f>
        <v>8</v>
      </c>
      <c r="K673">
        <v>1896755301518.1399</v>
      </c>
      <c r="L673">
        <v>31911.0357890017</v>
      </c>
      <c r="M673">
        <v>-0.13770757391656999</v>
      </c>
      <c r="N673">
        <v>-9.0399534112288507</v>
      </c>
      <c r="O673" s="39">
        <v>41.83</v>
      </c>
      <c r="P673" s="39">
        <v>1398</v>
      </c>
      <c r="Q673" s="39">
        <v>275</v>
      </c>
      <c r="R673" s="39">
        <v>25.82</v>
      </c>
    </row>
    <row r="674" spans="1:18" x14ac:dyDescent="0.25">
      <c r="A674" s="1" t="s">
        <v>427</v>
      </c>
      <c r="B674" s="2">
        <v>450</v>
      </c>
      <c r="C674" s="19">
        <v>45.8</v>
      </c>
      <c r="D674" s="3" t="s">
        <v>496</v>
      </c>
      <c r="E674" s="4" t="s">
        <v>24</v>
      </c>
      <c r="F674" s="23">
        <v>486371</v>
      </c>
      <c r="G674" s="35">
        <v>2015</v>
      </c>
      <c r="H674">
        <f>Table_8[[#This Row],[Listing Price (USD)]]/10000</f>
        <v>48.637099999999997</v>
      </c>
      <c r="I674">
        <f>Table_8[[#This Row],[Length 
(ft)]]</f>
        <v>45.8</v>
      </c>
      <c r="J674" s="37">
        <f>2020-Table_8[[#This Row],[Year]]</f>
        <v>5</v>
      </c>
      <c r="K674">
        <v>1896755301518.1399</v>
      </c>
      <c r="L674">
        <v>31911.0357890017</v>
      </c>
      <c r="M674">
        <v>-0.13770757391656999</v>
      </c>
      <c r="N674">
        <v>-9.0399534112288507</v>
      </c>
      <c r="O674" s="39">
        <v>41.83</v>
      </c>
      <c r="P674" s="39">
        <v>1398</v>
      </c>
      <c r="Q674" s="39">
        <v>275</v>
      </c>
      <c r="R674" s="39">
        <v>25.82</v>
      </c>
    </row>
    <row r="675" spans="1:18" x14ac:dyDescent="0.25">
      <c r="A675" s="1" t="s">
        <v>427</v>
      </c>
      <c r="B675" s="2">
        <v>450</v>
      </c>
      <c r="C675" s="19">
        <v>45.8</v>
      </c>
      <c r="D675" s="3" t="s">
        <v>496</v>
      </c>
      <c r="E675" s="4" t="s">
        <v>24</v>
      </c>
      <c r="F675" s="23">
        <v>486404</v>
      </c>
      <c r="G675" s="35">
        <v>2015</v>
      </c>
      <c r="H675">
        <f>Table_8[[#This Row],[Listing Price (USD)]]/10000</f>
        <v>48.6404</v>
      </c>
      <c r="I675">
        <f>Table_8[[#This Row],[Length 
(ft)]]</f>
        <v>45.8</v>
      </c>
      <c r="J675" s="37">
        <f>2020-Table_8[[#This Row],[Year]]</f>
        <v>5</v>
      </c>
      <c r="K675">
        <v>1896755301518.1399</v>
      </c>
      <c r="L675">
        <v>31911.0357890017</v>
      </c>
      <c r="M675">
        <v>-0.13770757391656999</v>
      </c>
      <c r="N675">
        <v>-9.0399534112288507</v>
      </c>
      <c r="O675" s="39">
        <v>41.83</v>
      </c>
      <c r="P675" s="39">
        <v>1398</v>
      </c>
      <c r="Q675" s="39">
        <v>275</v>
      </c>
      <c r="R675" s="39">
        <v>25.82</v>
      </c>
    </row>
    <row r="676" spans="1:18" x14ac:dyDescent="0.25">
      <c r="A676" s="1" t="s">
        <v>427</v>
      </c>
      <c r="B676" s="2">
        <v>450</v>
      </c>
      <c r="C676" s="19">
        <v>45.8</v>
      </c>
      <c r="D676" s="3" t="s">
        <v>497</v>
      </c>
      <c r="E676" s="3" t="s">
        <v>370</v>
      </c>
      <c r="F676" s="23">
        <v>495000</v>
      </c>
      <c r="G676" s="35">
        <v>2015</v>
      </c>
      <c r="H676">
        <f>Table_8[[#This Row],[Listing Price (USD)]]/10000</f>
        <v>49.5</v>
      </c>
      <c r="I676">
        <f>Table_8[[#This Row],[Length 
(ft)]]</f>
        <v>45.8</v>
      </c>
      <c r="J676" s="37">
        <f>2020-Table_8[[#This Row],[Year]]</f>
        <v>5</v>
      </c>
      <c r="K676">
        <v>500000000</v>
      </c>
      <c r="L676">
        <v>34200</v>
      </c>
      <c r="M676">
        <v>1.1000000000000001</v>
      </c>
      <c r="N676">
        <v>2</v>
      </c>
      <c r="O676" s="39">
        <v>41.83</v>
      </c>
      <c r="P676" s="39">
        <v>1398</v>
      </c>
      <c r="Q676" s="39">
        <v>275</v>
      </c>
      <c r="R676" s="39">
        <v>25.82</v>
      </c>
    </row>
    <row r="677" spans="1:18" x14ac:dyDescent="0.25">
      <c r="A677" s="1" t="s">
        <v>427</v>
      </c>
      <c r="B677" s="2">
        <v>450</v>
      </c>
      <c r="C677" s="19">
        <v>45.8</v>
      </c>
      <c r="D677" s="3" t="s">
        <v>497</v>
      </c>
      <c r="E677" s="3" t="s">
        <v>520</v>
      </c>
      <c r="F677" s="23">
        <v>495000</v>
      </c>
      <c r="G677" s="35">
        <v>2016</v>
      </c>
      <c r="H677">
        <f>Table_8[[#This Row],[Listing Price (USD)]]/10000</f>
        <v>49.5</v>
      </c>
      <c r="I677">
        <f>Table_8[[#This Row],[Length 
(ft)]]</f>
        <v>45.8</v>
      </c>
      <c r="J677" s="37">
        <f>2020-Table_8[[#This Row],[Year]]</f>
        <v>4</v>
      </c>
      <c r="K677">
        <v>103020300000</v>
      </c>
      <c r="L677">
        <v>31393.907369044598</v>
      </c>
      <c r="M677">
        <v>3</v>
      </c>
      <c r="N677">
        <v>-4.3534263366192603</v>
      </c>
      <c r="O677" s="39">
        <v>41.83</v>
      </c>
      <c r="P677" s="39">
        <v>1398</v>
      </c>
      <c r="Q677" s="39">
        <v>275</v>
      </c>
      <c r="R677" s="39">
        <v>25.82</v>
      </c>
    </row>
    <row r="678" spans="1:18" x14ac:dyDescent="0.25">
      <c r="A678" s="1" t="s">
        <v>427</v>
      </c>
      <c r="B678" s="2">
        <v>450</v>
      </c>
      <c r="C678" s="19">
        <v>45.8</v>
      </c>
      <c r="D678" s="3" t="s">
        <v>496</v>
      </c>
      <c r="E678" s="4" t="s">
        <v>18</v>
      </c>
      <c r="F678" s="23">
        <v>497146</v>
      </c>
      <c r="G678" s="35">
        <v>2014</v>
      </c>
      <c r="H678">
        <f>Table_8[[#This Row],[Listing Price (USD)]]/10000</f>
        <v>49.714599999999997</v>
      </c>
      <c r="I678">
        <f>Table_8[[#This Row],[Length 
(ft)]]</f>
        <v>45.8</v>
      </c>
      <c r="J678" s="37">
        <f>2020-Table_8[[#This Row],[Year]]</f>
        <v>6</v>
      </c>
      <c r="K678">
        <v>188925995936.80701</v>
      </c>
      <c r="L678">
        <v>17658.947301119199</v>
      </c>
      <c r="M678">
        <v>-1.2479835558140799</v>
      </c>
      <c r="N678">
        <v>-9.0040436420214593</v>
      </c>
      <c r="O678" s="39">
        <v>41.83</v>
      </c>
      <c r="P678" s="39">
        <v>1398</v>
      </c>
      <c r="Q678" s="39">
        <v>275</v>
      </c>
      <c r="R678" s="39">
        <v>25.82</v>
      </c>
    </row>
    <row r="679" spans="1:18" x14ac:dyDescent="0.25">
      <c r="A679" s="1" t="s">
        <v>427</v>
      </c>
      <c r="B679" s="2">
        <v>450</v>
      </c>
      <c r="C679" s="19">
        <v>45.8</v>
      </c>
      <c r="D679" s="3" t="s">
        <v>496</v>
      </c>
      <c r="E679" s="4" t="s">
        <v>18</v>
      </c>
      <c r="F679" s="23">
        <v>498152</v>
      </c>
      <c r="G679" s="35">
        <v>2016</v>
      </c>
      <c r="H679">
        <f>Table_8[[#This Row],[Listing Price (USD)]]/10000</f>
        <v>49.815199999999997</v>
      </c>
      <c r="I679">
        <f>Table_8[[#This Row],[Length 
(ft)]]</f>
        <v>45.8</v>
      </c>
      <c r="J679" s="37">
        <f>2020-Table_8[[#This Row],[Year]]</f>
        <v>4</v>
      </c>
      <c r="K679">
        <v>188925995936.80701</v>
      </c>
      <c r="L679">
        <v>17658.947301119199</v>
      </c>
      <c r="M679">
        <v>-1.2479835558140799</v>
      </c>
      <c r="N679">
        <v>-9.0040436420214593</v>
      </c>
      <c r="O679" s="39">
        <v>41.83</v>
      </c>
      <c r="P679" s="39">
        <v>1398</v>
      </c>
      <c r="Q679" s="39">
        <v>275</v>
      </c>
      <c r="R679" s="39">
        <v>25.82</v>
      </c>
    </row>
    <row r="680" spans="1:18" x14ac:dyDescent="0.25">
      <c r="A680" s="1" t="s">
        <v>427</v>
      </c>
      <c r="B680" s="2">
        <v>450</v>
      </c>
      <c r="C680" s="19">
        <v>45.8</v>
      </c>
      <c r="D680" s="3" t="s">
        <v>496</v>
      </c>
      <c r="E680" s="4" t="s">
        <v>18</v>
      </c>
      <c r="F680" s="23">
        <v>498530</v>
      </c>
      <c r="G680" s="35">
        <v>2014</v>
      </c>
      <c r="H680">
        <f>Table_8[[#This Row],[Listing Price (USD)]]/10000</f>
        <v>49.853000000000002</v>
      </c>
      <c r="I680">
        <f>Table_8[[#This Row],[Length 
(ft)]]</f>
        <v>45.8</v>
      </c>
      <c r="J680" s="37">
        <f>2020-Table_8[[#This Row],[Year]]</f>
        <v>6</v>
      </c>
      <c r="K680">
        <v>188925995936.80701</v>
      </c>
      <c r="L680">
        <v>17658.947301119199</v>
      </c>
      <c r="M680">
        <v>-1.2479835558140799</v>
      </c>
      <c r="N680">
        <v>-9.0040436420214593</v>
      </c>
      <c r="O680" s="39">
        <v>41.83</v>
      </c>
      <c r="P680" s="39">
        <v>1398</v>
      </c>
      <c r="Q680" s="39">
        <v>275</v>
      </c>
      <c r="R680" s="39">
        <v>25.82</v>
      </c>
    </row>
    <row r="681" spans="1:18" x14ac:dyDescent="0.25">
      <c r="A681" s="1" t="s">
        <v>427</v>
      </c>
      <c r="B681" s="2">
        <v>450</v>
      </c>
      <c r="C681" s="19">
        <v>45.8</v>
      </c>
      <c r="D681" s="3" t="s">
        <v>497</v>
      </c>
      <c r="E681" s="3" t="s">
        <v>392</v>
      </c>
      <c r="F681" s="23">
        <v>499000</v>
      </c>
      <c r="G681" s="35">
        <v>2015</v>
      </c>
      <c r="H681">
        <f>Table_8[[#This Row],[Listing Price (USD)]]/10000</f>
        <v>49.9</v>
      </c>
      <c r="I681">
        <f>Table_8[[#This Row],[Length 
(ft)]]</f>
        <v>45.8</v>
      </c>
      <c r="J681" s="37">
        <f>2020-Table_8[[#This Row],[Year]]</f>
        <v>5</v>
      </c>
      <c r="K681">
        <v>1043414814.81481</v>
      </c>
      <c r="L681">
        <v>8437.5667322870595</v>
      </c>
      <c r="M681">
        <v>-0.74073259704550098</v>
      </c>
      <c r="N681">
        <v>-13.7559294530644</v>
      </c>
      <c r="O681" s="39">
        <v>41.83</v>
      </c>
      <c r="P681" s="39">
        <v>1398</v>
      </c>
      <c r="Q681" s="39">
        <v>275</v>
      </c>
      <c r="R681" s="39">
        <v>25.82</v>
      </c>
    </row>
    <row r="682" spans="1:18" x14ac:dyDescent="0.25">
      <c r="A682" s="1" t="s">
        <v>427</v>
      </c>
      <c r="B682" s="2">
        <v>450</v>
      </c>
      <c r="C682" s="19">
        <v>45.8</v>
      </c>
      <c r="D682" s="3" t="s">
        <v>496</v>
      </c>
      <c r="E682" s="4" t="s">
        <v>18</v>
      </c>
      <c r="F682" s="23">
        <v>509271</v>
      </c>
      <c r="G682" s="35">
        <v>2015</v>
      </c>
      <c r="H682">
        <f>Table_8[[#This Row],[Listing Price (USD)]]/10000</f>
        <v>50.927100000000003</v>
      </c>
      <c r="I682">
        <f>Table_8[[#This Row],[Length 
(ft)]]</f>
        <v>45.8</v>
      </c>
      <c r="J682" s="37">
        <f>2020-Table_8[[#This Row],[Year]]</f>
        <v>5</v>
      </c>
      <c r="K682">
        <v>188925995936.80701</v>
      </c>
      <c r="L682">
        <v>17658.947301119199</v>
      </c>
      <c r="M682">
        <v>-1.2479835558140799</v>
      </c>
      <c r="N682">
        <v>-9.0040436420214593</v>
      </c>
      <c r="O682" s="39">
        <v>41.83</v>
      </c>
      <c r="P682" s="39">
        <v>1398</v>
      </c>
      <c r="Q682" s="39">
        <v>275</v>
      </c>
      <c r="R682" s="39">
        <v>25.82</v>
      </c>
    </row>
    <row r="683" spans="1:18" x14ac:dyDescent="0.25">
      <c r="A683" s="1" t="s">
        <v>441</v>
      </c>
      <c r="B683" s="2">
        <v>450</v>
      </c>
      <c r="C683" s="19">
        <v>45.8</v>
      </c>
      <c r="D683" s="3" t="s">
        <v>495</v>
      </c>
      <c r="E683" s="3" t="s">
        <v>333</v>
      </c>
      <c r="F683" s="23">
        <v>510000</v>
      </c>
      <c r="G683" s="35">
        <v>2013</v>
      </c>
      <c r="H683">
        <f>Table_8[[#This Row],[Listing Price (USD)]]/10000</f>
        <v>51</v>
      </c>
      <c r="I683">
        <f>Table_8[[#This Row],[Length 
(ft)]]</f>
        <v>45.8</v>
      </c>
      <c r="J683" s="37">
        <f>2020-Table_8[[#This Row],[Year]]</f>
        <v>7</v>
      </c>
      <c r="K683">
        <v>1106036000000</v>
      </c>
      <c r="L683">
        <v>51276.72</v>
      </c>
      <c r="M683">
        <v>1.23</v>
      </c>
      <c r="N683">
        <v>2.9</v>
      </c>
      <c r="O683" s="39">
        <v>41.83</v>
      </c>
      <c r="P683" s="39">
        <v>1398</v>
      </c>
      <c r="Q683" s="39">
        <v>275</v>
      </c>
      <c r="R683" s="39">
        <v>25.82</v>
      </c>
    </row>
    <row r="684" spans="1:18" x14ac:dyDescent="0.25">
      <c r="A684" s="1" t="s">
        <v>427</v>
      </c>
      <c r="B684" s="2">
        <v>450</v>
      </c>
      <c r="C684" s="19">
        <v>45.8</v>
      </c>
      <c r="D684" s="3" t="s">
        <v>496</v>
      </c>
      <c r="E684" s="4" t="s">
        <v>18</v>
      </c>
      <c r="F684" s="23">
        <v>510103</v>
      </c>
      <c r="G684" s="35">
        <v>2015</v>
      </c>
      <c r="H684">
        <f>Table_8[[#This Row],[Listing Price (USD)]]/10000</f>
        <v>51.010300000000001</v>
      </c>
      <c r="I684">
        <f>Table_8[[#This Row],[Length 
(ft)]]</f>
        <v>45.8</v>
      </c>
      <c r="J684" s="37">
        <f>2020-Table_8[[#This Row],[Year]]</f>
        <v>5</v>
      </c>
      <c r="K684">
        <v>188925995936.80701</v>
      </c>
      <c r="L684">
        <v>17658.947301119199</v>
      </c>
      <c r="M684">
        <v>-1.2479835558140799</v>
      </c>
      <c r="N684">
        <v>-9.0040436420214593</v>
      </c>
      <c r="O684" s="39">
        <v>41.83</v>
      </c>
      <c r="P684" s="39">
        <v>1398</v>
      </c>
      <c r="Q684" s="39">
        <v>275</v>
      </c>
      <c r="R684" s="39">
        <v>25.82</v>
      </c>
    </row>
    <row r="685" spans="1:18" x14ac:dyDescent="0.25">
      <c r="A685" s="1" t="s">
        <v>427</v>
      </c>
      <c r="B685" s="2">
        <v>450</v>
      </c>
      <c r="C685" s="19">
        <v>45.8</v>
      </c>
      <c r="D685" s="3" t="s">
        <v>496</v>
      </c>
      <c r="E685" s="3" t="s">
        <v>3</v>
      </c>
      <c r="F685" s="23">
        <v>510172</v>
      </c>
      <c r="G685" s="35">
        <v>2011</v>
      </c>
      <c r="H685">
        <f>Table_8[[#This Row],[Listing Price (USD)]]/10000</f>
        <v>51.017200000000003</v>
      </c>
      <c r="I685">
        <f>Table_8[[#This Row],[Length 
(ft)]]</f>
        <v>45.8</v>
      </c>
      <c r="J685" s="37">
        <f>2020-Table_8[[#This Row],[Year]]</f>
        <v>9</v>
      </c>
      <c r="K685">
        <v>2639008701648.2598</v>
      </c>
      <c r="L685">
        <v>39055.282928075401</v>
      </c>
      <c r="M685">
        <v>0.47649885272508302</v>
      </c>
      <c r="N685">
        <v>-7.7845864916787102</v>
      </c>
      <c r="O685" s="39">
        <v>41.83</v>
      </c>
      <c r="P685" s="39">
        <v>1398</v>
      </c>
      <c r="Q685" s="39">
        <v>275</v>
      </c>
      <c r="R685" s="39">
        <v>25.82</v>
      </c>
    </row>
    <row r="686" spans="1:18" x14ac:dyDescent="0.25">
      <c r="A686" s="1" t="s">
        <v>427</v>
      </c>
      <c r="B686" s="2">
        <v>450</v>
      </c>
      <c r="C686" s="19">
        <v>45.8</v>
      </c>
      <c r="D686" s="3" t="s">
        <v>496</v>
      </c>
      <c r="E686" s="4" t="s">
        <v>3</v>
      </c>
      <c r="F686" s="23">
        <v>510302</v>
      </c>
      <c r="G686" s="35">
        <v>2011</v>
      </c>
      <c r="H686">
        <f>Table_8[[#This Row],[Listing Price (USD)]]/10000</f>
        <v>51.030200000000001</v>
      </c>
      <c r="I686">
        <f>Table_8[[#This Row],[Length 
(ft)]]</f>
        <v>45.8</v>
      </c>
      <c r="J686" s="37">
        <f>2020-Table_8[[#This Row],[Year]]</f>
        <v>9</v>
      </c>
      <c r="K686">
        <v>2639008701648.2598</v>
      </c>
      <c r="L686">
        <v>39055.282928075401</v>
      </c>
      <c r="M686">
        <v>0.47649885272508302</v>
      </c>
      <c r="N686">
        <v>-7.7845864916787102</v>
      </c>
      <c r="O686" s="39">
        <v>41.83</v>
      </c>
      <c r="P686" s="39">
        <v>1398</v>
      </c>
      <c r="Q686" s="39">
        <v>275</v>
      </c>
      <c r="R686" s="39">
        <v>25.82</v>
      </c>
    </row>
    <row r="687" spans="1:18" x14ac:dyDescent="0.25">
      <c r="A687" s="1" t="s">
        <v>427</v>
      </c>
      <c r="B687" s="2">
        <v>450</v>
      </c>
      <c r="C687" s="19">
        <v>45.8</v>
      </c>
      <c r="D687" s="3" t="s">
        <v>496</v>
      </c>
      <c r="E687" s="3" t="s">
        <v>18</v>
      </c>
      <c r="F687" s="23">
        <v>510302</v>
      </c>
      <c r="G687" s="35">
        <v>2015</v>
      </c>
      <c r="H687">
        <f>Table_8[[#This Row],[Listing Price (USD)]]/10000</f>
        <v>51.030200000000001</v>
      </c>
      <c r="I687">
        <f>Table_8[[#This Row],[Length 
(ft)]]</f>
        <v>45.8</v>
      </c>
      <c r="J687" s="37">
        <f>2020-Table_8[[#This Row],[Year]]</f>
        <v>5</v>
      </c>
      <c r="K687">
        <v>188925995936.80701</v>
      </c>
      <c r="L687">
        <v>17658.947301119199</v>
      </c>
      <c r="M687">
        <v>-1.2479835558140799</v>
      </c>
      <c r="N687">
        <v>-9.0040436420214593</v>
      </c>
      <c r="O687" s="39">
        <v>41.83</v>
      </c>
      <c r="P687" s="39">
        <v>1398</v>
      </c>
      <c r="Q687" s="39">
        <v>275</v>
      </c>
      <c r="R687" s="39">
        <v>25.82</v>
      </c>
    </row>
    <row r="688" spans="1:18" x14ac:dyDescent="0.25">
      <c r="A688" s="1" t="s">
        <v>427</v>
      </c>
      <c r="B688" s="2">
        <v>450</v>
      </c>
      <c r="C688" s="19">
        <v>45.8</v>
      </c>
      <c r="D688" s="3" t="s">
        <v>496</v>
      </c>
      <c r="E688" s="4" t="s">
        <v>24</v>
      </c>
      <c r="F688" s="23">
        <v>510689</v>
      </c>
      <c r="G688" s="35">
        <v>2016</v>
      </c>
      <c r="H688">
        <f>Table_8[[#This Row],[Listing Price (USD)]]/10000</f>
        <v>51.068899999999999</v>
      </c>
      <c r="I688">
        <f>Table_8[[#This Row],[Length 
(ft)]]</f>
        <v>45.8</v>
      </c>
      <c r="J688" s="37">
        <f>2020-Table_8[[#This Row],[Year]]</f>
        <v>4</v>
      </c>
      <c r="K688">
        <v>1896755301518.1399</v>
      </c>
      <c r="L688">
        <v>31911.0357890017</v>
      </c>
      <c r="M688">
        <v>-0.13770757391656999</v>
      </c>
      <c r="N688">
        <v>-9.0399534112288507</v>
      </c>
      <c r="O688" s="39">
        <v>41.83</v>
      </c>
      <c r="P688" s="39">
        <v>1398</v>
      </c>
      <c r="Q688" s="39">
        <v>275</v>
      </c>
      <c r="R688" s="39">
        <v>25.82</v>
      </c>
    </row>
    <row r="689" spans="1:18" x14ac:dyDescent="0.25">
      <c r="A689" s="1" t="s">
        <v>427</v>
      </c>
      <c r="B689" s="2">
        <v>450</v>
      </c>
      <c r="C689" s="19">
        <v>45.8</v>
      </c>
      <c r="D689" s="3" t="s">
        <v>496</v>
      </c>
      <c r="E689" s="4" t="s">
        <v>3</v>
      </c>
      <c r="F689" s="23">
        <v>510725</v>
      </c>
      <c r="G689" s="35">
        <v>2011</v>
      </c>
      <c r="H689">
        <f>Table_8[[#This Row],[Listing Price (USD)]]/10000</f>
        <v>51.072499999999998</v>
      </c>
      <c r="I689">
        <f>Table_8[[#This Row],[Length 
(ft)]]</f>
        <v>45.8</v>
      </c>
      <c r="J689" s="37">
        <f>2020-Table_8[[#This Row],[Year]]</f>
        <v>9</v>
      </c>
      <c r="K689">
        <v>2639008701648.2598</v>
      </c>
      <c r="L689">
        <v>39055.282928075401</v>
      </c>
      <c r="M689">
        <v>0.47649885272508302</v>
      </c>
      <c r="N689">
        <v>-7.7845864916787102</v>
      </c>
      <c r="O689" s="39">
        <v>41.83</v>
      </c>
      <c r="P689" s="39">
        <v>1398</v>
      </c>
      <c r="Q689" s="39">
        <v>275</v>
      </c>
      <c r="R689" s="39">
        <v>25.82</v>
      </c>
    </row>
    <row r="690" spans="1:18" x14ac:dyDescent="0.25">
      <c r="A690" s="1" t="s">
        <v>427</v>
      </c>
      <c r="B690" s="2">
        <v>450</v>
      </c>
      <c r="C690" s="19">
        <v>45.8</v>
      </c>
      <c r="D690" s="3" t="s">
        <v>496</v>
      </c>
      <c r="E690" s="4" t="s">
        <v>18</v>
      </c>
      <c r="F690" s="23">
        <v>515334</v>
      </c>
      <c r="G690" s="35">
        <v>2018</v>
      </c>
      <c r="H690">
        <f>Table_8[[#This Row],[Listing Price (USD)]]/10000</f>
        <v>51.5334</v>
      </c>
      <c r="I690">
        <f>Table_8[[#This Row],[Length 
(ft)]]</f>
        <v>45.8</v>
      </c>
      <c r="J690" s="37">
        <f>2020-Table_8[[#This Row],[Year]]</f>
        <v>2</v>
      </c>
      <c r="K690">
        <v>188925995936.80701</v>
      </c>
      <c r="L690">
        <v>17658.947301119199</v>
      </c>
      <c r="M690">
        <v>-1.2479835558140799</v>
      </c>
      <c r="N690">
        <v>-9.0040436420214593</v>
      </c>
      <c r="O690" s="39">
        <v>41.83</v>
      </c>
      <c r="P690" s="39">
        <v>1398</v>
      </c>
      <c r="Q690" s="39">
        <v>275</v>
      </c>
      <c r="R690" s="39">
        <v>25.82</v>
      </c>
    </row>
    <row r="691" spans="1:18" x14ac:dyDescent="0.25">
      <c r="A691" s="1" t="s">
        <v>427</v>
      </c>
      <c r="B691" s="2">
        <v>450</v>
      </c>
      <c r="C691" s="19">
        <v>45.8</v>
      </c>
      <c r="D691" s="3" t="s">
        <v>496</v>
      </c>
      <c r="E691" s="4" t="s">
        <v>18</v>
      </c>
      <c r="F691" s="23">
        <v>515844</v>
      </c>
      <c r="G691" s="35">
        <v>2011</v>
      </c>
      <c r="H691">
        <f>Table_8[[#This Row],[Listing Price (USD)]]/10000</f>
        <v>51.584400000000002</v>
      </c>
      <c r="I691">
        <f>Table_8[[#This Row],[Length 
(ft)]]</f>
        <v>45.8</v>
      </c>
      <c r="J691" s="37">
        <f>2020-Table_8[[#This Row],[Year]]</f>
        <v>9</v>
      </c>
      <c r="K691">
        <v>188925995936.80701</v>
      </c>
      <c r="L691">
        <v>17658.947301119199</v>
      </c>
      <c r="M691">
        <v>-1.2479835558140799</v>
      </c>
      <c r="N691">
        <v>-9.0040436420214593</v>
      </c>
      <c r="O691" s="39">
        <v>41.83</v>
      </c>
      <c r="P691" s="39">
        <v>1398</v>
      </c>
      <c r="Q691" s="39">
        <v>275</v>
      </c>
      <c r="R691" s="39">
        <v>25.82</v>
      </c>
    </row>
    <row r="692" spans="1:18" x14ac:dyDescent="0.25">
      <c r="A692" s="1" t="s">
        <v>427</v>
      </c>
      <c r="B692" s="2">
        <v>450</v>
      </c>
      <c r="C692" s="19">
        <v>45.8</v>
      </c>
      <c r="D692" s="3" t="s">
        <v>496</v>
      </c>
      <c r="E692" s="4" t="s">
        <v>9</v>
      </c>
      <c r="F692" s="23">
        <v>515844</v>
      </c>
      <c r="G692" s="35">
        <v>2013</v>
      </c>
      <c r="H692">
        <f>Table_8[[#This Row],[Listing Price (USD)]]/10000</f>
        <v>51.584400000000002</v>
      </c>
      <c r="I692">
        <f>Table_8[[#This Row],[Length 
(ft)]]</f>
        <v>45.8</v>
      </c>
      <c r="J692" s="37">
        <f>2020-Table_8[[#This Row],[Year]]</f>
        <v>7</v>
      </c>
      <c r="K692">
        <v>1276962685648.25</v>
      </c>
      <c r="L692">
        <v>26959.675436732599</v>
      </c>
      <c r="M692">
        <v>-0.32275301729970501</v>
      </c>
      <c r="N692">
        <v>-11.3254383222864</v>
      </c>
      <c r="O692" s="39">
        <v>41.83</v>
      </c>
      <c r="P692" s="39">
        <v>1398</v>
      </c>
      <c r="Q692" s="39">
        <v>275</v>
      </c>
      <c r="R692" s="39">
        <v>25.82</v>
      </c>
    </row>
    <row r="693" spans="1:18" x14ac:dyDescent="0.25">
      <c r="A693" s="1" t="s">
        <v>427</v>
      </c>
      <c r="B693" s="2">
        <v>450</v>
      </c>
      <c r="C693" s="19">
        <v>45.8</v>
      </c>
      <c r="D693" s="3" t="s">
        <v>496</v>
      </c>
      <c r="E693" s="4" t="s">
        <v>18</v>
      </c>
      <c r="F693" s="23">
        <v>516176</v>
      </c>
      <c r="G693" s="35">
        <v>2018</v>
      </c>
      <c r="H693">
        <f>Table_8[[#This Row],[Listing Price (USD)]]/10000</f>
        <v>51.617600000000003</v>
      </c>
      <c r="I693">
        <f>Table_8[[#This Row],[Length 
(ft)]]</f>
        <v>45.8</v>
      </c>
      <c r="J693" s="37">
        <f>2020-Table_8[[#This Row],[Year]]</f>
        <v>2</v>
      </c>
      <c r="K693">
        <v>188925995936.80701</v>
      </c>
      <c r="L693">
        <v>17658.947301119199</v>
      </c>
      <c r="M693">
        <v>-1.2479835558140799</v>
      </c>
      <c r="N693">
        <v>-9.0040436420214593</v>
      </c>
      <c r="O693" s="39">
        <v>41.83</v>
      </c>
      <c r="P693" s="39">
        <v>1398</v>
      </c>
      <c r="Q693" s="39">
        <v>275</v>
      </c>
      <c r="R693" s="39">
        <v>25.82</v>
      </c>
    </row>
    <row r="694" spans="1:18" x14ac:dyDescent="0.25">
      <c r="A694" s="1" t="s">
        <v>427</v>
      </c>
      <c r="B694" s="2">
        <v>450</v>
      </c>
      <c r="C694" s="19">
        <v>45.8</v>
      </c>
      <c r="D694" s="3" t="s">
        <v>496</v>
      </c>
      <c r="E694" s="4" t="s">
        <v>18</v>
      </c>
      <c r="F694" s="23">
        <v>516246</v>
      </c>
      <c r="G694" s="35">
        <v>2011</v>
      </c>
      <c r="H694">
        <f>Table_8[[#This Row],[Listing Price (USD)]]/10000</f>
        <v>51.624600000000001</v>
      </c>
      <c r="I694">
        <f>Table_8[[#This Row],[Length 
(ft)]]</f>
        <v>45.8</v>
      </c>
      <c r="J694" s="37">
        <f>2020-Table_8[[#This Row],[Year]]</f>
        <v>9</v>
      </c>
      <c r="K694">
        <v>188925995936.80701</v>
      </c>
      <c r="L694">
        <v>17658.947301119199</v>
      </c>
      <c r="M694">
        <v>-1.2479835558140799</v>
      </c>
      <c r="N694">
        <v>-9.0040436420214593</v>
      </c>
      <c r="O694" s="39">
        <v>41.83</v>
      </c>
      <c r="P694" s="39">
        <v>1398</v>
      </c>
      <c r="Q694" s="39">
        <v>275</v>
      </c>
      <c r="R694" s="39">
        <v>25.82</v>
      </c>
    </row>
    <row r="695" spans="1:18" x14ac:dyDescent="0.25">
      <c r="A695" s="1" t="s">
        <v>427</v>
      </c>
      <c r="B695" s="2">
        <v>450</v>
      </c>
      <c r="C695" s="19">
        <v>45.8</v>
      </c>
      <c r="D695" s="3" t="s">
        <v>496</v>
      </c>
      <c r="E695" s="4" t="s">
        <v>9</v>
      </c>
      <c r="F695" s="23">
        <v>516246</v>
      </c>
      <c r="G695" s="35">
        <v>2013</v>
      </c>
      <c r="H695">
        <f>Table_8[[#This Row],[Listing Price (USD)]]/10000</f>
        <v>51.624600000000001</v>
      </c>
      <c r="I695">
        <f>Table_8[[#This Row],[Length 
(ft)]]</f>
        <v>45.8</v>
      </c>
      <c r="J695" s="37">
        <f>2020-Table_8[[#This Row],[Year]]</f>
        <v>7</v>
      </c>
      <c r="K695">
        <v>1276962685648.25</v>
      </c>
      <c r="L695">
        <v>26959.675436732599</v>
      </c>
      <c r="M695">
        <v>-0.32275301729970501</v>
      </c>
      <c r="N695">
        <v>-11.3254383222864</v>
      </c>
      <c r="O695" s="39">
        <v>41.83</v>
      </c>
      <c r="P695" s="39">
        <v>1398</v>
      </c>
      <c r="Q695" s="39">
        <v>275</v>
      </c>
      <c r="R695" s="39">
        <v>25.82</v>
      </c>
    </row>
    <row r="696" spans="1:18" x14ac:dyDescent="0.25">
      <c r="A696" s="1" t="s">
        <v>427</v>
      </c>
      <c r="B696" s="2">
        <v>450</v>
      </c>
      <c r="C696" s="19">
        <v>45.8</v>
      </c>
      <c r="D696" s="3" t="s">
        <v>496</v>
      </c>
      <c r="E696" s="4" t="s">
        <v>31</v>
      </c>
      <c r="F696" s="23">
        <v>516769</v>
      </c>
      <c r="G696" s="35">
        <v>2015</v>
      </c>
      <c r="H696">
        <f>Table_8[[#This Row],[Listing Price (USD)]]/10000</f>
        <v>51.676900000000003</v>
      </c>
      <c r="I696">
        <f>Table_8[[#This Row],[Length 
(ft)]]</f>
        <v>45.8</v>
      </c>
      <c r="J696" s="37">
        <f>2020-Table_8[[#This Row],[Year]]</f>
        <v>5</v>
      </c>
      <c r="K696">
        <v>57472012426.685303</v>
      </c>
      <c r="L696">
        <v>14198.753959474399</v>
      </c>
      <c r="M696">
        <v>0.15481137456202801</v>
      </c>
      <c r="N696">
        <v>-8.5803430210621805</v>
      </c>
      <c r="O696" s="39">
        <v>41.83</v>
      </c>
      <c r="P696" s="39">
        <v>1398</v>
      </c>
      <c r="Q696" s="39">
        <v>275</v>
      </c>
      <c r="R696" s="39">
        <v>25.82</v>
      </c>
    </row>
    <row r="697" spans="1:18" x14ac:dyDescent="0.25">
      <c r="A697" s="1" t="s">
        <v>427</v>
      </c>
      <c r="B697" s="2">
        <v>450</v>
      </c>
      <c r="C697" s="19">
        <v>45.8</v>
      </c>
      <c r="D697" s="3" t="s">
        <v>496</v>
      </c>
      <c r="E697" s="4" t="s">
        <v>3</v>
      </c>
      <c r="F697" s="23">
        <v>517759</v>
      </c>
      <c r="G697" s="35">
        <v>2014</v>
      </c>
      <c r="H697">
        <f>Table_8[[#This Row],[Listing Price (USD)]]/10000</f>
        <v>51.7759</v>
      </c>
      <c r="I697">
        <f>Table_8[[#This Row],[Length 
(ft)]]</f>
        <v>45.8</v>
      </c>
      <c r="J697" s="37">
        <f>2020-Table_8[[#This Row],[Year]]</f>
        <v>6</v>
      </c>
      <c r="K697">
        <v>2639008701648.2598</v>
      </c>
      <c r="L697">
        <v>39055.282928075401</v>
      </c>
      <c r="M697">
        <v>0.47649885272508302</v>
      </c>
      <c r="N697">
        <v>-7.7845864916787102</v>
      </c>
      <c r="O697" s="39">
        <v>41.83</v>
      </c>
      <c r="P697" s="39">
        <v>1398</v>
      </c>
      <c r="Q697" s="39">
        <v>275</v>
      </c>
      <c r="R697" s="39">
        <v>25.82</v>
      </c>
    </row>
    <row r="698" spans="1:18" x14ac:dyDescent="0.25">
      <c r="A698" s="1" t="s">
        <v>427</v>
      </c>
      <c r="B698" s="2">
        <v>450</v>
      </c>
      <c r="C698" s="19">
        <v>45.8</v>
      </c>
      <c r="D698" s="3" t="s">
        <v>496</v>
      </c>
      <c r="E698" s="3" t="s">
        <v>3</v>
      </c>
      <c r="F698" s="23">
        <v>518675</v>
      </c>
      <c r="G698" s="35">
        <v>2014</v>
      </c>
      <c r="H698">
        <f>Table_8[[#This Row],[Listing Price (USD)]]/10000</f>
        <v>51.8675</v>
      </c>
      <c r="I698">
        <f>Table_8[[#This Row],[Length 
(ft)]]</f>
        <v>45.8</v>
      </c>
      <c r="J698" s="37">
        <f>2020-Table_8[[#This Row],[Year]]</f>
        <v>6</v>
      </c>
      <c r="K698">
        <v>2639008701648.2598</v>
      </c>
      <c r="L698">
        <v>39055.282928075401</v>
      </c>
      <c r="M698">
        <v>0.47649885272508302</v>
      </c>
      <c r="N698">
        <v>-7.7845864916787102</v>
      </c>
      <c r="O698" s="39">
        <v>41.83</v>
      </c>
      <c r="P698" s="39">
        <v>1398</v>
      </c>
      <c r="Q698" s="39">
        <v>275</v>
      </c>
      <c r="R698" s="39">
        <v>25.82</v>
      </c>
    </row>
    <row r="699" spans="1:18" x14ac:dyDescent="0.25">
      <c r="A699" s="1" t="s">
        <v>427</v>
      </c>
      <c r="B699" s="2">
        <v>450</v>
      </c>
      <c r="C699" s="19">
        <v>45.8</v>
      </c>
      <c r="D699" s="3" t="s">
        <v>496</v>
      </c>
      <c r="E699" s="4" t="s">
        <v>63</v>
      </c>
      <c r="F699" s="23">
        <v>520184</v>
      </c>
      <c r="G699" s="35">
        <v>2013</v>
      </c>
      <c r="H699">
        <f>Table_8[[#This Row],[Listing Price (USD)]]/10000</f>
        <v>52.0184</v>
      </c>
      <c r="I699">
        <f>Table_8[[#This Row],[Length 
(ft)]]</f>
        <v>45.8</v>
      </c>
      <c r="J699" s="37">
        <f>2020-Table_8[[#This Row],[Year]]</f>
        <v>7</v>
      </c>
      <c r="K699">
        <v>720290000000</v>
      </c>
      <c r="L699">
        <v>13341.6</v>
      </c>
      <c r="M699">
        <v>13</v>
      </c>
      <c r="N699">
        <v>-3</v>
      </c>
      <c r="O699" s="39">
        <v>41.83</v>
      </c>
      <c r="P699" s="39">
        <v>1398</v>
      </c>
      <c r="Q699" s="39">
        <v>275</v>
      </c>
      <c r="R699" s="39">
        <v>25.82</v>
      </c>
    </row>
    <row r="700" spans="1:18" x14ac:dyDescent="0.25">
      <c r="A700" s="1" t="s">
        <v>427</v>
      </c>
      <c r="B700" s="2">
        <v>450</v>
      </c>
      <c r="C700" s="19">
        <v>45.8</v>
      </c>
      <c r="D700" s="3" t="s">
        <v>496</v>
      </c>
      <c r="E700" s="4" t="s">
        <v>63</v>
      </c>
      <c r="F700" s="23">
        <v>521105</v>
      </c>
      <c r="G700" s="35">
        <v>2013</v>
      </c>
      <c r="H700">
        <f>Table_8[[#This Row],[Listing Price (USD)]]/10000</f>
        <v>52.110500000000002</v>
      </c>
      <c r="I700">
        <f>Table_8[[#This Row],[Length 
(ft)]]</f>
        <v>45.8</v>
      </c>
      <c r="J700" s="37">
        <f>2020-Table_8[[#This Row],[Year]]</f>
        <v>7</v>
      </c>
      <c r="K700">
        <v>720290000000</v>
      </c>
      <c r="L700">
        <v>13341.6</v>
      </c>
      <c r="M700">
        <v>13</v>
      </c>
      <c r="N700">
        <v>-3</v>
      </c>
      <c r="O700" s="39">
        <v>41.83</v>
      </c>
      <c r="P700" s="39">
        <v>1398</v>
      </c>
      <c r="Q700" s="39">
        <v>275</v>
      </c>
      <c r="R700" s="39">
        <v>25.82</v>
      </c>
    </row>
    <row r="701" spans="1:18" x14ac:dyDescent="0.25">
      <c r="A701" s="1" t="s">
        <v>427</v>
      </c>
      <c r="B701" s="2">
        <v>450</v>
      </c>
      <c r="C701" s="19">
        <v>45.8</v>
      </c>
      <c r="D701" s="3" t="s">
        <v>496</v>
      </c>
      <c r="E701" s="4" t="s">
        <v>18</v>
      </c>
      <c r="F701" s="23">
        <v>521397</v>
      </c>
      <c r="G701" s="35">
        <v>2014</v>
      </c>
      <c r="H701">
        <f>Table_8[[#This Row],[Listing Price (USD)]]/10000</f>
        <v>52.139699999999998</v>
      </c>
      <c r="I701">
        <f>Table_8[[#This Row],[Length 
(ft)]]</f>
        <v>45.8</v>
      </c>
      <c r="J701" s="37">
        <f>2020-Table_8[[#This Row],[Year]]</f>
        <v>6</v>
      </c>
      <c r="K701">
        <v>188925995936.80701</v>
      </c>
      <c r="L701">
        <v>17658.947301119199</v>
      </c>
      <c r="M701">
        <v>-1.2479835558140799</v>
      </c>
      <c r="N701">
        <v>-9.0040436420214593</v>
      </c>
      <c r="O701" s="39">
        <v>41.83</v>
      </c>
      <c r="P701" s="39">
        <v>1398</v>
      </c>
      <c r="Q701" s="39">
        <v>275</v>
      </c>
      <c r="R701" s="39">
        <v>25.82</v>
      </c>
    </row>
    <row r="702" spans="1:18" x14ac:dyDescent="0.25">
      <c r="A702" s="1" t="s">
        <v>427</v>
      </c>
      <c r="B702" s="2">
        <v>450</v>
      </c>
      <c r="C702" s="19">
        <v>45.8</v>
      </c>
      <c r="D702" s="3" t="s">
        <v>496</v>
      </c>
      <c r="E702" s="4" t="s">
        <v>18</v>
      </c>
      <c r="F702" s="23">
        <v>522319</v>
      </c>
      <c r="G702" s="35">
        <v>2014</v>
      </c>
      <c r="H702">
        <f>Table_8[[#This Row],[Listing Price (USD)]]/10000</f>
        <v>52.231900000000003</v>
      </c>
      <c r="I702">
        <f>Table_8[[#This Row],[Length 
(ft)]]</f>
        <v>45.8</v>
      </c>
      <c r="J702" s="37">
        <f>2020-Table_8[[#This Row],[Year]]</f>
        <v>6</v>
      </c>
      <c r="K702">
        <v>188925995936.80701</v>
      </c>
      <c r="L702">
        <v>17658.947301119199</v>
      </c>
      <c r="M702">
        <v>-1.2479835558140799</v>
      </c>
      <c r="N702">
        <v>-9.0040436420214593</v>
      </c>
      <c r="O702" s="39">
        <v>41.83</v>
      </c>
      <c r="P702" s="39">
        <v>1398</v>
      </c>
      <c r="Q702" s="39">
        <v>275</v>
      </c>
      <c r="R702" s="39">
        <v>25.82</v>
      </c>
    </row>
    <row r="703" spans="1:18" x14ac:dyDescent="0.25">
      <c r="A703" s="1" t="s">
        <v>427</v>
      </c>
      <c r="B703" s="2">
        <v>450</v>
      </c>
      <c r="C703" s="19">
        <v>45.8</v>
      </c>
      <c r="D703" s="3" t="s">
        <v>496</v>
      </c>
      <c r="E703" s="4" t="s">
        <v>18</v>
      </c>
      <c r="F703" s="23">
        <v>522848</v>
      </c>
      <c r="G703" s="35">
        <v>2015</v>
      </c>
      <c r="H703">
        <f>Table_8[[#This Row],[Listing Price (USD)]]/10000</f>
        <v>52.284799999999997</v>
      </c>
      <c r="I703">
        <f>Table_8[[#This Row],[Length 
(ft)]]</f>
        <v>45.8</v>
      </c>
      <c r="J703" s="37">
        <f>2020-Table_8[[#This Row],[Year]]</f>
        <v>5</v>
      </c>
      <c r="K703">
        <v>188925995936.80701</v>
      </c>
      <c r="L703">
        <v>17658.947301119199</v>
      </c>
      <c r="M703">
        <v>-1.2479835558140799</v>
      </c>
      <c r="N703">
        <v>-9.0040436420214593</v>
      </c>
      <c r="O703" s="39">
        <v>41.83</v>
      </c>
      <c r="P703" s="39">
        <v>1398</v>
      </c>
      <c r="Q703" s="39">
        <v>275</v>
      </c>
      <c r="R703" s="39">
        <v>25.82</v>
      </c>
    </row>
    <row r="704" spans="1:18" x14ac:dyDescent="0.25">
      <c r="A704" s="1" t="s">
        <v>427</v>
      </c>
      <c r="B704" s="2">
        <v>450</v>
      </c>
      <c r="C704" s="19">
        <v>45.8</v>
      </c>
      <c r="D704" s="3" t="s">
        <v>496</v>
      </c>
      <c r="E704" s="4" t="s">
        <v>18</v>
      </c>
      <c r="F704" s="23">
        <v>527981</v>
      </c>
      <c r="G704" s="35">
        <v>2013</v>
      </c>
      <c r="H704">
        <f>Table_8[[#This Row],[Listing Price (USD)]]/10000</f>
        <v>52.798099999999998</v>
      </c>
      <c r="I704">
        <f>Table_8[[#This Row],[Length 
(ft)]]</f>
        <v>45.8</v>
      </c>
      <c r="J704" s="37">
        <f>2020-Table_8[[#This Row],[Year]]</f>
        <v>7</v>
      </c>
      <c r="K704">
        <v>188925995936.80701</v>
      </c>
      <c r="L704">
        <v>17658.947301119199</v>
      </c>
      <c r="M704">
        <v>-1.2479835558140799</v>
      </c>
      <c r="N704">
        <v>-9.0040436420214593</v>
      </c>
      <c r="O704" s="39">
        <v>41.83</v>
      </c>
      <c r="P704" s="39">
        <v>1398</v>
      </c>
      <c r="Q704" s="39">
        <v>275</v>
      </c>
      <c r="R704" s="39">
        <v>25.82</v>
      </c>
    </row>
    <row r="705" spans="1:18" x14ac:dyDescent="0.25">
      <c r="A705" s="1" t="s">
        <v>427</v>
      </c>
      <c r="B705" s="2">
        <v>450</v>
      </c>
      <c r="C705" s="19">
        <v>45.8</v>
      </c>
      <c r="D705" s="3" t="s">
        <v>496</v>
      </c>
      <c r="E705" s="4" t="s">
        <v>18</v>
      </c>
      <c r="F705" s="23">
        <v>528393</v>
      </c>
      <c r="G705" s="35">
        <v>2013</v>
      </c>
      <c r="H705">
        <f>Table_8[[#This Row],[Listing Price (USD)]]/10000</f>
        <v>52.839300000000001</v>
      </c>
      <c r="I705">
        <f>Table_8[[#This Row],[Length 
(ft)]]</f>
        <v>45.8</v>
      </c>
      <c r="J705" s="37">
        <f>2020-Table_8[[#This Row],[Year]]</f>
        <v>7</v>
      </c>
      <c r="K705">
        <v>188925995936.80701</v>
      </c>
      <c r="L705">
        <v>17658.947301119199</v>
      </c>
      <c r="M705">
        <v>-1.2479835558140799</v>
      </c>
      <c r="N705">
        <v>-9.0040436420214593</v>
      </c>
      <c r="O705" s="39">
        <v>41.83</v>
      </c>
      <c r="P705" s="39">
        <v>1398</v>
      </c>
      <c r="Q705" s="39">
        <v>275</v>
      </c>
      <c r="R705" s="39">
        <v>25.82</v>
      </c>
    </row>
    <row r="706" spans="1:18" x14ac:dyDescent="0.25">
      <c r="A706" s="1" t="s">
        <v>427</v>
      </c>
      <c r="B706" s="2">
        <v>450</v>
      </c>
      <c r="C706" s="19">
        <v>45.8</v>
      </c>
      <c r="D706" s="3" t="s">
        <v>497</v>
      </c>
      <c r="E706" s="3" t="s">
        <v>370</v>
      </c>
      <c r="F706" s="23">
        <v>529000</v>
      </c>
      <c r="G706" s="35">
        <v>2017</v>
      </c>
      <c r="H706">
        <f>Table_8[[#This Row],[Listing Price (USD)]]/10000</f>
        <v>52.9</v>
      </c>
      <c r="I706">
        <f>Table_8[[#This Row],[Length 
(ft)]]</f>
        <v>45.8</v>
      </c>
      <c r="J706" s="37">
        <f>2020-Table_8[[#This Row],[Year]]</f>
        <v>3</v>
      </c>
      <c r="K706">
        <v>500000000</v>
      </c>
      <c r="L706">
        <v>34200</v>
      </c>
      <c r="M706">
        <v>1.1000000000000001</v>
      </c>
      <c r="N706">
        <v>2</v>
      </c>
      <c r="O706" s="39">
        <v>41.83</v>
      </c>
      <c r="P706" s="39">
        <v>1398</v>
      </c>
      <c r="Q706" s="39">
        <v>275</v>
      </c>
      <c r="R706" s="39">
        <v>25.82</v>
      </c>
    </row>
    <row r="707" spans="1:18" x14ac:dyDescent="0.25">
      <c r="A707" s="1" t="s">
        <v>427</v>
      </c>
      <c r="B707" s="2">
        <v>450</v>
      </c>
      <c r="C707" s="19">
        <v>45.8</v>
      </c>
      <c r="D707" s="3" t="s">
        <v>496</v>
      </c>
      <c r="E707" s="4" t="s">
        <v>3</v>
      </c>
      <c r="F707" s="23">
        <v>533522</v>
      </c>
      <c r="G707" s="35">
        <v>2011</v>
      </c>
      <c r="H707">
        <f>Table_8[[#This Row],[Listing Price (USD)]]/10000</f>
        <v>53.352200000000003</v>
      </c>
      <c r="I707">
        <f>Table_8[[#This Row],[Length 
(ft)]]</f>
        <v>45.8</v>
      </c>
      <c r="J707" s="37">
        <f>2020-Table_8[[#This Row],[Year]]</f>
        <v>9</v>
      </c>
      <c r="K707">
        <v>2639008701648.2598</v>
      </c>
      <c r="L707">
        <v>39055.282928075401</v>
      </c>
      <c r="M707">
        <v>0.47649885272508302</v>
      </c>
      <c r="N707">
        <v>-7.7845864916787102</v>
      </c>
      <c r="O707" s="39">
        <v>41.83</v>
      </c>
      <c r="P707" s="39">
        <v>1398</v>
      </c>
      <c r="Q707" s="39">
        <v>275</v>
      </c>
      <c r="R707" s="39">
        <v>25.82</v>
      </c>
    </row>
    <row r="708" spans="1:18" x14ac:dyDescent="0.25">
      <c r="A708" s="1" t="s">
        <v>427</v>
      </c>
      <c r="B708" s="2">
        <v>450</v>
      </c>
      <c r="C708" s="19">
        <v>45.8</v>
      </c>
      <c r="D708" s="3" t="s">
        <v>496</v>
      </c>
      <c r="E708" s="4" t="s">
        <v>63</v>
      </c>
      <c r="F708" s="23">
        <v>534050</v>
      </c>
      <c r="G708" s="35">
        <v>2013</v>
      </c>
      <c r="H708">
        <f>Table_8[[#This Row],[Listing Price (USD)]]/10000</f>
        <v>53.405000000000001</v>
      </c>
      <c r="I708">
        <f>Table_8[[#This Row],[Length 
(ft)]]</f>
        <v>45.8</v>
      </c>
      <c r="J708" s="37">
        <f>2020-Table_8[[#This Row],[Year]]</f>
        <v>7</v>
      </c>
      <c r="K708">
        <v>720290000000</v>
      </c>
      <c r="L708">
        <v>13341.6</v>
      </c>
      <c r="M708">
        <v>13</v>
      </c>
      <c r="N708">
        <v>-3</v>
      </c>
      <c r="O708" s="39">
        <v>41.83</v>
      </c>
      <c r="P708" s="39">
        <v>1398</v>
      </c>
      <c r="Q708" s="39">
        <v>275</v>
      </c>
      <c r="R708" s="39">
        <v>25.82</v>
      </c>
    </row>
    <row r="709" spans="1:18" x14ac:dyDescent="0.25">
      <c r="A709" s="1" t="s">
        <v>427</v>
      </c>
      <c r="B709" s="2">
        <v>450</v>
      </c>
      <c r="C709" s="19">
        <v>45.8</v>
      </c>
      <c r="D709" s="3" t="s">
        <v>497</v>
      </c>
      <c r="E709" s="3" t="s">
        <v>481</v>
      </c>
      <c r="F709" s="23">
        <v>540000</v>
      </c>
      <c r="G709" s="35">
        <v>2013</v>
      </c>
      <c r="H709">
        <f>Table_8[[#This Row],[Listing Price (USD)]]/10000</f>
        <v>54</v>
      </c>
      <c r="I709">
        <f>Table_8[[#This Row],[Length 
(ft)]]</f>
        <v>45.8</v>
      </c>
      <c r="J709" s="37">
        <f>2020-Table_8[[#This Row],[Year]]</f>
        <v>7</v>
      </c>
      <c r="K709">
        <v>53977000000</v>
      </c>
      <c r="L709">
        <v>12569.1715435651</v>
      </c>
      <c r="M709">
        <v>-1.55027540803759</v>
      </c>
      <c r="N709">
        <v>-17.944893597249301</v>
      </c>
      <c r="O709" s="39">
        <v>41.83</v>
      </c>
      <c r="P709" s="39">
        <v>1398</v>
      </c>
      <c r="Q709" s="39">
        <v>275</v>
      </c>
      <c r="R709" s="39">
        <v>25.82</v>
      </c>
    </row>
    <row r="710" spans="1:18" x14ac:dyDescent="0.25">
      <c r="A710" s="1" t="s">
        <v>427</v>
      </c>
      <c r="B710" s="2">
        <v>450</v>
      </c>
      <c r="C710" s="19">
        <v>45.8</v>
      </c>
      <c r="D710" s="3" t="s">
        <v>497</v>
      </c>
      <c r="E710" s="3" t="s">
        <v>483</v>
      </c>
      <c r="F710" s="23">
        <v>544435</v>
      </c>
      <c r="G710" s="35">
        <v>2019</v>
      </c>
      <c r="H710">
        <f>Table_8[[#This Row],[Listing Price (USD)]]/10000</f>
        <v>54.4435</v>
      </c>
      <c r="I710">
        <f>Table_8[[#This Row],[Length 
(ft)]]</f>
        <v>45.8</v>
      </c>
      <c r="J710" s="37">
        <f>2020-Table_8[[#This Row],[Year]]</f>
        <v>1</v>
      </c>
      <c r="K710">
        <v>4200000000</v>
      </c>
      <c r="L710">
        <v>39553.199999999997</v>
      </c>
      <c r="M710">
        <v>2.5</v>
      </c>
      <c r="N710">
        <v>-2.1</v>
      </c>
      <c r="O710" s="39">
        <v>41.83</v>
      </c>
      <c r="P710" s="39">
        <v>1398</v>
      </c>
      <c r="Q710" s="39">
        <v>275</v>
      </c>
      <c r="R710" s="39">
        <v>25.82</v>
      </c>
    </row>
    <row r="711" spans="1:18" x14ac:dyDescent="0.25">
      <c r="A711" s="1" t="s">
        <v>427</v>
      </c>
      <c r="B711" s="2">
        <v>450</v>
      </c>
      <c r="C711" s="19">
        <v>45.8</v>
      </c>
      <c r="D711" s="3" t="s">
        <v>496</v>
      </c>
      <c r="E711" s="4" t="s">
        <v>31</v>
      </c>
      <c r="F711" s="23">
        <v>545648</v>
      </c>
      <c r="G711" s="35">
        <v>2014</v>
      </c>
      <c r="H711">
        <f>Table_8[[#This Row],[Listing Price (USD)]]/10000</f>
        <v>54.564799999999998</v>
      </c>
      <c r="I711">
        <f>Table_8[[#This Row],[Length 
(ft)]]</f>
        <v>45.8</v>
      </c>
      <c r="J711" s="37">
        <f>2020-Table_8[[#This Row],[Year]]</f>
        <v>6</v>
      </c>
      <c r="K711">
        <v>57472012426.685303</v>
      </c>
      <c r="L711">
        <v>14198.753959474399</v>
      </c>
      <c r="M711">
        <v>0.15481137456202801</v>
      </c>
      <c r="N711">
        <v>-8.5803430210621805</v>
      </c>
      <c r="O711" s="39">
        <v>41.83</v>
      </c>
      <c r="P711" s="39">
        <v>1398</v>
      </c>
      <c r="Q711" s="39">
        <v>275</v>
      </c>
      <c r="R711" s="39">
        <v>25.82</v>
      </c>
    </row>
    <row r="712" spans="1:18" x14ac:dyDescent="0.25">
      <c r="A712" s="1" t="s">
        <v>427</v>
      </c>
      <c r="B712" s="2">
        <v>450</v>
      </c>
      <c r="C712" s="19">
        <v>45.8</v>
      </c>
      <c r="D712" s="3" t="s">
        <v>496</v>
      </c>
      <c r="E712" s="4" t="s">
        <v>18</v>
      </c>
      <c r="F712" s="23">
        <v>545648</v>
      </c>
      <c r="G712" s="35">
        <v>2015</v>
      </c>
      <c r="H712">
        <f>Table_8[[#This Row],[Listing Price (USD)]]/10000</f>
        <v>54.564799999999998</v>
      </c>
      <c r="I712">
        <f>Table_8[[#This Row],[Length 
(ft)]]</f>
        <v>45.8</v>
      </c>
      <c r="J712" s="37">
        <f>2020-Table_8[[#This Row],[Year]]</f>
        <v>5</v>
      </c>
      <c r="K712">
        <v>188925995936.80701</v>
      </c>
      <c r="L712">
        <v>17658.947301119199</v>
      </c>
      <c r="M712">
        <v>-1.2479835558140799</v>
      </c>
      <c r="N712">
        <v>-9.0040436420214593</v>
      </c>
      <c r="O712" s="39">
        <v>41.83</v>
      </c>
      <c r="P712" s="39">
        <v>1398</v>
      </c>
      <c r="Q712" s="39">
        <v>275</v>
      </c>
      <c r="R712" s="39">
        <v>25.82</v>
      </c>
    </row>
    <row r="713" spans="1:18" x14ac:dyDescent="0.25">
      <c r="A713" s="1" t="s">
        <v>427</v>
      </c>
      <c r="B713" s="2">
        <v>450</v>
      </c>
      <c r="C713" s="19">
        <v>45.8</v>
      </c>
      <c r="D713" s="3" t="s">
        <v>496</v>
      </c>
      <c r="E713" s="4" t="s">
        <v>31</v>
      </c>
      <c r="F713" s="23">
        <v>546539</v>
      </c>
      <c r="G713" s="35">
        <v>2014</v>
      </c>
      <c r="H713">
        <f>Table_8[[#This Row],[Listing Price (USD)]]/10000</f>
        <v>54.6539</v>
      </c>
      <c r="I713">
        <f>Table_8[[#This Row],[Length 
(ft)]]</f>
        <v>45.8</v>
      </c>
      <c r="J713" s="37">
        <f>2020-Table_8[[#This Row],[Year]]</f>
        <v>6</v>
      </c>
      <c r="K713">
        <v>57472012426.685303</v>
      </c>
      <c r="L713">
        <v>14198.753959474399</v>
      </c>
      <c r="M713">
        <v>0.15481137456202801</v>
      </c>
      <c r="N713">
        <v>-8.5803430210621805</v>
      </c>
      <c r="O713" s="39">
        <v>41.83</v>
      </c>
      <c r="P713" s="39">
        <v>1398</v>
      </c>
      <c r="Q713" s="39">
        <v>275</v>
      </c>
      <c r="R713" s="39">
        <v>25.82</v>
      </c>
    </row>
    <row r="714" spans="1:18" x14ac:dyDescent="0.25">
      <c r="A714" s="1" t="s">
        <v>427</v>
      </c>
      <c r="B714" s="2">
        <v>450</v>
      </c>
      <c r="C714" s="19">
        <v>45.8</v>
      </c>
      <c r="D714" s="3" t="s">
        <v>496</v>
      </c>
      <c r="E714" s="4" t="s">
        <v>18</v>
      </c>
      <c r="F714" s="23">
        <v>546539</v>
      </c>
      <c r="G714" s="35">
        <v>2015</v>
      </c>
      <c r="H714">
        <f>Table_8[[#This Row],[Listing Price (USD)]]/10000</f>
        <v>54.6539</v>
      </c>
      <c r="I714">
        <f>Table_8[[#This Row],[Length 
(ft)]]</f>
        <v>45.8</v>
      </c>
      <c r="J714" s="37">
        <f>2020-Table_8[[#This Row],[Year]]</f>
        <v>5</v>
      </c>
      <c r="K714">
        <v>188925995936.80701</v>
      </c>
      <c r="L714">
        <v>17658.947301119199</v>
      </c>
      <c r="M714">
        <v>-1.2479835558140799</v>
      </c>
      <c r="N714">
        <v>-9.0040436420214593</v>
      </c>
      <c r="O714" s="39">
        <v>41.83</v>
      </c>
      <c r="P714" s="39">
        <v>1398</v>
      </c>
      <c r="Q714" s="39">
        <v>275</v>
      </c>
      <c r="R714" s="39">
        <v>25.82</v>
      </c>
    </row>
    <row r="715" spans="1:18" x14ac:dyDescent="0.25">
      <c r="A715" s="1" t="s">
        <v>427</v>
      </c>
      <c r="B715" s="2">
        <v>450</v>
      </c>
      <c r="C715" s="19">
        <v>45.8</v>
      </c>
      <c r="D715" s="3" t="s">
        <v>497</v>
      </c>
      <c r="E715" s="3" t="s">
        <v>370</v>
      </c>
      <c r="F715" s="23">
        <v>549000</v>
      </c>
      <c r="G715" s="35">
        <v>2018</v>
      </c>
      <c r="H715">
        <f>Table_8[[#This Row],[Listing Price (USD)]]/10000</f>
        <v>54.9</v>
      </c>
      <c r="I715">
        <f>Table_8[[#This Row],[Length 
(ft)]]</f>
        <v>45.8</v>
      </c>
      <c r="J715" s="37">
        <f>2020-Table_8[[#This Row],[Year]]</f>
        <v>2</v>
      </c>
      <c r="K715">
        <v>500000000</v>
      </c>
      <c r="L715">
        <v>34200</v>
      </c>
      <c r="M715">
        <v>1.1000000000000001</v>
      </c>
      <c r="N715">
        <v>2</v>
      </c>
      <c r="O715" s="39">
        <v>41.83</v>
      </c>
      <c r="P715" s="39">
        <v>1398</v>
      </c>
      <c r="Q715" s="39">
        <v>275</v>
      </c>
      <c r="R715" s="39">
        <v>25.82</v>
      </c>
    </row>
    <row r="716" spans="1:18" x14ac:dyDescent="0.25">
      <c r="A716" s="1" t="s">
        <v>427</v>
      </c>
      <c r="B716" s="2">
        <v>450</v>
      </c>
      <c r="C716" s="19">
        <v>45.8</v>
      </c>
      <c r="D716" s="3" t="s">
        <v>496</v>
      </c>
      <c r="E716" s="4" t="s">
        <v>31</v>
      </c>
      <c r="F716" s="23">
        <v>556561</v>
      </c>
      <c r="G716" s="35">
        <v>2015</v>
      </c>
      <c r="H716">
        <f>Table_8[[#This Row],[Listing Price (USD)]]/10000</f>
        <v>55.656100000000002</v>
      </c>
      <c r="I716">
        <f>Table_8[[#This Row],[Length 
(ft)]]</f>
        <v>45.8</v>
      </c>
      <c r="J716" s="37">
        <f>2020-Table_8[[#This Row],[Year]]</f>
        <v>5</v>
      </c>
      <c r="K716">
        <v>57472012426.685303</v>
      </c>
      <c r="L716">
        <v>14198.753959474399</v>
      </c>
      <c r="M716">
        <v>0.15481137456202801</v>
      </c>
      <c r="N716">
        <v>-8.5803430210621805</v>
      </c>
      <c r="O716" s="39">
        <v>41.83</v>
      </c>
      <c r="P716" s="39">
        <v>1398</v>
      </c>
      <c r="Q716" s="39">
        <v>275</v>
      </c>
      <c r="R716" s="39">
        <v>25.82</v>
      </c>
    </row>
    <row r="717" spans="1:18" x14ac:dyDescent="0.25">
      <c r="A717" s="1" t="s">
        <v>427</v>
      </c>
      <c r="B717" s="2">
        <v>450</v>
      </c>
      <c r="C717" s="19">
        <v>45.8</v>
      </c>
      <c r="D717" s="3" t="s">
        <v>496</v>
      </c>
      <c r="E717" s="4" t="s">
        <v>31</v>
      </c>
      <c r="F717" s="23">
        <v>557470</v>
      </c>
      <c r="G717" s="35">
        <v>2015</v>
      </c>
      <c r="H717">
        <f>Table_8[[#This Row],[Listing Price (USD)]]/10000</f>
        <v>55.747</v>
      </c>
      <c r="I717">
        <f>Table_8[[#This Row],[Length 
(ft)]]</f>
        <v>45.8</v>
      </c>
      <c r="J717" s="37">
        <f>2020-Table_8[[#This Row],[Year]]</f>
        <v>5</v>
      </c>
      <c r="K717">
        <v>57472012426.685303</v>
      </c>
      <c r="L717">
        <v>14198.753959474399</v>
      </c>
      <c r="M717">
        <v>0.15481137456202801</v>
      </c>
      <c r="N717">
        <v>-8.5803430210621805</v>
      </c>
      <c r="O717" s="39">
        <v>41.83</v>
      </c>
      <c r="P717" s="39">
        <v>1398</v>
      </c>
      <c r="Q717" s="39">
        <v>275</v>
      </c>
      <c r="R717" s="39">
        <v>25.82</v>
      </c>
    </row>
    <row r="718" spans="1:18" x14ac:dyDescent="0.25">
      <c r="A718" s="1" t="s">
        <v>427</v>
      </c>
      <c r="B718" s="2">
        <v>450</v>
      </c>
      <c r="C718" s="19">
        <v>45.8</v>
      </c>
      <c r="D718" s="3" t="s">
        <v>496</v>
      </c>
      <c r="E718" s="4" t="s">
        <v>18</v>
      </c>
      <c r="F718" s="23">
        <v>557773</v>
      </c>
      <c r="G718" s="35">
        <v>2014</v>
      </c>
      <c r="H718">
        <f>Table_8[[#This Row],[Listing Price (USD)]]/10000</f>
        <v>55.777299999999997</v>
      </c>
      <c r="I718">
        <f>Table_8[[#This Row],[Length 
(ft)]]</f>
        <v>45.8</v>
      </c>
      <c r="J718" s="37">
        <f>2020-Table_8[[#This Row],[Year]]</f>
        <v>6</v>
      </c>
      <c r="K718">
        <v>188925995936.80701</v>
      </c>
      <c r="L718">
        <v>17658.947301119199</v>
      </c>
      <c r="M718">
        <v>-1.2479835558140799</v>
      </c>
      <c r="N718">
        <v>-9.0040436420214593</v>
      </c>
      <c r="O718" s="39">
        <v>41.83</v>
      </c>
      <c r="P718" s="39">
        <v>1398</v>
      </c>
      <c r="Q718" s="39">
        <v>275</v>
      </c>
      <c r="R718" s="39">
        <v>25.82</v>
      </c>
    </row>
    <row r="719" spans="1:18" x14ac:dyDescent="0.25">
      <c r="A719" s="1" t="s">
        <v>427</v>
      </c>
      <c r="B719" s="2">
        <v>450</v>
      </c>
      <c r="C719" s="19">
        <v>45.8</v>
      </c>
      <c r="D719" s="3" t="s">
        <v>496</v>
      </c>
      <c r="E719" s="4" t="s">
        <v>18</v>
      </c>
      <c r="F719" s="23">
        <v>557773</v>
      </c>
      <c r="G719" s="35">
        <v>2014</v>
      </c>
      <c r="H719">
        <f>Table_8[[#This Row],[Listing Price (USD)]]/10000</f>
        <v>55.777299999999997</v>
      </c>
      <c r="I719">
        <f>Table_8[[#This Row],[Length 
(ft)]]</f>
        <v>45.8</v>
      </c>
      <c r="J719" s="37">
        <f>2020-Table_8[[#This Row],[Year]]</f>
        <v>6</v>
      </c>
      <c r="K719">
        <v>188925995936.80701</v>
      </c>
      <c r="L719">
        <v>17658.947301119199</v>
      </c>
      <c r="M719">
        <v>-1.2479835558140799</v>
      </c>
      <c r="N719">
        <v>-9.0040436420214593</v>
      </c>
      <c r="O719" s="39">
        <v>41.83</v>
      </c>
      <c r="P719" s="39">
        <v>1398</v>
      </c>
      <c r="Q719" s="39">
        <v>275</v>
      </c>
      <c r="R719" s="39">
        <v>25.82</v>
      </c>
    </row>
    <row r="720" spans="1:18" x14ac:dyDescent="0.25">
      <c r="A720" s="1" t="s">
        <v>427</v>
      </c>
      <c r="B720" s="2">
        <v>450</v>
      </c>
      <c r="C720" s="19">
        <v>45.8</v>
      </c>
      <c r="D720" s="3" t="s">
        <v>496</v>
      </c>
      <c r="E720" s="4" t="s">
        <v>237</v>
      </c>
      <c r="F720" s="23">
        <v>582600</v>
      </c>
      <c r="G720" s="35">
        <v>2017</v>
      </c>
      <c r="H720">
        <f>Table_8[[#This Row],[Listing Price (USD)]]/10000</f>
        <v>58.26</v>
      </c>
      <c r="I720">
        <f>Table_8[[#This Row],[Length 
(ft)]]</f>
        <v>45.8</v>
      </c>
      <c r="J720" s="37">
        <f>2020-Table_8[[#This Row],[Year]]</f>
        <v>3</v>
      </c>
      <c r="K720">
        <v>229031860520.77701</v>
      </c>
      <c r="L720">
        <v>22242.406417972001</v>
      </c>
      <c r="M720">
        <v>-1.2438329957616699E-2</v>
      </c>
      <c r="N720">
        <v>-8.3005160422115107</v>
      </c>
      <c r="O720" s="39">
        <v>41.83</v>
      </c>
      <c r="P720" s="39">
        <v>1398</v>
      </c>
      <c r="Q720" s="39">
        <v>275</v>
      </c>
      <c r="R720" s="39">
        <v>25.82</v>
      </c>
    </row>
    <row r="721" spans="1:18" x14ac:dyDescent="0.25">
      <c r="A721" s="1" t="s">
        <v>427</v>
      </c>
      <c r="B721" s="2">
        <v>450</v>
      </c>
      <c r="C721" s="19">
        <v>45.8</v>
      </c>
      <c r="D721" s="3" t="s">
        <v>497</v>
      </c>
      <c r="E721" s="3" t="s">
        <v>370</v>
      </c>
      <c r="F721" s="23">
        <v>590000</v>
      </c>
      <c r="G721" s="35">
        <v>2019</v>
      </c>
      <c r="H721">
        <f>Table_8[[#This Row],[Listing Price (USD)]]/10000</f>
        <v>59</v>
      </c>
      <c r="I721">
        <f>Table_8[[#This Row],[Length 
(ft)]]</f>
        <v>45.8</v>
      </c>
      <c r="J721" s="37">
        <f>2020-Table_8[[#This Row],[Year]]</f>
        <v>1</v>
      </c>
      <c r="K721">
        <v>681973374534.10596</v>
      </c>
      <c r="L721">
        <v>27575.495000325591</v>
      </c>
      <c r="M721">
        <v>0.8848420113691905</v>
      </c>
      <c r="N721">
        <v>-6.3525291034127971</v>
      </c>
      <c r="O721" s="39">
        <v>41.83</v>
      </c>
      <c r="P721" s="39">
        <v>1398</v>
      </c>
      <c r="Q721" s="39">
        <v>275</v>
      </c>
      <c r="R721" s="39">
        <v>25.82</v>
      </c>
    </row>
    <row r="722" spans="1:18" x14ac:dyDescent="0.25">
      <c r="A722" s="1" t="s">
        <v>427</v>
      </c>
      <c r="B722" s="2">
        <v>450</v>
      </c>
      <c r="C722" s="19">
        <v>45.8</v>
      </c>
      <c r="D722" s="3" t="s">
        <v>496</v>
      </c>
      <c r="E722" s="4" t="s">
        <v>3</v>
      </c>
      <c r="F722" s="23">
        <v>594150</v>
      </c>
      <c r="G722" s="35">
        <v>2019</v>
      </c>
      <c r="H722">
        <f>Table_8[[#This Row],[Listing Price (USD)]]/10000</f>
        <v>59.414999999999999</v>
      </c>
      <c r="I722">
        <f>Table_8[[#This Row],[Length 
(ft)]]</f>
        <v>45.8</v>
      </c>
      <c r="J722" s="37">
        <f>2020-Table_8[[#This Row],[Year]]</f>
        <v>1</v>
      </c>
      <c r="K722">
        <v>2639008701648.2598</v>
      </c>
      <c r="L722">
        <v>39055.282928075401</v>
      </c>
      <c r="M722">
        <v>0.47649885272508302</v>
      </c>
      <c r="N722">
        <v>-7.7845864916787102</v>
      </c>
      <c r="O722" s="39">
        <v>41.83</v>
      </c>
      <c r="P722" s="39">
        <v>1398</v>
      </c>
      <c r="Q722" s="39">
        <v>275</v>
      </c>
      <c r="R722" s="39">
        <v>25.82</v>
      </c>
    </row>
    <row r="723" spans="1:18" x14ac:dyDescent="0.25">
      <c r="A723" s="1" t="s">
        <v>427</v>
      </c>
      <c r="B723" s="2">
        <v>450</v>
      </c>
      <c r="C723" s="19">
        <v>45.8</v>
      </c>
      <c r="D723" s="3" t="s">
        <v>497</v>
      </c>
      <c r="E723" s="3" t="s">
        <v>498</v>
      </c>
      <c r="F723" s="23">
        <v>599000</v>
      </c>
      <c r="G723" s="35">
        <v>2019</v>
      </c>
      <c r="H723">
        <f>Table_8[[#This Row],[Listing Price (USD)]]/10000</f>
        <v>59.9</v>
      </c>
      <c r="I723">
        <f>Table_8[[#This Row],[Length 
(ft)]]</f>
        <v>45.8</v>
      </c>
      <c r="J723" s="37">
        <f>2020-Table_8[[#This Row],[Year]]</f>
        <v>1</v>
      </c>
      <c r="K723">
        <v>1090515389749.41</v>
      </c>
      <c r="L723">
        <v>8655.0006820680301</v>
      </c>
      <c r="M723">
        <v>3.3968341556999899</v>
      </c>
      <c r="N723">
        <v>-7.9879123401474903</v>
      </c>
      <c r="O723" s="39">
        <v>41.83</v>
      </c>
      <c r="P723" s="39">
        <v>1398</v>
      </c>
      <c r="Q723" s="39">
        <v>275</v>
      </c>
      <c r="R723" s="39">
        <v>25.82</v>
      </c>
    </row>
    <row r="724" spans="1:18" x14ac:dyDescent="0.25">
      <c r="A724" s="1" t="s">
        <v>427</v>
      </c>
      <c r="B724" s="2">
        <v>450</v>
      </c>
      <c r="C724" s="19">
        <v>45.8</v>
      </c>
      <c r="D724" s="3" t="s">
        <v>496</v>
      </c>
      <c r="E724" s="4" t="s">
        <v>18</v>
      </c>
      <c r="F724" s="23">
        <v>600212</v>
      </c>
      <c r="G724" s="35">
        <v>2018</v>
      </c>
      <c r="H724">
        <f>Table_8[[#This Row],[Listing Price (USD)]]/10000</f>
        <v>60.0212</v>
      </c>
      <c r="I724">
        <f>Table_8[[#This Row],[Length 
(ft)]]</f>
        <v>45.8</v>
      </c>
      <c r="J724" s="37">
        <f>2020-Table_8[[#This Row],[Year]]</f>
        <v>2</v>
      </c>
      <c r="K724">
        <v>188925995936.80701</v>
      </c>
      <c r="L724">
        <v>17658.947301119199</v>
      </c>
      <c r="M724">
        <v>-1.2479835558140799</v>
      </c>
      <c r="N724">
        <v>-9.0040436420214593</v>
      </c>
      <c r="O724" s="39">
        <v>41.83</v>
      </c>
      <c r="P724" s="39">
        <v>1398</v>
      </c>
      <c r="Q724" s="39">
        <v>275</v>
      </c>
      <c r="R724" s="39">
        <v>25.82</v>
      </c>
    </row>
    <row r="725" spans="1:18" x14ac:dyDescent="0.25">
      <c r="A725" s="1" t="s">
        <v>427</v>
      </c>
      <c r="B725" s="2">
        <v>450</v>
      </c>
      <c r="C725" s="19">
        <v>45.8</v>
      </c>
      <c r="D725" s="3" t="s">
        <v>496</v>
      </c>
      <c r="E725" s="4" t="s">
        <v>18</v>
      </c>
      <c r="F725" s="23">
        <v>600212</v>
      </c>
      <c r="G725" s="35">
        <v>2018</v>
      </c>
      <c r="H725">
        <f>Table_8[[#This Row],[Listing Price (USD)]]/10000</f>
        <v>60.0212</v>
      </c>
      <c r="I725">
        <f>Table_8[[#This Row],[Length 
(ft)]]</f>
        <v>45.8</v>
      </c>
      <c r="J725" s="37">
        <f>2020-Table_8[[#This Row],[Year]]</f>
        <v>2</v>
      </c>
      <c r="K725">
        <v>188925995936.80701</v>
      </c>
      <c r="L725">
        <v>17658.947301119199</v>
      </c>
      <c r="M725">
        <v>-1.2479835558140799</v>
      </c>
      <c r="N725">
        <v>-9.0040436420214593</v>
      </c>
      <c r="O725" s="39">
        <v>41.83</v>
      </c>
      <c r="P725" s="39">
        <v>1398</v>
      </c>
      <c r="Q725" s="39">
        <v>275</v>
      </c>
      <c r="R725" s="39">
        <v>25.82</v>
      </c>
    </row>
    <row r="726" spans="1:18" x14ac:dyDescent="0.25">
      <c r="A726" s="1" t="s">
        <v>427</v>
      </c>
      <c r="B726" s="2">
        <v>450</v>
      </c>
      <c r="C726" s="19">
        <v>45.8</v>
      </c>
      <c r="D726" s="3" t="s">
        <v>496</v>
      </c>
      <c r="E726" s="4" t="s">
        <v>18</v>
      </c>
      <c r="F726" s="23">
        <v>601193</v>
      </c>
      <c r="G726" s="35">
        <v>2018</v>
      </c>
      <c r="H726">
        <f>Table_8[[#This Row],[Listing Price (USD)]]/10000</f>
        <v>60.119300000000003</v>
      </c>
      <c r="I726">
        <f>Table_8[[#This Row],[Length 
(ft)]]</f>
        <v>45.8</v>
      </c>
      <c r="J726" s="37">
        <f>2020-Table_8[[#This Row],[Year]]</f>
        <v>2</v>
      </c>
      <c r="K726">
        <v>188925995936.80701</v>
      </c>
      <c r="L726">
        <v>17658.947301119199</v>
      </c>
      <c r="M726">
        <v>-1.2479835558140799</v>
      </c>
      <c r="N726">
        <v>-9.0040436420214593</v>
      </c>
      <c r="O726" s="39">
        <v>41.83</v>
      </c>
      <c r="P726" s="39">
        <v>1398</v>
      </c>
      <c r="Q726" s="39">
        <v>275</v>
      </c>
      <c r="R726" s="39">
        <v>25.82</v>
      </c>
    </row>
    <row r="727" spans="1:18" x14ac:dyDescent="0.25">
      <c r="A727" s="1" t="s">
        <v>427</v>
      </c>
      <c r="B727" s="2">
        <v>450</v>
      </c>
      <c r="C727" s="19">
        <v>45.8</v>
      </c>
      <c r="D727" s="3" t="s">
        <v>497</v>
      </c>
      <c r="E727" s="3" t="s">
        <v>498</v>
      </c>
      <c r="F727" s="23">
        <v>650000</v>
      </c>
      <c r="G727" s="35">
        <v>2016</v>
      </c>
      <c r="H727">
        <f>Table_8[[#This Row],[Listing Price (USD)]]/10000</f>
        <v>65</v>
      </c>
      <c r="I727">
        <f>Table_8[[#This Row],[Length 
(ft)]]</f>
        <v>45.8</v>
      </c>
      <c r="J727" s="37">
        <f>2020-Table_8[[#This Row],[Year]]</f>
        <v>4</v>
      </c>
      <c r="K727">
        <v>1090515389749.41</v>
      </c>
      <c r="L727">
        <v>8655.0006820680301</v>
      </c>
      <c r="M727">
        <v>3.3968341556999899</v>
      </c>
      <c r="N727">
        <v>-7.9879123401474903</v>
      </c>
      <c r="O727" s="39">
        <v>41.83</v>
      </c>
      <c r="P727" s="39">
        <v>1398</v>
      </c>
      <c r="Q727" s="39">
        <v>275</v>
      </c>
      <c r="R727" s="39">
        <v>25.82</v>
      </c>
    </row>
    <row r="728" spans="1:18" x14ac:dyDescent="0.25">
      <c r="A728" s="1" t="s">
        <v>427</v>
      </c>
      <c r="B728" s="2">
        <v>450</v>
      </c>
      <c r="C728" s="19">
        <v>45.8</v>
      </c>
      <c r="D728" s="3" t="s">
        <v>497</v>
      </c>
      <c r="E728" s="3" t="s">
        <v>370</v>
      </c>
      <c r="F728" s="23">
        <v>665000</v>
      </c>
      <c r="G728" s="35">
        <v>2019</v>
      </c>
      <c r="H728">
        <f>Table_8[[#This Row],[Listing Price (USD)]]/10000</f>
        <v>66.5</v>
      </c>
      <c r="I728">
        <f>Table_8[[#This Row],[Length 
(ft)]]</f>
        <v>45.8</v>
      </c>
      <c r="J728" s="37">
        <f>2020-Table_8[[#This Row],[Year]]</f>
        <v>1</v>
      </c>
      <c r="K728">
        <v>681973374534.10596</v>
      </c>
      <c r="L728">
        <v>27575.495000325591</v>
      </c>
      <c r="M728">
        <v>0.8848420113691905</v>
      </c>
      <c r="N728">
        <v>-6.3525291034127971</v>
      </c>
      <c r="O728" s="39">
        <v>41.83</v>
      </c>
      <c r="P728" s="39">
        <v>1398</v>
      </c>
      <c r="Q728" s="39">
        <v>275</v>
      </c>
      <c r="R728" s="39">
        <v>25.82</v>
      </c>
    </row>
    <row r="729" spans="1:18" x14ac:dyDescent="0.25">
      <c r="A729" s="1" t="s">
        <v>427</v>
      </c>
      <c r="B729" s="2">
        <v>450</v>
      </c>
      <c r="C729" s="19">
        <v>45.8</v>
      </c>
      <c r="D729" s="3" t="s">
        <v>497</v>
      </c>
      <c r="E729" s="3" t="s">
        <v>370</v>
      </c>
      <c r="F729" s="23">
        <v>666903</v>
      </c>
      <c r="G729" s="35">
        <v>2019</v>
      </c>
      <c r="H729">
        <f>Table_8[[#This Row],[Listing Price (USD)]]/10000</f>
        <v>66.690299999999993</v>
      </c>
      <c r="I729">
        <f>Table_8[[#This Row],[Length 
(ft)]]</f>
        <v>45.8</v>
      </c>
      <c r="J729" s="37">
        <f>2020-Table_8[[#This Row],[Year]]</f>
        <v>1</v>
      </c>
      <c r="K729">
        <v>681973374534.10596</v>
      </c>
      <c r="L729">
        <v>27575.495000325591</v>
      </c>
      <c r="M729">
        <v>0.8848420113691905</v>
      </c>
      <c r="N729">
        <v>-6.3525291034127971</v>
      </c>
      <c r="O729" s="39">
        <v>41.83</v>
      </c>
      <c r="P729" s="39">
        <v>1398</v>
      </c>
      <c r="Q729" s="39">
        <v>275</v>
      </c>
      <c r="R729" s="39">
        <v>25.82</v>
      </c>
    </row>
    <row r="730" spans="1:18" x14ac:dyDescent="0.25">
      <c r="A730" s="1" t="s">
        <v>427</v>
      </c>
      <c r="B730" s="2">
        <v>450</v>
      </c>
      <c r="C730" s="19">
        <v>45.8</v>
      </c>
      <c r="D730" s="3" t="s">
        <v>496</v>
      </c>
      <c r="E730" s="4" t="s">
        <v>63</v>
      </c>
      <c r="F730" s="23">
        <v>666903</v>
      </c>
      <c r="G730" s="35">
        <v>2019</v>
      </c>
      <c r="H730">
        <f>Table_8[[#This Row],[Listing Price (USD)]]/10000</f>
        <v>66.690299999999993</v>
      </c>
      <c r="I730">
        <f>Table_8[[#This Row],[Length 
(ft)]]</f>
        <v>45.8</v>
      </c>
      <c r="J730" s="37">
        <f>2020-Table_8[[#This Row],[Year]]</f>
        <v>1</v>
      </c>
      <c r="K730">
        <v>720290000000</v>
      </c>
      <c r="L730">
        <v>13341.6</v>
      </c>
      <c r="M730">
        <v>13</v>
      </c>
      <c r="N730">
        <v>-3</v>
      </c>
      <c r="O730" s="39">
        <v>41.83</v>
      </c>
      <c r="P730" s="39">
        <v>1398</v>
      </c>
      <c r="Q730" s="39">
        <v>275</v>
      </c>
      <c r="R730" s="39">
        <v>25.82</v>
      </c>
    </row>
    <row r="731" spans="1:18" x14ac:dyDescent="0.25">
      <c r="A731" s="1" t="s">
        <v>427</v>
      </c>
      <c r="B731" s="3">
        <v>450</v>
      </c>
      <c r="C731" s="19">
        <v>45.8</v>
      </c>
      <c r="D731" s="3" t="s">
        <v>497</v>
      </c>
      <c r="E731" s="3" t="s">
        <v>370</v>
      </c>
      <c r="F731" s="23">
        <v>668327</v>
      </c>
      <c r="G731" s="35">
        <v>2019</v>
      </c>
      <c r="H731">
        <f>Table_8[[#This Row],[Listing Price (USD)]]/10000</f>
        <v>66.832700000000003</v>
      </c>
      <c r="I731">
        <f>Table_8[[#This Row],[Length 
(ft)]]</f>
        <v>45.8</v>
      </c>
      <c r="J731" s="37">
        <f>2020-Table_8[[#This Row],[Year]]</f>
        <v>1</v>
      </c>
      <c r="K731">
        <v>681973374534.10596</v>
      </c>
      <c r="L731">
        <v>27575.495000325591</v>
      </c>
      <c r="M731">
        <v>0.8848420113691905</v>
      </c>
      <c r="N731">
        <v>-6.3525291034127971</v>
      </c>
      <c r="O731" s="39">
        <v>41.83</v>
      </c>
      <c r="P731" s="39">
        <v>1398</v>
      </c>
      <c r="Q731" s="39">
        <v>275</v>
      </c>
      <c r="R731" s="39">
        <v>25.82</v>
      </c>
    </row>
    <row r="732" spans="1:18" x14ac:dyDescent="0.25">
      <c r="A732" s="1" t="s">
        <v>427</v>
      </c>
      <c r="B732" s="3">
        <v>450</v>
      </c>
      <c r="C732" s="19">
        <v>45.8</v>
      </c>
      <c r="D732" s="3" t="s">
        <v>497</v>
      </c>
      <c r="E732" s="3" t="s">
        <v>370</v>
      </c>
      <c r="F732" s="23">
        <v>699635</v>
      </c>
      <c r="G732" s="35">
        <v>2019</v>
      </c>
      <c r="H732">
        <f>Table_8[[#This Row],[Listing Price (USD)]]/10000</f>
        <v>69.963499999999996</v>
      </c>
      <c r="I732">
        <f>Table_8[[#This Row],[Length 
(ft)]]</f>
        <v>45.8</v>
      </c>
      <c r="J732" s="37">
        <f>2020-Table_8[[#This Row],[Year]]</f>
        <v>1</v>
      </c>
      <c r="K732">
        <v>681973374534.10596</v>
      </c>
      <c r="L732">
        <v>27575.495000325591</v>
      </c>
      <c r="M732">
        <v>0.8848420113691905</v>
      </c>
      <c r="N732">
        <v>-6.3525291034127971</v>
      </c>
      <c r="O732" s="39">
        <v>41.83</v>
      </c>
      <c r="P732" s="39">
        <v>1398</v>
      </c>
      <c r="Q732" s="39">
        <v>275</v>
      </c>
      <c r="R732" s="39">
        <v>25.82</v>
      </c>
    </row>
    <row r="733" spans="1:18" x14ac:dyDescent="0.25">
      <c r="A733" s="1" t="s">
        <v>427</v>
      </c>
      <c r="B733" s="2">
        <v>450</v>
      </c>
      <c r="C733" s="19">
        <v>45.8</v>
      </c>
      <c r="D733" s="3" t="s">
        <v>497</v>
      </c>
      <c r="E733" s="3" t="s">
        <v>370</v>
      </c>
      <c r="F733" s="23">
        <v>702976</v>
      </c>
      <c r="G733" s="35">
        <v>2019</v>
      </c>
      <c r="H733">
        <f>Table_8[[#This Row],[Listing Price (USD)]]/10000</f>
        <v>70.297600000000003</v>
      </c>
      <c r="I733">
        <f>Table_8[[#This Row],[Length 
(ft)]]</f>
        <v>45.8</v>
      </c>
      <c r="J733" s="37">
        <f>2020-Table_8[[#This Row],[Year]]</f>
        <v>1</v>
      </c>
      <c r="K733">
        <v>681973374534.10596</v>
      </c>
      <c r="L733">
        <v>27575.495000325591</v>
      </c>
      <c r="M733">
        <v>0.8848420113691905</v>
      </c>
      <c r="N733">
        <v>-6.3525291034127971</v>
      </c>
      <c r="O733" s="39">
        <v>41.83</v>
      </c>
      <c r="P733" s="39">
        <v>1398</v>
      </c>
      <c r="Q733" s="39">
        <v>275</v>
      </c>
      <c r="R733" s="39">
        <v>25.82</v>
      </c>
    </row>
    <row r="734" spans="1:18" x14ac:dyDescent="0.25">
      <c r="A734" s="1" t="s">
        <v>467</v>
      </c>
      <c r="B734" s="3">
        <v>495</v>
      </c>
      <c r="C734" s="19">
        <v>47</v>
      </c>
      <c r="D734" s="3" t="s">
        <v>497</v>
      </c>
      <c r="E734" s="3" t="s">
        <v>483</v>
      </c>
      <c r="F734" s="23">
        <v>386414</v>
      </c>
      <c r="G734" s="35">
        <v>2008</v>
      </c>
      <c r="H734">
        <f>Table_8[[#This Row],[Listing Price (USD)]]/10000</f>
        <v>38.641399999999997</v>
      </c>
      <c r="I734">
        <f>Table_8[[#This Row],[Length 
(ft)]]</f>
        <v>47</v>
      </c>
      <c r="J734" s="37">
        <f>2020-Table_8[[#This Row],[Year]]</f>
        <v>12</v>
      </c>
      <c r="K734">
        <v>4200000000</v>
      </c>
      <c r="L734">
        <v>39553.199999999997</v>
      </c>
      <c r="M734">
        <v>2.5</v>
      </c>
      <c r="N734">
        <v>-2.1</v>
      </c>
      <c r="O734" s="39">
        <v>49</v>
      </c>
      <c r="P734" s="39">
        <v>1193</v>
      </c>
      <c r="Q734" s="39">
        <v>254</v>
      </c>
      <c r="R734" s="39">
        <v>28</v>
      </c>
    </row>
    <row r="735" spans="1:18" x14ac:dyDescent="0.25">
      <c r="A735" s="1" t="s">
        <v>467</v>
      </c>
      <c r="B735" s="2">
        <v>495</v>
      </c>
      <c r="C735" s="19">
        <v>47</v>
      </c>
      <c r="D735" s="3" t="s">
        <v>497</v>
      </c>
      <c r="E735" s="3" t="s">
        <v>483</v>
      </c>
      <c r="F735" s="23">
        <v>386665</v>
      </c>
      <c r="G735" s="35">
        <v>2008</v>
      </c>
      <c r="H735">
        <f>Table_8[[#This Row],[Listing Price (USD)]]/10000</f>
        <v>38.666499999999999</v>
      </c>
      <c r="I735">
        <f>Table_8[[#This Row],[Length 
(ft)]]</f>
        <v>47</v>
      </c>
      <c r="J735" s="37">
        <f>2020-Table_8[[#This Row],[Year]]</f>
        <v>12</v>
      </c>
      <c r="K735">
        <v>4200000000</v>
      </c>
      <c r="L735">
        <v>39553.199999999997</v>
      </c>
      <c r="M735">
        <v>2.5</v>
      </c>
      <c r="N735">
        <v>-2.1</v>
      </c>
      <c r="O735" s="39">
        <v>49</v>
      </c>
      <c r="P735" s="39">
        <v>1193</v>
      </c>
      <c r="Q735" s="39">
        <v>254</v>
      </c>
      <c r="R735" s="39">
        <v>28</v>
      </c>
    </row>
    <row r="736" spans="1:18" x14ac:dyDescent="0.25">
      <c r="A736" s="1" t="s">
        <v>467</v>
      </c>
      <c r="B736" s="2">
        <v>495</v>
      </c>
      <c r="C736" s="19">
        <v>47</v>
      </c>
      <c r="D736" s="3" t="s">
        <v>495</v>
      </c>
      <c r="E736" s="3" t="s">
        <v>527</v>
      </c>
      <c r="F736" s="23">
        <v>429900</v>
      </c>
      <c r="G736" s="35">
        <v>2007</v>
      </c>
      <c r="H736">
        <f>Table_8[[#This Row],[Listing Price (USD)]]/10000</f>
        <v>42.99</v>
      </c>
      <c r="I736">
        <f>Table_8[[#This Row],[Length 
(ft)]]</f>
        <v>47</v>
      </c>
      <c r="J736" s="37">
        <f>2020-Table_8[[#This Row],[Year]]</f>
        <v>13</v>
      </c>
      <c r="K736">
        <v>582477000000</v>
      </c>
      <c r="L736">
        <v>82947.67</v>
      </c>
      <c r="M736">
        <v>1.23</v>
      </c>
      <c r="N736">
        <v>2.7</v>
      </c>
      <c r="O736" s="39">
        <v>49</v>
      </c>
      <c r="P736" s="39">
        <v>1193</v>
      </c>
      <c r="Q736" s="39">
        <v>254</v>
      </c>
      <c r="R736" s="39">
        <v>28</v>
      </c>
    </row>
    <row r="737" spans="1:18" x14ac:dyDescent="0.25">
      <c r="A737" s="1" t="s">
        <v>467</v>
      </c>
      <c r="B737" s="3">
        <v>495</v>
      </c>
      <c r="C737" s="19">
        <v>47</v>
      </c>
      <c r="D737" s="3" t="s">
        <v>497</v>
      </c>
      <c r="E737" s="3" t="s">
        <v>483</v>
      </c>
      <c r="F737" s="23">
        <v>449602</v>
      </c>
      <c r="G737" s="35">
        <v>2008</v>
      </c>
      <c r="H737">
        <f>Table_8[[#This Row],[Listing Price (USD)]]/10000</f>
        <v>44.9602</v>
      </c>
      <c r="I737">
        <f>Table_8[[#This Row],[Length 
(ft)]]</f>
        <v>47</v>
      </c>
      <c r="J737" s="37">
        <f>2020-Table_8[[#This Row],[Year]]</f>
        <v>12</v>
      </c>
      <c r="K737">
        <v>4200000000</v>
      </c>
      <c r="L737">
        <v>39553.199999999997</v>
      </c>
      <c r="M737">
        <v>2.5</v>
      </c>
      <c r="N737">
        <v>-2.1</v>
      </c>
      <c r="O737" s="39">
        <v>49</v>
      </c>
      <c r="P737" s="39">
        <v>1193</v>
      </c>
      <c r="Q737" s="39">
        <v>254</v>
      </c>
      <c r="R737" s="39">
        <v>28</v>
      </c>
    </row>
    <row r="738" spans="1:18" x14ac:dyDescent="0.25">
      <c r="A738" s="1" t="s">
        <v>467</v>
      </c>
      <c r="B738" s="2">
        <v>495</v>
      </c>
      <c r="C738" s="19">
        <v>47</v>
      </c>
      <c r="D738" s="3" t="s">
        <v>497</v>
      </c>
      <c r="E738" s="3" t="s">
        <v>483</v>
      </c>
      <c r="F738" s="23">
        <v>449893</v>
      </c>
      <c r="G738" s="35">
        <v>2008</v>
      </c>
      <c r="H738">
        <f>Table_8[[#This Row],[Listing Price (USD)]]/10000</f>
        <v>44.9893</v>
      </c>
      <c r="I738">
        <f>Table_8[[#This Row],[Length 
(ft)]]</f>
        <v>47</v>
      </c>
      <c r="J738" s="37">
        <f>2020-Table_8[[#This Row],[Year]]</f>
        <v>12</v>
      </c>
      <c r="K738">
        <v>4200000000</v>
      </c>
      <c r="L738">
        <v>39553.199999999997</v>
      </c>
      <c r="M738">
        <v>2.5</v>
      </c>
      <c r="N738">
        <v>-2.1</v>
      </c>
      <c r="O738" s="39">
        <v>49</v>
      </c>
      <c r="P738" s="39">
        <v>1193</v>
      </c>
      <c r="Q738" s="39">
        <v>254</v>
      </c>
      <c r="R738" s="39">
        <v>28</v>
      </c>
    </row>
    <row r="739" spans="1:18" x14ac:dyDescent="0.25">
      <c r="A739" s="1" t="s">
        <v>472</v>
      </c>
      <c r="B739" s="2">
        <v>500</v>
      </c>
      <c r="C739" s="19">
        <v>50</v>
      </c>
      <c r="D739" s="3" t="s">
        <v>495</v>
      </c>
      <c r="E739" s="3" t="s">
        <v>333</v>
      </c>
      <c r="F739" s="23">
        <v>365000</v>
      </c>
      <c r="G739" s="35">
        <v>2008</v>
      </c>
      <c r="H739">
        <f>Table_8[[#This Row],[Listing Price (USD)]]/10000</f>
        <v>36.5</v>
      </c>
      <c r="I739">
        <f>Table_8[[#This Row],[Length 
(ft)]]</f>
        <v>50</v>
      </c>
      <c r="J739" s="37">
        <f>2020-Table_8[[#This Row],[Year]]</f>
        <v>12</v>
      </c>
      <c r="K739">
        <v>1106036000000</v>
      </c>
      <c r="L739">
        <v>51276.72</v>
      </c>
      <c r="M739">
        <v>1.23</v>
      </c>
      <c r="N739">
        <v>2.9</v>
      </c>
      <c r="O739" s="39">
        <v>49</v>
      </c>
      <c r="P739" s="39">
        <v>1193</v>
      </c>
      <c r="Q739" s="39">
        <v>254</v>
      </c>
      <c r="R739" s="39">
        <v>28</v>
      </c>
    </row>
    <row r="740" spans="1:18" x14ac:dyDescent="0.25">
      <c r="A740" s="1" t="s">
        <v>427</v>
      </c>
      <c r="B740" s="2">
        <v>500</v>
      </c>
      <c r="C740" s="19">
        <v>51</v>
      </c>
      <c r="D740" s="3" t="s">
        <v>496</v>
      </c>
      <c r="E740" s="4" t="s">
        <v>24</v>
      </c>
      <c r="F740" s="23">
        <v>411461</v>
      </c>
      <c r="G740" s="35">
        <v>2008</v>
      </c>
      <c r="H740">
        <f>Table_8[[#This Row],[Listing Price (USD)]]/10000</f>
        <v>41.146099999999997</v>
      </c>
      <c r="I740">
        <f>Table_8[[#This Row],[Length 
(ft)]]</f>
        <v>51</v>
      </c>
      <c r="J740" s="37">
        <f>2020-Table_8[[#This Row],[Year]]</f>
        <v>12</v>
      </c>
      <c r="K740">
        <v>1896755301518.1399</v>
      </c>
      <c r="L740">
        <v>31911.0357890017</v>
      </c>
      <c r="M740">
        <v>-0.13770757391656999</v>
      </c>
      <c r="N740">
        <v>-9.0399534112288507</v>
      </c>
      <c r="O740" s="39">
        <v>47.08</v>
      </c>
      <c r="P740" s="39">
        <v>1345.49</v>
      </c>
      <c r="Q740" s="39">
        <v>132</v>
      </c>
      <c r="R740" s="39">
        <v>27</v>
      </c>
    </row>
    <row r="741" spans="1:18" x14ac:dyDescent="0.25">
      <c r="A741" s="1" t="s">
        <v>427</v>
      </c>
      <c r="B741" s="2">
        <v>500</v>
      </c>
      <c r="C741" s="19">
        <v>51</v>
      </c>
      <c r="D741" s="3" t="s">
        <v>496</v>
      </c>
      <c r="E741" s="4" t="s">
        <v>24</v>
      </c>
      <c r="F741" s="23">
        <v>411782</v>
      </c>
      <c r="G741" s="35">
        <v>2008</v>
      </c>
      <c r="H741">
        <f>Table_8[[#This Row],[Listing Price (USD)]]/10000</f>
        <v>41.178199999999997</v>
      </c>
      <c r="I741">
        <f>Table_8[[#This Row],[Length 
(ft)]]</f>
        <v>51</v>
      </c>
      <c r="J741" s="37">
        <f>2020-Table_8[[#This Row],[Year]]</f>
        <v>12</v>
      </c>
      <c r="K741">
        <v>1896755301518.1399</v>
      </c>
      <c r="L741">
        <v>31911.0357890017</v>
      </c>
      <c r="M741">
        <v>-0.13770757391656999</v>
      </c>
      <c r="N741">
        <v>-9.0399534112288507</v>
      </c>
      <c r="O741" s="39">
        <v>49</v>
      </c>
      <c r="P741" s="39">
        <v>1193</v>
      </c>
      <c r="Q741" s="39">
        <v>254</v>
      </c>
      <c r="R741" s="39">
        <v>28</v>
      </c>
    </row>
    <row r="742" spans="1:18" x14ac:dyDescent="0.25">
      <c r="A742" s="1" t="s">
        <v>427</v>
      </c>
      <c r="B742" s="2">
        <v>500</v>
      </c>
      <c r="C742" s="19">
        <v>51</v>
      </c>
      <c r="D742" s="3" t="s">
        <v>496</v>
      </c>
      <c r="E742" s="4" t="s">
        <v>24</v>
      </c>
      <c r="F742" s="23">
        <v>412675</v>
      </c>
      <c r="G742" s="35">
        <v>2008</v>
      </c>
      <c r="H742">
        <f>Table_8[[#This Row],[Listing Price (USD)]]/10000</f>
        <v>41.267499999999998</v>
      </c>
      <c r="I742">
        <f>Table_8[[#This Row],[Length 
(ft)]]</f>
        <v>51</v>
      </c>
      <c r="J742" s="37">
        <f>2020-Table_8[[#This Row],[Year]]</f>
        <v>12</v>
      </c>
      <c r="K742">
        <v>1896755301518.1399</v>
      </c>
      <c r="L742">
        <v>31911.0357890017</v>
      </c>
      <c r="M742">
        <v>-0.13770757391656999</v>
      </c>
      <c r="N742">
        <v>-9.0399534112288507</v>
      </c>
      <c r="O742" s="39">
        <v>49</v>
      </c>
      <c r="P742" s="39">
        <v>1193</v>
      </c>
      <c r="Q742" s="39">
        <v>254</v>
      </c>
      <c r="R742" s="39">
        <v>28</v>
      </c>
    </row>
    <row r="743" spans="1:18" x14ac:dyDescent="0.25">
      <c r="A743" s="1" t="s">
        <v>427</v>
      </c>
      <c r="B743" s="2">
        <v>500</v>
      </c>
      <c r="C743" s="19">
        <v>51</v>
      </c>
      <c r="D743" s="3" t="s">
        <v>496</v>
      </c>
      <c r="E743" s="4" t="s">
        <v>24</v>
      </c>
      <c r="F743" s="23">
        <v>412997</v>
      </c>
      <c r="G743" s="35">
        <v>2008</v>
      </c>
      <c r="H743">
        <f>Table_8[[#This Row],[Listing Price (USD)]]/10000</f>
        <v>41.299700000000001</v>
      </c>
      <c r="I743">
        <f>Table_8[[#This Row],[Length 
(ft)]]</f>
        <v>51</v>
      </c>
      <c r="J743" s="37">
        <f>2020-Table_8[[#This Row],[Year]]</f>
        <v>12</v>
      </c>
      <c r="K743">
        <v>1896755301518.1399</v>
      </c>
      <c r="L743">
        <v>31911.0357890017</v>
      </c>
      <c r="M743">
        <v>-0.13770757391656999</v>
      </c>
      <c r="N743">
        <v>-9.0399534112288507</v>
      </c>
      <c r="O743" s="39">
        <v>49</v>
      </c>
      <c r="P743" s="39">
        <v>1193</v>
      </c>
      <c r="Q743" s="39">
        <v>254</v>
      </c>
      <c r="R743" s="39">
        <v>28</v>
      </c>
    </row>
    <row r="744" spans="1:18" x14ac:dyDescent="0.25">
      <c r="A744" s="1" t="s">
        <v>427</v>
      </c>
      <c r="B744" s="2">
        <v>500</v>
      </c>
      <c r="C744" s="19">
        <v>51</v>
      </c>
      <c r="D744" s="3" t="s">
        <v>496</v>
      </c>
      <c r="E744" s="4" t="s">
        <v>18</v>
      </c>
      <c r="F744" s="23">
        <v>418330</v>
      </c>
      <c r="G744" s="35">
        <v>2006</v>
      </c>
      <c r="H744">
        <f>Table_8[[#This Row],[Listing Price (USD)]]/10000</f>
        <v>41.832999999999998</v>
      </c>
      <c r="I744">
        <f>Table_8[[#This Row],[Length 
(ft)]]</f>
        <v>51</v>
      </c>
      <c r="J744" s="37">
        <f>2020-Table_8[[#This Row],[Year]]</f>
        <v>14</v>
      </c>
      <c r="K744">
        <v>188925995936.80701</v>
      </c>
      <c r="L744">
        <v>17658.947301119199</v>
      </c>
      <c r="M744">
        <v>-1.2479835558140799</v>
      </c>
      <c r="N744">
        <v>-9.0040436420214593</v>
      </c>
      <c r="O744" s="39">
        <v>49</v>
      </c>
      <c r="P744" s="39">
        <v>1193</v>
      </c>
      <c r="Q744" s="39">
        <v>254</v>
      </c>
      <c r="R744" s="39">
        <v>28</v>
      </c>
    </row>
    <row r="745" spans="1:18" x14ac:dyDescent="0.25">
      <c r="A745" s="1" t="s">
        <v>427</v>
      </c>
      <c r="B745" s="2">
        <v>500</v>
      </c>
      <c r="C745" s="19">
        <v>51</v>
      </c>
      <c r="D745" s="3" t="s">
        <v>496</v>
      </c>
      <c r="E745" s="4" t="s">
        <v>18</v>
      </c>
      <c r="F745" s="23">
        <v>423599</v>
      </c>
      <c r="G745" s="35">
        <v>2006</v>
      </c>
      <c r="H745">
        <f>Table_8[[#This Row],[Listing Price (USD)]]/10000</f>
        <v>42.359900000000003</v>
      </c>
      <c r="I745">
        <f>Table_8[[#This Row],[Length 
(ft)]]</f>
        <v>51</v>
      </c>
      <c r="J745" s="37">
        <f>2020-Table_8[[#This Row],[Year]]</f>
        <v>14</v>
      </c>
      <c r="K745">
        <v>188925995936.80701</v>
      </c>
      <c r="L745">
        <v>17658.947301119199</v>
      </c>
      <c r="M745">
        <v>-1.2479835558140799</v>
      </c>
      <c r="N745">
        <v>-9.0040436420214593</v>
      </c>
      <c r="O745" s="39">
        <v>49</v>
      </c>
      <c r="P745" s="39">
        <v>1193</v>
      </c>
      <c r="Q745" s="39">
        <v>254</v>
      </c>
      <c r="R745" s="39">
        <v>28</v>
      </c>
    </row>
    <row r="746" spans="1:18" x14ac:dyDescent="0.25">
      <c r="A746" s="1" t="s">
        <v>427</v>
      </c>
      <c r="B746" s="2">
        <v>500</v>
      </c>
      <c r="C746" s="19">
        <v>51</v>
      </c>
      <c r="D746" s="3" t="s">
        <v>496</v>
      </c>
      <c r="E746" s="4" t="s">
        <v>18</v>
      </c>
      <c r="F746" s="23">
        <v>423929</v>
      </c>
      <c r="G746" s="35">
        <v>2006</v>
      </c>
      <c r="H746">
        <f>Table_8[[#This Row],[Listing Price (USD)]]/10000</f>
        <v>42.392899999999997</v>
      </c>
      <c r="I746">
        <f>Table_8[[#This Row],[Length 
(ft)]]</f>
        <v>51</v>
      </c>
      <c r="J746" s="37">
        <f>2020-Table_8[[#This Row],[Year]]</f>
        <v>14</v>
      </c>
      <c r="K746">
        <v>188925995936.80701</v>
      </c>
      <c r="L746">
        <v>17658.947301119199</v>
      </c>
      <c r="M746">
        <v>-1.2479835558140799</v>
      </c>
      <c r="N746">
        <v>-9.0040436420214593</v>
      </c>
      <c r="O746" s="39">
        <v>49</v>
      </c>
      <c r="P746" s="39">
        <v>1193</v>
      </c>
      <c r="Q746" s="39">
        <v>254</v>
      </c>
      <c r="R746" s="39">
        <v>28</v>
      </c>
    </row>
    <row r="747" spans="1:18" x14ac:dyDescent="0.25">
      <c r="A747" s="1" t="s">
        <v>427</v>
      </c>
      <c r="B747" s="2">
        <v>500</v>
      </c>
      <c r="C747" s="19">
        <v>51</v>
      </c>
      <c r="D747" s="3" t="s">
        <v>495</v>
      </c>
      <c r="E747" s="3" t="s">
        <v>333</v>
      </c>
      <c r="F747" s="23">
        <v>425000</v>
      </c>
      <c r="G747" s="35">
        <v>2009</v>
      </c>
      <c r="H747">
        <f>Table_8[[#This Row],[Listing Price (USD)]]/10000</f>
        <v>42.5</v>
      </c>
      <c r="I747">
        <f>Table_8[[#This Row],[Length 
(ft)]]</f>
        <v>51</v>
      </c>
      <c r="J747" s="37">
        <f>2020-Table_8[[#This Row],[Year]]</f>
        <v>11</v>
      </c>
      <c r="K747">
        <v>1106036000000</v>
      </c>
      <c r="L747">
        <v>51276.72</v>
      </c>
      <c r="M747">
        <v>1.23</v>
      </c>
      <c r="N747">
        <v>2.9</v>
      </c>
      <c r="O747" s="39">
        <v>49</v>
      </c>
      <c r="P747" s="39">
        <v>1193</v>
      </c>
      <c r="Q747" s="39">
        <v>254</v>
      </c>
      <c r="R747" s="39">
        <v>28</v>
      </c>
    </row>
    <row r="748" spans="1:18" x14ac:dyDescent="0.25">
      <c r="A748" s="1" t="s">
        <v>427</v>
      </c>
      <c r="B748" s="2">
        <v>500</v>
      </c>
      <c r="C748" s="19">
        <v>51</v>
      </c>
      <c r="D748" s="3" t="s">
        <v>497</v>
      </c>
      <c r="E748" s="3" t="s">
        <v>525</v>
      </c>
      <c r="F748" s="23">
        <v>443813</v>
      </c>
      <c r="G748" s="35">
        <v>2011</v>
      </c>
      <c r="H748">
        <f>Table_8[[#This Row],[Listing Price (USD)]]/10000</f>
        <v>44.381300000000003</v>
      </c>
      <c r="I748">
        <f>Table_8[[#This Row],[Length 
(ft)]]</f>
        <v>51</v>
      </c>
      <c r="J748" s="37">
        <f>2020-Table_8[[#This Row],[Year]]</f>
        <v>9</v>
      </c>
      <c r="K748">
        <v>4200000000</v>
      </c>
      <c r="L748">
        <v>39553.199999999997</v>
      </c>
      <c r="M748">
        <v>4.0999999999999996</v>
      </c>
      <c r="N748">
        <v>-2.1</v>
      </c>
      <c r="O748" s="39">
        <v>49</v>
      </c>
      <c r="P748" s="39">
        <v>1193</v>
      </c>
      <c r="Q748" s="39">
        <v>254</v>
      </c>
      <c r="R748" s="39">
        <v>28</v>
      </c>
    </row>
    <row r="749" spans="1:18" x14ac:dyDescent="0.25">
      <c r="A749" s="1" t="s">
        <v>427</v>
      </c>
      <c r="B749" s="2">
        <v>500</v>
      </c>
      <c r="C749" s="19">
        <v>51</v>
      </c>
      <c r="D749" s="3" t="s">
        <v>496</v>
      </c>
      <c r="E749" s="4" t="s">
        <v>18</v>
      </c>
      <c r="F749" s="23">
        <v>461225</v>
      </c>
      <c r="G749" s="35">
        <v>2006</v>
      </c>
      <c r="H749">
        <f>Table_8[[#This Row],[Listing Price (USD)]]/10000</f>
        <v>46.122500000000002</v>
      </c>
      <c r="I749">
        <f>Table_8[[#This Row],[Length 
(ft)]]</f>
        <v>51</v>
      </c>
      <c r="J749" s="37">
        <f>2020-Table_8[[#This Row],[Year]]</f>
        <v>14</v>
      </c>
      <c r="K749">
        <v>188925995936.80701</v>
      </c>
      <c r="L749">
        <v>17658.947301119199</v>
      </c>
      <c r="M749">
        <v>-1.2479835558140799</v>
      </c>
      <c r="N749">
        <v>-9.0040436420214593</v>
      </c>
      <c r="O749" s="39">
        <v>49</v>
      </c>
      <c r="P749" s="39">
        <v>1193</v>
      </c>
      <c r="Q749" s="39">
        <v>254</v>
      </c>
      <c r="R749" s="39">
        <v>28</v>
      </c>
    </row>
    <row r="750" spans="1:18" x14ac:dyDescent="0.25">
      <c r="A750" s="1" t="s">
        <v>427</v>
      </c>
      <c r="B750" s="2">
        <v>500</v>
      </c>
      <c r="C750" s="19">
        <v>51</v>
      </c>
      <c r="D750" s="3" t="s">
        <v>496</v>
      </c>
      <c r="E750" s="4" t="s">
        <v>18</v>
      </c>
      <c r="F750" s="23">
        <v>461585</v>
      </c>
      <c r="G750" s="35">
        <v>2006</v>
      </c>
      <c r="H750">
        <f>Table_8[[#This Row],[Listing Price (USD)]]/10000</f>
        <v>46.158499999999997</v>
      </c>
      <c r="I750">
        <f>Table_8[[#This Row],[Length 
(ft)]]</f>
        <v>51</v>
      </c>
      <c r="J750" s="37">
        <f>2020-Table_8[[#This Row],[Year]]</f>
        <v>14</v>
      </c>
      <c r="K750">
        <v>188925995936.80701</v>
      </c>
      <c r="L750">
        <v>17658.947301119199</v>
      </c>
      <c r="M750">
        <v>-1.2479835558140799</v>
      </c>
      <c r="N750">
        <v>-9.0040436420214593</v>
      </c>
      <c r="O750" s="39">
        <v>49</v>
      </c>
      <c r="P750" s="39">
        <v>1193</v>
      </c>
      <c r="Q750" s="39">
        <v>254</v>
      </c>
      <c r="R750" s="39">
        <v>28</v>
      </c>
    </row>
    <row r="751" spans="1:18" x14ac:dyDescent="0.25">
      <c r="A751" s="1" t="s">
        <v>472</v>
      </c>
      <c r="B751" s="2">
        <v>500</v>
      </c>
      <c r="C751" s="19">
        <v>50</v>
      </c>
      <c r="D751" s="3" t="s">
        <v>497</v>
      </c>
      <c r="E751" s="3" t="s">
        <v>370</v>
      </c>
      <c r="F751" s="23">
        <v>465000</v>
      </c>
      <c r="G751" s="35">
        <v>2008</v>
      </c>
      <c r="H751">
        <f>Table_8[[#This Row],[Listing Price (USD)]]/10000</f>
        <v>46.5</v>
      </c>
      <c r="I751">
        <f>Table_8[[#This Row],[Length 
(ft)]]</f>
        <v>50</v>
      </c>
      <c r="J751" s="37">
        <f>2020-Table_8[[#This Row],[Year]]</f>
        <v>12</v>
      </c>
      <c r="K751">
        <v>500000000</v>
      </c>
      <c r="L751">
        <v>34200</v>
      </c>
      <c r="M751">
        <v>1.1000000000000001</v>
      </c>
      <c r="N751">
        <v>2</v>
      </c>
      <c r="O751" s="39">
        <v>49</v>
      </c>
      <c r="P751" s="39">
        <v>1193</v>
      </c>
      <c r="Q751" s="39">
        <v>254</v>
      </c>
      <c r="R751" s="39">
        <v>28</v>
      </c>
    </row>
    <row r="752" spans="1:18" x14ac:dyDescent="0.25">
      <c r="A752" s="1" t="s">
        <v>427</v>
      </c>
      <c r="B752" s="2">
        <v>500</v>
      </c>
      <c r="C752" s="19">
        <v>51</v>
      </c>
      <c r="D752" s="3" t="s">
        <v>497</v>
      </c>
      <c r="E752" s="3" t="s">
        <v>517</v>
      </c>
      <c r="F752" s="23">
        <v>465000</v>
      </c>
      <c r="G752" s="35">
        <v>2012</v>
      </c>
      <c r="H752">
        <f>Table_8[[#This Row],[Listing Price (USD)]]/10000</f>
        <v>46.5</v>
      </c>
      <c r="I752">
        <f>Table_8[[#This Row],[Length 
(ft)]]</f>
        <v>51</v>
      </c>
      <c r="J752" s="37">
        <f>2020-Table_8[[#This Row],[Year]]</f>
        <v>8</v>
      </c>
      <c r="K752">
        <v>681973374534.10596</v>
      </c>
      <c r="L752">
        <v>27575.495000325591</v>
      </c>
      <c r="M752">
        <v>0.8848420113691905</v>
      </c>
      <c r="N752">
        <v>-6.3525291034127971</v>
      </c>
      <c r="O752" s="39">
        <v>47.08</v>
      </c>
      <c r="P752" s="39">
        <v>1345.49</v>
      </c>
      <c r="Q752" s="39">
        <v>132</v>
      </c>
      <c r="R752" s="39">
        <v>27</v>
      </c>
    </row>
    <row r="753" spans="1:18" x14ac:dyDescent="0.25">
      <c r="A753" s="1" t="s">
        <v>472</v>
      </c>
      <c r="B753" s="2">
        <v>500</v>
      </c>
      <c r="C753" s="19">
        <v>50</v>
      </c>
      <c r="D753" s="3" t="s">
        <v>497</v>
      </c>
      <c r="E753" s="3" t="s">
        <v>370</v>
      </c>
      <c r="F753" s="23">
        <v>479000</v>
      </c>
      <c r="G753" s="35">
        <v>2008</v>
      </c>
      <c r="H753">
        <f>Table_8[[#This Row],[Listing Price (USD)]]/10000</f>
        <v>47.9</v>
      </c>
      <c r="I753">
        <f>Table_8[[#This Row],[Length 
(ft)]]</f>
        <v>50</v>
      </c>
      <c r="J753" s="37">
        <f>2020-Table_8[[#This Row],[Year]]</f>
        <v>12</v>
      </c>
      <c r="K753">
        <v>500000000</v>
      </c>
      <c r="L753">
        <v>34200</v>
      </c>
      <c r="M753">
        <v>1.1000000000000001</v>
      </c>
      <c r="N753">
        <v>2</v>
      </c>
      <c r="O753" s="39">
        <v>49</v>
      </c>
      <c r="P753" s="39">
        <v>1193</v>
      </c>
      <c r="Q753" s="39">
        <v>254</v>
      </c>
      <c r="R753" s="39">
        <v>28</v>
      </c>
    </row>
    <row r="754" spans="1:18" x14ac:dyDescent="0.25">
      <c r="A754" s="1" t="s">
        <v>427</v>
      </c>
      <c r="B754" s="2">
        <v>500</v>
      </c>
      <c r="C754" s="19">
        <v>51</v>
      </c>
      <c r="D754" s="3" t="s">
        <v>496</v>
      </c>
      <c r="E754" s="4" t="s">
        <v>24</v>
      </c>
      <c r="F754" s="23">
        <v>497146</v>
      </c>
      <c r="G754" s="35">
        <v>2007</v>
      </c>
      <c r="H754">
        <f>Table_8[[#This Row],[Listing Price (USD)]]/10000</f>
        <v>49.714599999999997</v>
      </c>
      <c r="I754">
        <f>Table_8[[#This Row],[Length 
(ft)]]</f>
        <v>51</v>
      </c>
      <c r="J754" s="37">
        <f>2020-Table_8[[#This Row],[Year]]</f>
        <v>13</v>
      </c>
      <c r="K754">
        <v>1896755301518.1399</v>
      </c>
      <c r="L754">
        <v>31911.0357890017</v>
      </c>
      <c r="M754">
        <v>-0.13770757391656999</v>
      </c>
      <c r="N754">
        <v>-9.0399534112288507</v>
      </c>
      <c r="O754" s="39">
        <v>47.08</v>
      </c>
      <c r="P754" s="39">
        <v>1345.49</v>
      </c>
      <c r="Q754" s="39">
        <v>132</v>
      </c>
      <c r="R754" s="39">
        <v>27</v>
      </c>
    </row>
    <row r="755" spans="1:18" x14ac:dyDescent="0.25">
      <c r="A755" s="1" t="s">
        <v>427</v>
      </c>
      <c r="B755" s="2">
        <v>500</v>
      </c>
      <c r="C755" s="19">
        <v>51</v>
      </c>
      <c r="D755" s="3" t="s">
        <v>497</v>
      </c>
      <c r="E755" s="3" t="s">
        <v>525</v>
      </c>
      <c r="F755" s="23">
        <v>499000</v>
      </c>
      <c r="G755" s="35">
        <v>2011</v>
      </c>
      <c r="H755">
        <f>Table_8[[#This Row],[Listing Price (USD)]]/10000</f>
        <v>49.9</v>
      </c>
      <c r="I755">
        <f>Table_8[[#This Row],[Length 
(ft)]]</f>
        <v>51</v>
      </c>
      <c r="J755" s="37">
        <f>2020-Table_8[[#This Row],[Year]]</f>
        <v>9</v>
      </c>
      <c r="K755">
        <v>4200000000</v>
      </c>
      <c r="L755">
        <v>39553.199999999997</v>
      </c>
      <c r="M755">
        <v>4.0999999999999996</v>
      </c>
      <c r="N755">
        <v>-2.1</v>
      </c>
      <c r="O755" s="39">
        <v>49</v>
      </c>
      <c r="P755" s="39">
        <v>1193</v>
      </c>
      <c r="Q755" s="39">
        <v>254</v>
      </c>
      <c r="R755" s="39">
        <v>28</v>
      </c>
    </row>
    <row r="756" spans="1:18" x14ac:dyDescent="0.25">
      <c r="A756" s="1" t="s">
        <v>427</v>
      </c>
      <c r="B756" s="2">
        <v>500</v>
      </c>
      <c r="C756" s="19">
        <v>51</v>
      </c>
      <c r="D756" s="3" t="s">
        <v>497</v>
      </c>
      <c r="E756" s="3" t="s">
        <v>506</v>
      </c>
      <c r="F756" s="23">
        <v>499000</v>
      </c>
      <c r="G756" s="35">
        <v>2012</v>
      </c>
      <c r="H756">
        <f>Table_8[[#This Row],[Listing Price (USD)]]/10000</f>
        <v>49.9</v>
      </c>
      <c r="I756">
        <f>Table_8[[#This Row],[Length 
(ft)]]</f>
        <v>51</v>
      </c>
      <c r="J756" s="37">
        <f>2020-Table_8[[#This Row],[Year]]</f>
        <v>8</v>
      </c>
      <c r="K756">
        <v>1370281481.4814799</v>
      </c>
      <c r="L756">
        <v>14787.6357752901</v>
      </c>
      <c r="M756">
        <v>0.62598970704669799</v>
      </c>
      <c r="N756">
        <v>-20.1923705722071</v>
      </c>
      <c r="O756" s="39">
        <v>49</v>
      </c>
      <c r="P756" s="39">
        <v>1193</v>
      </c>
      <c r="Q756" s="39">
        <v>254</v>
      </c>
      <c r="R756" s="39">
        <v>28</v>
      </c>
    </row>
    <row r="757" spans="1:18" x14ac:dyDescent="0.25">
      <c r="A757" s="1" t="s">
        <v>427</v>
      </c>
      <c r="B757" s="2">
        <v>500</v>
      </c>
      <c r="C757" s="19">
        <v>51</v>
      </c>
      <c r="D757" s="3" t="s">
        <v>497</v>
      </c>
      <c r="E757" s="3" t="s">
        <v>520</v>
      </c>
      <c r="F757" s="23">
        <v>499000</v>
      </c>
      <c r="G757" s="35">
        <v>2012</v>
      </c>
      <c r="H757">
        <f>Table_8[[#This Row],[Listing Price (USD)]]/10000</f>
        <v>49.9</v>
      </c>
      <c r="I757">
        <f>Table_8[[#This Row],[Length 
(ft)]]</f>
        <v>51</v>
      </c>
      <c r="J757" s="37">
        <f>2020-Table_8[[#This Row],[Year]]</f>
        <v>8</v>
      </c>
      <c r="K757">
        <v>103020300000</v>
      </c>
      <c r="L757">
        <v>31393.907369044598</v>
      </c>
      <c r="M757">
        <v>3</v>
      </c>
      <c r="N757">
        <v>-4.3534263366192603</v>
      </c>
      <c r="O757" s="39">
        <v>49</v>
      </c>
      <c r="P757" s="39">
        <v>1193</v>
      </c>
      <c r="Q757" s="39">
        <v>254</v>
      </c>
      <c r="R757" s="39">
        <v>28</v>
      </c>
    </row>
    <row r="758" spans="1:18" x14ac:dyDescent="0.25">
      <c r="A758" s="1" t="s">
        <v>427</v>
      </c>
      <c r="B758" s="2">
        <v>500</v>
      </c>
      <c r="C758" s="19">
        <v>51</v>
      </c>
      <c r="D758" s="3" t="s">
        <v>496</v>
      </c>
      <c r="E758" s="4" t="s">
        <v>18</v>
      </c>
      <c r="F758" s="23">
        <v>503208</v>
      </c>
      <c r="G758" s="35">
        <v>2009</v>
      </c>
      <c r="H758">
        <f>Table_8[[#This Row],[Listing Price (USD)]]/10000</f>
        <v>50.320799999999998</v>
      </c>
      <c r="I758">
        <f>Table_8[[#This Row],[Length 
(ft)]]</f>
        <v>51</v>
      </c>
      <c r="J758" s="37">
        <f>2020-Table_8[[#This Row],[Year]]</f>
        <v>11</v>
      </c>
      <c r="K758">
        <v>188925995936.80701</v>
      </c>
      <c r="L758">
        <v>17658.947301119199</v>
      </c>
      <c r="M758">
        <v>-1.2479835558140799</v>
      </c>
      <c r="N758">
        <v>-9.0040436420214593</v>
      </c>
      <c r="O758" s="39">
        <v>49</v>
      </c>
      <c r="P758" s="39">
        <v>1193</v>
      </c>
      <c r="Q758" s="39">
        <v>254</v>
      </c>
      <c r="R758" s="39">
        <v>28</v>
      </c>
    </row>
    <row r="759" spans="1:18" x14ac:dyDescent="0.25">
      <c r="A759" s="1" t="s">
        <v>427</v>
      </c>
      <c r="B759" s="2">
        <v>500</v>
      </c>
      <c r="C759" s="19">
        <v>51</v>
      </c>
      <c r="D759" s="3" t="s">
        <v>496</v>
      </c>
      <c r="E759" s="4" t="s">
        <v>18</v>
      </c>
      <c r="F759" s="23">
        <v>515334</v>
      </c>
      <c r="G759" s="35">
        <v>2006</v>
      </c>
      <c r="H759">
        <f>Table_8[[#This Row],[Listing Price (USD)]]/10000</f>
        <v>51.5334</v>
      </c>
      <c r="I759">
        <f>Table_8[[#This Row],[Length 
(ft)]]</f>
        <v>51</v>
      </c>
      <c r="J759" s="37">
        <f>2020-Table_8[[#This Row],[Year]]</f>
        <v>14</v>
      </c>
      <c r="K759">
        <v>188925995936.80701</v>
      </c>
      <c r="L759">
        <v>17658.947301119199</v>
      </c>
      <c r="M759">
        <v>-1.2479835558140799</v>
      </c>
      <c r="N759">
        <v>-9.0040436420214593</v>
      </c>
      <c r="O759" s="39">
        <v>49</v>
      </c>
      <c r="P759" s="39">
        <v>1193</v>
      </c>
      <c r="Q759" s="39">
        <v>254</v>
      </c>
      <c r="R759" s="39">
        <v>28</v>
      </c>
    </row>
    <row r="760" spans="1:18" x14ac:dyDescent="0.25">
      <c r="A760" s="1" t="s">
        <v>427</v>
      </c>
      <c r="B760" s="2">
        <v>500</v>
      </c>
      <c r="C760" s="19">
        <v>51</v>
      </c>
      <c r="D760" s="3" t="s">
        <v>496</v>
      </c>
      <c r="E760" s="4" t="s">
        <v>9</v>
      </c>
      <c r="F760" s="23">
        <v>515334</v>
      </c>
      <c r="G760" s="35">
        <v>2006</v>
      </c>
      <c r="H760">
        <f>Table_8[[#This Row],[Listing Price (USD)]]/10000</f>
        <v>51.5334</v>
      </c>
      <c r="I760">
        <f>Table_8[[#This Row],[Length 
(ft)]]</f>
        <v>51</v>
      </c>
      <c r="J760" s="37">
        <f>2020-Table_8[[#This Row],[Year]]</f>
        <v>14</v>
      </c>
      <c r="K760">
        <v>1276962685648.25</v>
      </c>
      <c r="L760">
        <v>26959.675436732599</v>
      </c>
      <c r="M760">
        <v>-0.32275301729970501</v>
      </c>
      <c r="N760">
        <v>-11.3254383222864</v>
      </c>
      <c r="O760" s="39">
        <v>49</v>
      </c>
      <c r="P760" s="39">
        <v>1193</v>
      </c>
      <c r="Q760" s="39">
        <v>254</v>
      </c>
      <c r="R760" s="39">
        <v>28</v>
      </c>
    </row>
    <row r="761" spans="1:18" x14ac:dyDescent="0.25">
      <c r="A761" s="1" t="s">
        <v>427</v>
      </c>
      <c r="B761" s="2">
        <v>500</v>
      </c>
      <c r="C761" s="19">
        <v>51</v>
      </c>
      <c r="D761" s="3" t="s">
        <v>496</v>
      </c>
      <c r="E761" s="4" t="s">
        <v>439</v>
      </c>
      <c r="F761" s="23">
        <v>521397</v>
      </c>
      <c r="G761" s="35">
        <v>2008</v>
      </c>
      <c r="H761">
        <f>Table_8[[#This Row],[Listing Price (USD)]]/10000</f>
        <v>52.139699999999998</v>
      </c>
      <c r="I761">
        <f>Table_8[[#This Row],[Length 
(ft)]]</f>
        <v>51</v>
      </c>
      <c r="J761" s="37">
        <f>2020-Table_8[[#This Row],[Year]]</f>
        <v>12</v>
      </c>
      <c r="K761">
        <v>681973374534.10596</v>
      </c>
      <c r="L761">
        <v>27575.495000325591</v>
      </c>
      <c r="M761">
        <v>0.8848420113691905</v>
      </c>
      <c r="N761">
        <v>-6.3525291034127971</v>
      </c>
      <c r="O761" s="39">
        <v>49</v>
      </c>
      <c r="P761" s="39">
        <v>1193</v>
      </c>
      <c r="Q761" s="39">
        <v>254</v>
      </c>
      <c r="R761" s="39">
        <v>28</v>
      </c>
    </row>
    <row r="762" spans="1:18" x14ac:dyDescent="0.25">
      <c r="A762" s="1" t="s">
        <v>427</v>
      </c>
      <c r="B762" s="2">
        <v>500</v>
      </c>
      <c r="C762" s="19">
        <v>51</v>
      </c>
      <c r="D762" s="3" t="s">
        <v>496</v>
      </c>
      <c r="E762" s="4" t="s">
        <v>18</v>
      </c>
      <c r="F762" s="23">
        <v>521912</v>
      </c>
      <c r="G762" s="35">
        <v>2009</v>
      </c>
      <c r="H762">
        <f>Table_8[[#This Row],[Listing Price (USD)]]/10000</f>
        <v>52.191200000000002</v>
      </c>
      <c r="I762">
        <f>Table_8[[#This Row],[Length 
(ft)]]</f>
        <v>51</v>
      </c>
      <c r="J762" s="37">
        <f>2020-Table_8[[#This Row],[Year]]</f>
        <v>11</v>
      </c>
      <c r="K762">
        <v>188925995936.80701</v>
      </c>
      <c r="L762">
        <v>17658.947301119199</v>
      </c>
      <c r="M762">
        <v>-1.2479835558140799</v>
      </c>
      <c r="N762">
        <v>-9.0040436420214593</v>
      </c>
      <c r="O762" s="39">
        <v>49</v>
      </c>
      <c r="P762" s="39">
        <v>1193</v>
      </c>
      <c r="Q762" s="39">
        <v>254</v>
      </c>
      <c r="R762" s="39">
        <v>28</v>
      </c>
    </row>
    <row r="763" spans="1:18" x14ac:dyDescent="0.25">
      <c r="A763" s="1" t="s">
        <v>427</v>
      </c>
      <c r="B763" s="2">
        <v>500</v>
      </c>
      <c r="C763" s="19">
        <v>51</v>
      </c>
      <c r="D763" s="3" t="s">
        <v>496</v>
      </c>
      <c r="E763" s="4" t="s">
        <v>237</v>
      </c>
      <c r="F763" s="23">
        <v>545648</v>
      </c>
      <c r="G763" s="35">
        <v>2008</v>
      </c>
      <c r="H763">
        <f>Table_8[[#This Row],[Listing Price (USD)]]/10000</f>
        <v>54.564799999999998</v>
      </c>
      <c r="I763">
        <f>Table_8[[#This Row],[Length 
(ft)]]</f>
        <v>51</v>
      </c>
      <c r="J763" s="37">
        <f>2020-Table_8[[#This Row],[Year]]</f>
        <v>12</v>
      </c>
      <c r="K763">
        <v>229031860520.77701</v>
      </c>
      <c r="L763">
        <v>22242.406417972001</v>
      </c>
      <c r="M763">
        <v>-1.2438329957616699E-2</v>
      </c>
      <c r="N763">
        <v>-8.3005160422115107</v>
      </c>
      <c r="O763" s="39">
        <v>49</v>
      </c>
      <c r="P763" s="39">
        <v>1193</v>
      </c>
      <c r="Q763" s="39">
        <v>254</v>
      </c>
      <c r="R763" s="39">
        <v>28</v>
      </c>
    </row>
    <row r="764" spans="1:18" x14ac:dyDescent="0.25">
      <c r="A764" s="1" t="s">
        <v>441</v>
      </c>
      <c r="B764" s="2">
        <v>500</v>
      </c>
      <c r="C764" s="19">
        <v>51</v>
      </c>
      <c r="D764" s="3" t="s">
        <v>496</v>
      </c>
      <c r="E764" s="4" t="s">
        <v>18</v>
      </c>
      <c r="F764" s="23">
        <v>546187</v>
      </c>
      <c r="G764" s="35">
        <v>2009</v>
      </c>
      <c r="H764">
        <f>Table_8[[#This Row],[Listing Price (USD)]]/10000</f>
        <v>54.618699999999997</v>
      </c>
      <c r="I764">
        <f>Table_8[[#This Row],[Length 
(ft)]]</f>
        <v>51</v>
      </c>
      <c r="J764" s="37">
        <f>2020-Table_8[[#This Row],[Year]]</f>
        <v>11</v>
      </c>
      <c r="K764">
        <v>188925995936.80701</v>
      </c>
      <c r="L764">
        <v>17658.947301119199</v>
      </c>
      <c r="M764">
        <v>-1.2479835558140799</v>
      </c>
      <c r="N764">
        <v>-9.0040436420214593</v>
      </c>
      <c r="O764" s="39">
        <v>49</v>
      </c>
      <c r="P764" s="39">
        <v>1193</v>
      </c>
      <c r="Q764" s="39">
        <v>254</v>
      </c>
      <c r="R764" s="39">
        <v>28</v>
      </c>
    </row>
    <row r="765" spans="1:18" x14ac:dyDescent="0.25">
      <c r="A765" s="1" t="s">
        <v>427</v>
      </c>
      <c r="B765" s="2">
        <v>500</v>
      </c>
      <c r="C765" s="19">
        <v>51</v>
      </c>
      <c r="D765" s="3" t="s">
        <v>496</v>
      </c>
      <c r="E765" s="4" t="s">
        <v>237</v>
      </c>
      <c r="F765" s="23">
        <v>546613</v>
      </c>
      <c r="G765" s="35">
        <v>2008</v>
      </c>
      <c r="H765">
        <f>Table_8[[#This Row],[Listing Price (USD)]]/10000</f>
        <v>54.661299999999997</v>
      </c>
      <c r="I765">
        <f>Table_8[[#This Row],[Length 
(ft)]]</f>
        <v>51</v>
      </c>
      <c r="J765" s="37">
        <f>2020-Table_8[[#This Row],[Year]]</f>
        <v>12</v>
      </c>
      <c r="K765">
        <v>229031860520.77701</v>
      </c>
      <c r="L765">
        <v>22242.406417972001</v>
      </c>
      <c r="M765">
        <v>-1.2438329957616699E-2</v>
      </c>
      <c r="N765">
        <v>-8.3005160422115107</v>
      </c>
      <c r="O765" s="39">
        <v>49</v>
      </c>
      <c r="P765" s="39">
        <v>1193</v>
      </c>
      <c r="Q765" s="39">
        <v>254</v>
      </c>
      <c r="R765" s="39">
        <v>28</v>
      </c>
    </row>
    <row r="766" spans="1:18" x14ac:dyDescent="0.25">
      <c r="A766" s="1" t="s">
        <v>427</v>
      </c>
      <c r="B766" s="2">
        <v>500</v>
      </c>
      <c r="C766" s="19">
        <v>51</v>
      </c>
      <c r="D766" s="3" t="s">
        <v>497</v>
      </c>
      <c r="E766" s="3" t="s">
        <v>483</v>
      </c>
      <c r="F766" s="23">
        <v>553247</v>
      </c>
      <c r="G766" s="35">
        <v>2008</v>
      </c>
      <c r="H766">
        <f>Table_8[[#This Row],[Listing Price (USD)]]/10000</f>
        <v>55.3247</v>
      </c>
      <c r="I766">
        <f>Table_8[[#This Row],[Length 
(ft)]]</f>
        <v>51</v>
      </c>
      <c r="J766" s="37">
        <f>2020-Table_8[[#This Row],[Year]]</f>
        <v>12</v>
      </c>
      <c r="K766">
        <v>4200000000</v>
      </c>
      <c r="L766">
        <v>39553.199999999997</v>
      </c>
      <c r="M766">
        <v>2.5</v>
      </c>
      <c r="N766">
        <v>-2.1</v>
      </c>
      <c r="O766" s="39">
        <v>49</v>
      </c>
      <c r="P766" s="39">
        <v>1193</v>
      </c>
      <c r="Q766" s="39">
        <v>254</v>
      </c>
      <c r="R766" s="39">
        <v>28</v>
      </c>
    </row>
    <row r="767" spans="1:18" x14ac:dyDescent="0.25">
      <c r="A767" s="1" t="s">
        <v>427</v>
      </c>
      <c r="B767" s="2">
        <v>500</v>
      </c>
      <c r="C767" s="19">
        <v>51</v>
      </c>
      <c r="D767" s="3" t="s">
        <v>496</v>
      </c>
      <c r="E767" s="4" t="s">
        <v>31</v>
      </c>
      <c r="F767" s="23">
        <v>575961</v>
      </c>
      <c r="G767" s="35">
        <v>2010</v>
      </c>
      <c r="H767">
        <f>Table_8[[#This Row],[Listing Price (USD)]]/10000</f>
        <v>57.5961</v>
      </c>
      <c r="I767">
        <f>Table_8[[#This Row],[Length 
(ft)]]</f>
        <v>51</v>
      </c>
      <c r="J767" s="37">
        <f>2020-Table_8[[#This Row],[Year]]</f>
        <v>10</v>
      </c>
      <c r="K767">
        <v>57472012426.685303</v>
      </c>
      <c r="L767">
        <v>14198.753959474399</v>
      </c>
      <c r="M767">
        <v>0.15481137456202801</v>
      </c>
      <c r="N767">
        <v>-8.5803430210621805</v>
      </c>
      <c r="O767" s="39">
        <v>49</v>
      </c>
      <c r="P767" s="39">
        <v>1193</v>
      </c>
      <c r="Q767" s="39">
        <v>254</v>
      </c>
      <c r="R767" s="39">
        <v>28</v>
      </c>
    </row>
    <row r="768" spans="1:18" x14ac:dyDescent="0.25">
      <c r="A768" s="1" t="s">
        <v>427</v>
      </c>
      <c r="B768" s="2">
        <v>500</v>
      </c>
      <c r="C768" s="19">
        <v>51</v>
      </c>
      <c r="D768" s="3" t="s">
        <v>496</v>
      </c>
      <c r="E768" s="4" t="s">
        <v>31</v>
      </c>
      <c r="F768" s="23">
        <v>576531</v>
      </c>
      <c r="G768" s="35">
        <v>2010</v>
      </c>
      <c r="H768">
        <f>Table_8[[#This Row],[Listing Price (USD)]]/10000</f>
        <v>57.653100000000002</v>
      </c>
      <c r="I768">
        <f>Table_8[[#This Row],[Length 
(ft)]]</f>
        <v>51</v>
      </c>
      <c r="J768" s="37">
        <f>2020-Table_8[[#This Row],[Year]]</f>
        <v>10</v>
      </c>
      <c r="K768">
        <v>57472012426.685303</v>
      </c>
      <c r="L768">
        <v>14198.753959474399</v>
      </c>
      <c r="M768">
        <v>0.15481137456202801</v>
      </c>
      <c r="N768">
        <v>-8.5803430210621805</v>
      </c>
      <c r="O768" s="39">
        <v>49</v>
      </c>
      <c r="P768" s="39">
        <v>1193</v>
      </c>
      <c r="Q768" s="39">
        <v>254</v>
      </c>
      <c r="R768" s="39">
        <v>28</v>
      </c>
    </row>
    <row r="769" spans="1:18" x14ac:dyDescent="0.25">
      <c r="A769" s="1" t="s">
        <v>427</v>
      </c>
      <c r="B769" s="2">
        <v>500</v>
      </c>
      <c r="C769" s="19">
        <v>51</v>
      </c>
      <c r="D769" s="3" t="s">
        <v>496</v>
      </c>
      <c r="E769" s="4" t="s">
        <v>63</v>
      </c>
      <c r="F769" s="23">
        <v>588087</v>
      </c>
      <c r="G769" s="35">
        <v>2010</v>
      </c>
      <c r="H769">
        <f>Table_8[[#This Row],[Listing Price (USD)]]/10000</f>
        <v>58.808700000000002</v>
      </c>
      <c r="I769">
        <f>Table_8[[#This Row],[Length 
(ft)]]</f>
        <v>51</v>
      </c>
      <c r="J769" s="37">
        <f>2020-Table_8[[#This Row],[Year]]</f>
        <v>10</v>
      </c>
      <c r="K769">
        <v>720290000000</v>
      </c>
      <c r="L769">
        <v>13341.6</v>
      </c>
      <c r="M769">
        <v>13</v>
      </c>
      <c r="N769">
        <v>-3</v>
      </c>
      <c r="O769" s="39">
        <v>49</v>
      </c>
      <c r="P769" s="39">
        <v>1193</v>
      </c>
      <c r="Q769" s="39">
        <v>254</v>
      </c>
      <c r="R769" s="39">
        <v>28</v>
      </c>
    </row>
    <row r="770" spans="1:18" x14ac:dyDescent="0.25">
      <c r="A770" s="1" t="s">
        <v>427</v>
      </c>
      <c r="B770" s="2">
        <v>500</v>
      </c>
      <c r="C770" s="19">
        <v>51</v>
      </c>
      <c r="D770" s="3" t="s">
        <v>496</v>
      </c>
      <c r="E770" s="4" t="s">
        <v>63</v>
      </c>
      <c r="F770" s="23">
        <v>589128</v>
      </c>
      <c r="G770" s="35">
        <v>2010</v>
      </c>
      <c r="H770">
        <f>Table_8[[#This Row],[Listing Price (USD)]]/10000</f>
        <v>58.912799999999997</v>
      </c>
      <c r="I770">
        <f>Table_8[[#This Row],[Length 
(ft)]]</f>
        <v>51</v>
      </c>
      <c r="J770" s="37">
        <f>2020-Table_8[[#This Row],[Year]]</f>
        <v>10</v>
      </c>
      <c r="K770">
        <v>720290000000</v>
      </c>
      <c r="L770">
        <v>13341.6</v>
      </c>
      <c r="M770">
        <v>13</v>
      </c>
      <c r="N770">
        <v>-3</v>
      </c>
      <c r="O770" s="39">
        <v>49</v>
      </c>
      <c r="P770" s="39">
        <v>1193</v>
      </c>
      <c r="Q770" s="39">
        <v>254</v>
      </c>
      <c r="R770" s="39">
        <v>28</v>
      </c>
    </row>
    <row r="771" spans="1:18" x14ac:dyDescent="0.25">
      <c r="A771" s="1" t="s">
        <v>427</v>
      </c>
      <c r="B771" s="2">
        <v>500</v>
      </c>
      <c r="C771" s="19">
        <v>51</v>
      </c>
      <c r="D771" s="3" t="s">
        <v>496</v>
      </c>
      <c r="E771" s="4" t="s">
        <v>9</v>
      </c>
      <c r="F771" s="23">
        <v>594150</v>
      </c>
      <c r="G771" s="35">
        <v>2007</v>
      </c>
      <c r="H771">
        <f>Table_8[[#This Row],[Listing Price (USD)]]/10000</f>
        <v>59.414999999999999</v>
      </c>
      <c r="I771">
        <f>Table_8[[#This Row],[Length 
(ft)]]</f>
        <v>51</v>
      </c>
      <c r="J771" s="37">
        <f>2020-Table_8[[#This Row],[Year]]</f>
        <v>13</v>
      </c>
      <c r="K771">
        <v>1276962685648.25</v>
      </c>
      <c r="L771">
        <v>26959.675436732599</v>
      </c>
      <c r="M771">
        <v>-0.32275301729970501</v>
      </c>
      <c r="N771">
        <v>-11.3254383222864</v>
      </c>
      <c r="O771" s="39">
        <v>49</v>
      </c>
      <c r="P771" s="39">
        <v>1193</v>
      </c>
      <c r="Q771" s="39">
        <v>254</v>
      </c>
      <c r="R771" s="39">
        <v>28</v>
      </c>
    </row>
    <row r="772" spans="1:18" x14ac:dyDescent="0.25">
      <c r="A772" s="1" t="s">
        <v>441</v>
      </c>
      <c r="B772" s="2">
        <v>500</v>
      </c>
      <c r="C772" s="19">
        <v>51</v>
      </c>
      <c r="D772" s="3" t="s">
        <v>496</v>
      </c>
      <c r="E772" s="4" t="s">
        <v>18</v>
      </c>
      <c r="F772" s="23">
        <v>606875</v>
      </c>
      <c r="G772" s="35">
        <v>2008</v>
      </c>
      <c r="H772">
        <f>Table_8[[#This Row],[Listing Price (USD)]]/10000</f>
        <v>60.6875</v>
      </c>
      <c r="I772">
        <f>Table_8[[#This Row],[Length 
(ft)]]</f>
        <v>51</v>
      </c>
      <c r="J772" s="37">
        <f>2020-Table_8[[#This Row],[Year]]</f>
        <v>12</v>
      </c>
      <c r="K772">
        <v>188925995936.80701</v>
      </c>
      <c r="L772">
        <v>17658.947301119199</v>
      </c>
      <c r="M772">
        <v>-1.2479835558140799</v>
      </c>
      <c r="N772">
        <v>-9.0040436420214593</v>
      </c>
      <c r="O772" s="39">
        <v>49</v>
      </c>
      <c r="P772" s="39">
        <v>1193</v>
      </c>
      <c r="Q772" s="39">
        <v>254</v>
      </c>
      <c r="R772" s="39">
        <v>28</v>
      </c>
    </row>
    <row r="773" spans="1:18" x14ac:dyDescent="0.25">
      <c r="A773" s="1" t="s">
        <v>427</v>
      </c>
      <c r="B773" s="2">
        <v>500</v>
      </c>
      <c r="C773" s="19">
        <v>51</v>
      </c>
      <c r="D773" s="3" t="s">
        <v>496</v>
      </c>
      <c r="E773" s="4" t="s">
        <v>24</v>
      </c>
      <c r="F773" s="23">
        <v>667562</v>
      </c>
      <c r="G773" s="35">
        <v>2008</v>
      </c>
      <c r="H773">
        <f>Table_8[[#This Row],[Listing Price (USD)]]/10000</f>
        <v>66.756200000000007</v>
      </c>
      <c r="I773">
        <f>Table_8[[#This Row],[Length 
(ft)]]</f>
        <v>51</v>
      </c>
      <c r="J773" s="37">
        <f>2020-Table_8[[#This Row],[Year]]</f>
        <v>12</v>
      </c>
      <c r="K773">
        <v>1896755301518.1399</v>
      </c>
      <c r="L773">
        <v>31911.0357890017</v>
      </c>
      <c r="M773">
        <v>-0.13770757391656999</v>
      </c>
      <c r="N773">
        <v>-9.0399534112288507</v>
      </c>
      <c r="O773" s="39">
        <v>49</v>
      </c>
      <c r="P773" s="39">
        <v>1193</v>
      </c>
      <c r="Q773" s="39">
        <v>254</v>
      </c>
      <c r="R773" s="39">
        <v>28</v>
      </c>
    </row>
    <row r="774" spans="1:18" x14ac:dyDescent="0.25">
      <c r="A774" s="1" t="s">
        <v>427</v>
      </c>
      <c r="B774" s="2">
        <v>500</v>
      </c>
      <c r="C774" s="19">
        <v>51</v>
      </c>
      <c r="D774" s="3" t="s">
        <v>496</v>
      </c>
      <c r="E774" s="4" t="s">
        <v>31</v>
      </c>
      <c r="F774" s="23">
        <v>721467</v>
      </c>
      <c r="G774" s="35">
        <v>2010</v>
      </c>
      <c r="H774">
        <f>Table_8[[#This Row],[Listing Price (USD)]]/10000</f>
        <v>72.146699999999996</v>
      </c>
      <c r="I774">
        <f>Table_8[[#This Row],[Length 
(ft)]]</f>
        <v>51</v>
      </c>
      <c r="J774" s="37">
        <f>2020-Table_8[[#This Row],[Year]]</f>
        <v>10</v>
      </c>
      <c r="K774">
        <v>57472012426.685303</v>
      </c>
      <c r="L774">
        <v>14198.753959474399</v>
      </c>
      <c r="M774">
        <v>0.15481137456202801</v>
      </c>
      <c r="N774">
        <v>-8.5803430210621805</v>
      </c>
      <c r="O774" s="39">
        <v>49</v>
      </c>
      <c r="P774" s="39">
        <v>1193</v>
      </c>
      <c r="Q774" s="39">
        <v>254</v>
      </c>
      <c r="R774" s="39">
        <v>28</v>
      </c>
    </row>
    <row r="775" spans="1:18" x14ac:dyDescent="0.25">
      <c r="A775" s="1" t="s">
        <v>449</v>
      </c>
      <c r="B775" s="2" t="s">
        <v>450</v>
      </c>
      <c r="C775" s="19">
        <v>53.5</v>
      </c>
      <c r="D775" s="3" t="s">
        <v>496</v>
      </c>
      <c r="E775" s="4" t="s">
        <v>9</v>
      </c>
      <c r="F775" s="23">
        <v>790352</v>
      </c>
      <c r="G775" s="35">
        <v>2012</v>
      </c>
      <c r="H775">
        <f>Table_8[[#This Row],[Listing Price (USD)]]/10000</f>
        <v>79.035200000000003</v>
      </c>
      <c r="I775">
        <f>Table_8[[#This Row],[Length 
(ft)]]</f>
        <v>53.5</v>
      </c>
      <c r="J775" s="37">
        <f>2020-Table_8[[#This Row],[Year]]</f>
        <v>8</v>
      </c>
      <c r="K775">
        <v>1276962685648.25</v>
      </c>
      <c r="L775">
        <v>26959.675436732599</v>
      </c>
      <c r="M775">
        <v>-0.32275301729970501</v>
      </c>
      <c r="N775">
        <v>-11.3254383222864</v>
      </c>
      <c r="O775" s="39">
        <v>53.28</v>
      </c>
      <c r="P775" s="39">
        <v>1538.002</v>
      </c>
      <c r="Q775" s="39">
        <v>211</v>
      </c>
      <c r="R775" s="39">
        <v>28.05</v>
      </c>
    </row>
    <row r="776" spans="1:18" x14ac:dyDescent="0.25">
      <c r="A776" s="1" t="s">
        <v>444</v>
      </c>
      <c r="B776" s="2">
        <v>542</v>
      </c>
      <c r="C776" s="19">
        <v>53.5</v>
      </c>
      <c r="D776" s="3" t="s">
        <v>497</v>
      </c>
      <c r="E776" s="3" t="s">
        <v>559</v>
      </c>
      <c r="F776" s="23">
        <v>795000</v>
      </c>
      <c r="G776" s="35">
        <v>2013</v>
      </c>
      <c r="H776">
        <f>Table_8[[#This Row],[Listing Price (USD)]]/10000</f>
        <v>79.5</v>
      </c>
      <c r="I776">
        <f>Table_8[[#This Row],[Length 
(ft)]]</f>
        <v>53.5</v>
      </c>
      <c r="J776" s="37">
        <f>2020-Table_8[[#This Row],[Year]]</f>
        <v>7</v>
      </c>
      <c r="K776">
        <v>681973374534.10596</v>
      </c>
      <c r="L776">
        <v>27575.495000325591</v>
      </c>
      <c r="M776">
        <v>0.8848420113691905</v>
      </c>
      <c r="N776">
        <v>-6.3525291034127971</v>
      </c>
      <c r="O776" s="39">
        <v>53.28</v>
      </c>
      <c r="P776" s="39">
        <v>1538</v>
      </c>
      <c r="Q776" s="39">
        <v>211</v>
      </c>
      <c r="R776" s="39">
        <v>28.05</v>
      </c>
    </row>
    <row r="777" spans="1:18" x14ac:dyDescent="0.25">
      <c r="A777" s="1" t="s">
        <v>449</v>
      </c>
      <c r="B777" s="2">
        <v>542</v>
      </c>
      <c r="C777" s="19">
        <v>53.5</v>
      </c>
      <c r="D777" s="3" t="s">
        <v>496</v>
      </c>
      <c r="E777" s="4" t="s">
        <v>24</v>
      </c>
      <c r="F777" s="23">
        <v>1185529</v>
      </c>
      <c r="G777" s="35">
        <v>2014</v>
      </c>
      <c r="H777">
        <f>Table_8[[#This Row],[Listing Price (USD)]]/10000</f>
        <v>118.55289999999999</v>
      </c>
      <c r="I777">
        <f>Table_8[[#This Row],[Length 
(ft)]]</f>
        <v>53.5</v>
      </c>
      <c r="J777" s="37">
        <f>2020-Table_8[[#This Row],[Year]]</f>
        <v>6</v>
      </c>
      <c r="K777">
        <v>1896755301518.1399</v>
      </c>
      <c r="L777">
        <v>31911.0357890017</v>
      </c>
      <c r="M777">
        <v>-0.13770757391656999</v>
      </c>
      <c r="N777">
        <v>-9.0399534112288507</v>
      </c>
      <c r="O777" s="39">
        <v>53.28</v>
      </c>
      <c r="P777" s="39">
        <v>1538</v>
      </c>
      <c r="Q777" s="39">
        <v>211</v>
      </c>
      <c r="R777" s="39">
        <v>28.05</v>
      </c>
    </row>
    <row r="778" spans="1:18" x14ac:dyDescent="0.25">
      <c r="A778" s="1" t="s">
        <v>441</v>
      </c>
      <c r="B778" s="2">
        <v>570</v>
      </c>
      <c r="C778" s="19">
        <v>56</v>
      </c>
      <c r="D778" s="3" t="s">
        <v>496</v>
      </c>
      <c r="E778" s="4" t="s">
        <v>3</v>
      </c>
      <c r="F778" s="23">
        <v>705237</v>
      </c>
      <c r="G778" s="35">
        <v>2007</v>
      </c>
      <c r="H778">
        <f>Table_8[[#This Row],[Listing Price (USD)]]/10000</f>
        <v>70.523700000000005</v>
      </c>
      <c r="I778">
        <f>Table_8[[#This Row],[Length 
(ft)]]</f>
        <v>56</v>
      </c>
      <c r="J778" s="37">
        <f>2020-Table_8[[#This Row],[Year]]</f>
        <v>13</v>
      </c>
      <c r="K778">
        <v>2639008701648.2598</v>
      </c>
      <c r="L778">
        <v>39055.282928075401</v>
      </c>
      <c r="M778">
        <v>0.47649885272508302</v>
      </c>
      <c r="N778">
        <v>-7.7845864916787102</v>
      </c>
      <c r="O778" s="39">
        <v>52</v>
      </c>
      <c r="P778" s="39">
        <v>1300</v>
      </c>
      <c r="Q778" s="39">
        <v>200</v>
      </c>
      <c r="R778" s="39">
        <v>30</v>
      </c>
    </row>
    <row r="779" spans="1:18" x14ac:dyDescent="0.25">
      <c r="A779" s="1" t="s">
        <v>471</v>
      </c>
      <c r="B779" s="2">
        <v>1160</v>
      </c>
      <c r="C779" s="19">
        <v>38</v>
      </c>
      <c r="D779" s="3" t="s">
        <v>495</v>
      </c>
      <c r="E779" s="3" t="s">
        <v>333</v>
      </c>
      <c r="F779" s="23">
        <v>329950</v>
      </c>
      <c r="G779" s="35">
        <v>2010</v>
      </c>
      <c r="H779">
        <f>Table_8[[#This Row],[Listing Price (USD)]]/10000</f>
        <v>32.994999999999997</v>
      </c>
      <c r="I779">
        <f>Table_8[[#This Row],[Length 
(ft)]]</f>
        <v>38</v>
      </c>
      <c r="J779" s="37">
        <f>2020-Table_8[[#This Row],[Year]]</f>
        <v>10</v>
      </c>
      <c r="K779">
        <v>1106036000000</v>
      </c>
      <c r="L779">
        <v>51276.72</v>
      </c>
      <c r="M779">
        <v>1.23</v>
      </c>
      <c r="N779">
        <v>2.9</v>
      </c>
      <c r="O779" s="39">
        <v>37.07</v>
      </c>
      <c r="P779" s="39">
        <v>807</v>
      </c>
      <c r="Q779" s="39">
        <v>95</v>
      </c>
      <c r="R779" s="39">
        <v>21.33</v>
      </c>
    </row>
    <row r="780" spans="1:18" x14ac:dyDescent="0.25">
      <c r="A780" s="1" t="s">
        <v>469</v>
      </c>
      <c r="B780" s="2" t="s">
        <v>492</v>
      </c>
      <c r="C780" s="19">
        <v>38</v>
      </c>
      <c r="D780" s="3" t="s">
        <v>497</v>
      </c>
      <c r="E780" s="3" t="s">
        <v>498</v>
      </c>
      <c r="F780" s="23">
        <v>350000</v>
      </c>
      <c r="G780" s="35">
        <v>2008</v>
      </c>
      <c r="H780">
        <f>Table_8[[#This Row],[Listing Price (USD)]]/10000</f>
        <v>35</v>
      </c>
      <c r="I780">
        <f>Table_8[[#This Row],[Length 
(ft)]]</f>
        <v>38</v>
      </c>
      <c r="J780" s="37">
        <f>2020-Table_8[[#This Row],[Year]]</f>
        <v>12</v>
      </c>
      <c r="K780">
        <v>1090515389749.41</v>
      </c>
      <c r="L780">
        <v>8655.0006820680301</v>
      </c>
      <c r="M780">
        <v>3.3968341556999899</v>
      </c>
      <c r="N780">
        <v>-7.9879123401474903</v>
      </c>
      <c r="O780" s="39">
        <v>34.78</v>
      </c>
      <c r="P780" s="39">
        <v>691.00199999999995</v>
      </c>
      <c r="Q780" s="39">
        <v>95</v>
      </c>
      <c r="R780" s="39">
        <v>4.17</v>
      </c>
    </row>
    <row r="781" spans="1:18" x14ac:dyDescent="0.25">
      <c r="A781" s="1" t="s">
        <v>469</v>
      </c>
      <c r="B781" s="2">
        <v>1250</v>
      </c>
      <c r="C781" s="19">
        <v>41</v>
      </c>
      <c r="D781" s="3" t="s">
        <v>497</v>
      </c>
      <c r="E781" s="3" t="s">
        <v>498</v>
      </c>
      <c r="F781" s="23">
        <v>455000</v>
      </c>
      <c r="G781" s="35">
        <v>2015</v>
      </c>
      <c r="H781">
        <f>Table_8[[#This Row],[Listing Price (USD)]]/10000</f>
        <v>45.5</v>
      </c>
      <c r="I781">
        <f>Table_8[[#This Row],[Length 
(ft)]]</f>
        <v>41</v>
      </c>
      <c r="J781" s="37">
        <f>2020-Table_8[[#This Row],[Year]]</f>
        <v>5</v>
      </c>
      <c r="K781">
        <v>1090515389749.41</v>
      </c>
      <c r="L781">
        <v>8655.0006820680301</v>
      </c>
      <c r="M781">
        <v>3.3968341556999899</v>
      </c>
      <c r="N781">
        <v>-7.9879123401474903</v>
      </c>
      <c r="O781" s="39">
        <v>40.85</v>
      </c>
      <c r="P781" s="39">
        <v>1013.96</v>
      </c>
      <c r="Q781" s="39">
        <v>127</v>
      </c>
      <c r="R781" s="39">
        <v>22.31</v>
      </c>
    </row>
    <row r="782" spans="1:18" x14ac:dyDescent="0.25">
      <c r="A782" s="1" t="s">
        <v>469</v>
      </c>
      <c r="B782" s="2">
        <v>1260</v>
      </c>
      <c r="C782" s="19">
        <v>41</v>
      </c>
      <c r="D782" s="3" t="s">
        <v>495</v>
      </c>
      <c r="E782" s="3" t="s">
        <v>333</v>
      </c>
      <c r="F782" s="23">
        <v>595000</v>
      </c>
      <c r="G782" s="35">
        <v>2018</v>
      </c>
      <c r="H782">
        <f>Table_8[[#This Row],[Listing Price (USD)]]/10000</f>
        <v>59.5</v>
      </c>
      <c r="I782">
        <f>Table_8[[#This Row],[Length 
(ft)]]</f>
        <v>41</v>
      </c>
      <c r="J782" s="37">
        <f>2020-Table_8[[#This Row],[Year]]</f>
        <v>2</v>
      </c>
      <c r="K782">
        <v>1106036000000</v>
      </c>
      <c r="L782">
        <v>51276.72</v>
      </c>
      <c r="M782">
        <v>1.23</v>
      </c>
      <c r="N782">
        <v>2.9</v>
      </c>
      <c r="O782" s="39">
        <v>40.85</v>
      </c>
      <c r="P782" s="39">
        <v>1013.96</v>
      </c>
      <c r="Q782" s="39">
        <v>127</v>
      </c>
      <c r="R782" s="39">
        <v>22.31</v>
      </c>
    </row>
    <row r="783" spans="1:18" x14ac:dyDescent="0.25">
      <c r="A783" s="1" t="s">
        <v>469</v>
      </c>
      <c r="B783" s="2">
        <v>1260</v>
      </c>
      <c r="C783" s="19">
        <v>41</v>
      </c>
      <c r="D783" s="3" t="s">
        <v>495</v>
      </c>
      <c r="E783" s="3" t="s">
        <v>333</v>
      </c>
      <c r="F783" s="23">
        <v>595000</v>
      </c>
      <c r="G783" s="35">
        <v>2018</v>
      </c>
      <c r="H783">
        <f>Table_8[[#This Row],[Listing Price (USD)]]/10000</f>
        <v>59.5</v>
      </c>
      <c r="I783">
        <f>Table_8[[#This Row],[Length 
(ft)]]</f>
        <v>41</v>
      </c>
      <c r="J783" s="37">
        <f>2020-Table_8[[#This Row],[Year]]</f>
        <v>2</v>
      </c>
      <c r="K783">
        <v>1106036000000</v>
      </c>
      <c r="L783">
        <v>51276.72</v>
      </c>
      <c r="M783">
        <v>1.23</v>
      </c>
      <c r="N783">
        <v>2.9</v>
      </c>
      <c r="O783" s="39">
        <v>40.85</v>
      </c>
      <c r="P783" s="39">
        <v>1013.96</v>
      </c>
      <c r="Q783" s="39">
        <v>127</v>
      </c>
      <c r="R783" s="39">
        <v>22.31</v>
      </c>
    </row>
    <row r="784" spans="1:18" x14ac:dyDescent="0.25">
      <c r="A784" s="1" t="s">
        <v>469</v>
      </c>
      <c r="B784" s="2" t="s">
        <v>470</v>
      </c>
      <c r="C784" s="19">
        <v>39</v>
      </c>
      <c r="D784" s="3" t="s">
        <v>495</v>
      </c>
      <c r="E784" s="3" t="s">
        <v>526</v>
      </c>
      <c r="F784" s="23">
        <v>400000</v>
      </c>
      <c r="G784" s="35">
        <v>2017</v>
      </c>
      <c r="H784">
        <f>Table_8[[#This Row],[Listing Price (USD)]]/10000</f>
        <v>40</v>
      </c>
      <c r="I784">
        <f>Table_8[[#This Row],[Length 
(ft)]]</f>
        <v>39</v>
      </c>
      <c r="J784" s="37">
        <f>2020-Table_8[[#This Row],[Year]]</f>
        <v>3</v>
      </c>
      <c r="K784">
        <v>4200000000</v>
      </c>
      <c r="L784">
        <v>39553.199999999997</v>
      </c>
      <c r="M784">
        <v>4.0999999999999996</v>
      </c>
      <c r="N784">
        <v>-2.1</v>
      </c>
      <c r="O784" s="39">
        <v>28.83</v>
      </c>
      <c r="P784" s="39">
        <v>657.00199999999995</v>
      </c>
      <c r="Q784" s="39">
        <v>95</v>
      </c>
      <c r="R784" s="39">
        <v>21.33</v>
      </c>
    </row>
    <row r="785" spans="1:18" x14ac:dyDescent="0.25">
      <c r="A785" s="1" t="s">
        <v>469</v>
      </c>
      <c r="B785" s="2" t="s">
        <v>470</v>
      </c>
      <c r="C785" s="19">
        <v>39</v>
      </c>
      <c r="D785" s="3" t="s">
        <v>495</v>
      </c>
      <c r="E785" s="3" t="s">
        <v>526</v>
      </c>
      <c r="F785" s="23">
        <v>400000</v>
      </c>
      <c r="G785" s="35">
        <v>2017</v>
      </c>
      <c r="H785">
        <f>Table_8[[#This Row],[Listing Price (USD)]]/10000</f>
        <v>40</v>
      </c>
      <c r="I785">
        <f>Table_8[[#This Row],[Length 
(ft)]]</f>
        <v>39</v>
      </c>
      <c r="J785" s="37">
        <f>2020-Table_8[[#This Row],[Year]]</f>
        <v>3</v>
      </c>
      <c r="K785">
        <v>4200000000</v>
      </c>
      <c r="L785">
        <v>39553.199999999997</v>
      </c>
      <c r="M785">
        <v>4.0999999999999996</v>
      </c>
      <c r="N785">
        <v>-2.1</v>
      </c>
      <c r="O785" s="39">
        <v>28.83</v>
      </c>
      <c r="P785" s="39">
        <v>657.00199999999995</v>
      </c>
      <c r="Q785" s="39">
        <v>95</v>
      </c>
      <c r="R785" s="39">
        <v>21.33</v>
      </c>
    </row>
    <row r="786" spans="1:18" x14ac:dyDescent="0.25">
      <c r="A786" s="1" t="s">
        <v>427</v>
      </c>
      <c r="B786" s="2" t="s">
        <v>530</v>
      </c>
      <c r="C786" s="19">
        <v>38</v>
      </c>
      <c r="D786" s="3" t="s">
        <v>497</v>
      </c>
      <c r="E786" s="3" t="s">
        <v>392</v>
      </c>
      <c r="F786" s="23">
        <v>303138</v>
      </c>
      <c r="G786" s="35">
        <v>2014</v>
      </c>
      <c r="H786">
        <f>Table_8[[#This Row],[Listing Price (USD)]]/10000</f>
        <v>30.313800000000001</v>
      </c>
      <c r="I786">
        <f>Table_8[[#This Row],[Length 
(ft)]]</f>
        <v>38</v>
      </c>
      <c r="J786" s="37">
        <f>2020-Table_8[[#This Row],[Year]]</f>
        <v>6</v>
      </c>
      <c r="K786">
        <v>1043414814.81481</v>
      </c>
      <c r="L786">
        <v>8437.5667322870595</v>
      </c>
      <c r="M786">
        <v>-0.74073259704550098</v>
      </c>
      <c r="N786">
        <v>-13.7559294530644</v>
      </c>
      <c r="O786" s="39">
        <v>32.479999999999997</v>
      </c>
      <c r="P786" s="39">
        <v>691.00199999999995</v>
      </c>
      <c r="Q786" s="39">
        <v>40</v>
      </c>
      <c r="R786" s="39">
        <v>11.97</v>
      </c>
    </row>
    <row r="787" spans="1:18" x14ac:dyDescent="0.25">
      <c r="A787" s="1" t="s">
        <v>427</v>
      </c>
      <c r="B787" s="3" t="s">
        <v>429</v>
      </c>
      <c r="C787" s="19">
        <v>38</v>
      </c>
      <c r="D787" s="3" t="s">
        <v>497</v>
      </c>
      <c r="E787" s="3" t="s">
        <v>483</v>
      </c>
      <c r="F787" s="23">
        <v>218725</v>
      </c>
      <c r="G787" s="35">
        <v>2014</v>
      </c>
      <c r="H787">
        <f>Table_8[[#This Row],[Listing Price (USD)]]/10000</f>
        <v>21.872499999999999</v>
      </c>
      <c r="I787">
        <f>Table_8[[#This Row],[Length 
(ft)]]</f>
        <v>38</v>
      </c>
      <c r="J787" s="37">
        <f>2020-Table_8[[#This Row],[Year]]</f>
        <v>6</v>
      </c>
      <c r="K787">
        <v>4200000000</v>
      </c>
      <c r="L787">
        <v>39553.199999999997</v>
      </c>
      <c r="M787">
        <v>2.5</v>
      </c>
      <c r="N787">
        <v>-2.1</v>
      </c>
      <c r="O787" s="39">
        <v>32.479999999999997</v>
      </c>
      <c r="P787" s="39">
        <v>691.00199999999995</v>
      </c>
      <c r="Q787" s="39">
        <v>40</v>
      </c>
      <c r="R787" s="39">
        <v>11.97</v>
      </c>
    </row>
    <row r="788" spans="1:18" x14ac:dyDescent="0.25">
      <c r="A788" s="1" t="s">
        <v>441</v>
      </c>
      <c r="B788" s="2" t="s">
        <v>429</v>
      </c>
      <c r="C788" s="19">
        <v>38</v>
      </c>
      <c r="D788" s="3" t="s">
        <v>495</v>
      </c>
      <c r="E788" s="3" t="s">
        <v>515</v>
      </c>
      <c r="F788" s="23">
        <v>226900</v>
      </c>
      <c r="G788" s="35">
        <v>2007</v>
      </c>
      <c r="H788">
        <f>Table_8[[#This Row],[Listing Price (USD)]]/10000</f>
        <v>22.69</v>
      </c>
      <c r="I788">
        <f>Table_8[[#This Row],[Length 
(ft)]]</f>
        <v>38</v>
      </c>
      <c r="J788" s="37">
        <f>2020-Table_8[[#This Row],[Year]]</f>
        <v>13</v>
      </c>
      <c r="K788">
        <v>410675000000</v>
      </c>
      <c r="L788">
        <v>66531.03</v>
      </c>
      <c r="M788">
        <v>1.23</v>
      </c>
      <c r="N788">
        <v>1.8</v>
      </c>
      <c r="O788" s="39">
        <v>32.479999999999997</v>
      </c>
      <c r="P788" s="39">
        <v>691.00199999999995</v>
      </c>
      <c r="Q788" s="39">
        <v>40</v>
      </c>
      <c r="R788" s="39">
        <v>11.97</v>
      </c>
    </row>
    <row r="789" spans="1:18" x14ac:dyDescent="0.25">
      <c r="A789" s="1" t="s">
        <v>427</v>
      </c>
      <c r="B789" s="2" t="s">
        <v>429</v>
      </c>
      <c r="C789" s="19">
        <v>38</v>
      </c>
      <c r="D789" s="3" t="s">
        <v>496</v>
      </c>
      <c r="E789" s="4" t="s">
        <v>24</v>
      </c>
      <c r="F789" s="23">
        <v>236926</v>
      </c>
      <c r="G789" s="35">
        <v>2008</v>
      </c>
      <c r="H789">
        <f>Table_8[[#This Row],[Listing Price (USD)]]/10000</f>
        <v>23.692599999999999</v>
      </c>
      <c r="I789">
        <f>Table_8[[#This Row],[Length 
(ft)]]</f>
        <v>38</v>
      </c>
      <c r="J789" s="37">
        <f>2020-Table_8[[#This Row],[Year]]</f>
        <v>12</v>
      </c>
      <c r="K789">
        <v>1896755301518.1399</v>
      </c>
      <c r="L789">
        <v>31911.0357890017</v>
      </c>
      <c r="M789">
        <v>-0.13770757391656999</v>
      </c>
      <c r="N789">
        <v>-9.0399534112288507</v>
      </c>
      <c r="O789" s="39">
        <v>32.479999999999997</v>
      </c>
      <c r="P789" s="39">
        <v>691.00199999999995</v>
      </c>
      <c r="Q789" s="39">
        <v>40</v>
      </c>
      <c r="R789" s="39">
        <v>11.97</v>
      </c>
    </row>
    <row r="790" spans="1:18" x14ac:dyDescent="0.25">
      <c r="A790" s="1" t="s">
        <v>397</v>
      </c>
      <c r="B790" s="2" t="s">
        <v>455</v>
      </c>
      <c r="C790" s="19">
        <v>43</v>
      </c>
      <c r="D790" s="3" t="s">
        <v>495</v>
      </c>
      <c r="E790" s="3" t="s">
        <v>515</v>
      </c>
      <c r="F790" s="23">
        <v>549000</v>
      </c>
      <c r="G790" s="35">
        <v>2018</v>
      </c>
      <c r="H790">
        <f>Table_8[[#This Row],[Listing Price (USD)]]/10000</f>
        <v>54.9</v>
      </c>
      <c r="I790">
        <f>Table_8[[#This Row],[Length 
(ft)]]</f>
        <v>43</v>
      </c>
      <c r="J790" s="37">
        <f>2020-Table_8[[#This Row],[Year]]</f>
        <v>2</v>
      </c>
      <c r="K790">
        <v>410675000000</v>
      </c>
      <c r="L790">
        <v>66531.03</v>
      </c>
      <c r="M790">
        <v>1.23</v>
      </c>
      <c r="N790">
        <v>1.8</v>
      </c>
      <c r="O790" s="39">
        <v>41.34</v>
      </c>
      <c r="P790" s="39">
        <v>1010.002</v>
      </c>
      <c r="Q790" s="39">
        <v>211</v>
      </c>
      <c r="R790" s="39">
        <v>23.36</v>
      </c>
    </row>
    <row r="791" spans="1:18" x14ac:dyDescent="0.25">
      <c r="A791" s="1" t="s">
        <v>444</v>
      </c>
      <c r="B791" s="2" t="s">
        <v>445</v>
      </c>
      <c r="C791" s="19">
        <v>39.5</v>
      </c>
      <c r="D791" s="3" t="s">
        <v>497</v>
      </c>
      <c r="E791" s="3" t="s">
        <v>377</v>
      </c>
      <c r="F791" s="23">
        <v>291300</v>
      </c>
      <c r="G791" s="35">
        <v>2014</v>
      </c>
      <c r="H791">
        <f>Table_8[[#This Row],[Listing Price (USD)]]/10000</f>
        <v>29.13</v>
      </c>
      <c r="I791">
        <f>Table_8[[#This Row],[Length 
(ft)]]</f>
        <v>39.5</v>
      </c>
      <c r="J791" s="37">
        <f>2020-Table_8[[#This Row],[Year]]</f>
        <v>6</v>
      </c>
      <c r="K791">
        <v>681973374534.10596</v>
      </c>
      <c r="L791">
        <v>27575.495000325591</v>
      </c>
      <c r="M791">
        <v>0.8848420113691905</v>
      </c>
      <c r="N791">
        <v>-6.3525291034127971</v>
      </c>
      <c r="O791" s="39">
        <v>39.17</v>
      </c>
      <c r="P791" s="39">
        <v>979.00199999999995</v>
      </c>
      <c r="Q791" s="39">
        <v>114</v>
      </c>
      <c r="R791" s="39">
        <v>22.67</v>
      </c>
    </row>
    <row r="792" spans="1:18" x14ac:dyDescent="0.25">
      <c r="A792" s="1" t="s">
        <v>444</v>
      </c>
      <c r="B792" s="2" t="s">
        <v>445</v>
      </c>
      <c r="C792" s="19">
        <v>39.5</v>
      </c>
      <c r="D792" s="3" t="s">
        <v>496</v>
      </c>
      <c r="E792" s="4" t="s">
        <v>31</v>
      </c>
      <c r="F792" s="23">
        <v>315575</v>
      </c>
      <c r="G792" s="35">
        <v>2015</v>
      </c>
      <c r="H792">
        <f>Table_8[[#This Row],[Listing Price (USD)]]/10000</f>
        <v>31.557500000000001</v>
      </c>
      <c r="I792">
        <f>Table_8[[#This Row],[Length 
(ft)]]</f>
        <v>39.5</v>
      </c>
      <c r="J792" s="37">
        <f>2020-Table_8[[#This Row],[Year]]</f>
        <v>5</v>
      </c>
      <c r="K792">
        <v>57472012426.685303</v>
      </c>
      <c r="L792">
        <v>14198.753959474399</v>
      </c>
      <c r="M792">
        <v>0.15481137456202801</v>
      </c>
      <c r="N792">
        <v>-8.5803430210621805</v>
      </c>
      <c r="O792" s="39">
        <v>39.17</v>
      </c>
      <c r="P792" s="39">
        <v>979.00199999999995</v>
      </c>
      <c r="Q792" s="39">
        <v>114</v>
      </c>
      <c r="R792" s="39">
        <v>22.67</v>
      </c>
    </row>
    <row r="793" spans="1:18" x14ac:dyDescent="0.25">
      <c r="A793" s="1" t="s">
        <v>444</v>
      </c>
      <c r="B793" s="2" t="s">
        <v>445</v>
      </c>
      <c r="C793" s="19">
        <v>39.5</v>
      </c>
      <c r="D793" s="3" t="s">
        <v>496</v>
      </c>
      <c r="E793" s="4" t="s">
        <v>31</v>
      </c>
      <c r="F793" s="23">
        <v>345919</v>
      </c>
      <c r="G793" s="35">
        <v>2016</v>
      </c>
      <c r="H793">
        <f>Table_8[[#This Row],[Listing Price (USD)]]/10000</f>
        <v>34.591900000000003</v>
      </c>
      <c r="I793">
        <f>Table_8[[#This Row],[Length 
(ft)]]</f>
        <v>39.5</v>
      </c>
      <c r="J793" s="37">
        <f>2020-Table_8[[#This Row],[Year]]</f>
        <v>4</v>
      </c>
      <c r="K793">
        <v>57472012426.685303</v>
      </c>
      <c r="L793">
        <v>14198.753959474399</v>
      </c>
      <c r="M793">
        <v>0.15481137456202801</v>
      </c>
      <c r="N793">
        <v>-8.5803430210621805</v>
      </c>
      <c r="O793" s="39">
        <v>39.17</v>
      </c>
      <c r="P793" s="39">
        <v>979.00199999999995</v>
      </c>
      <c r="Q793" s="39">
        <v>114</v>
      </c>
      <c r="R793" s="39">
        <v>22.67</v>
      </c>
    </row>
    <row r="794" spans="1:18" x14ac:dyDescent="0.25">
      <c r="A794" s="1" t="s">
        <v>444</v>
      </c>
      <c r="B794" s="2" t="s">
        <v>445</v>
      </c>
      <c r="C794" s="19">
        <v>39.5</v>
      </c>
      <c r="D794" s="3" t="s">
        <v>496</v>
      </c>
      <c r="E794" s="4" t="s">
        <v>31</v>
      </c>
      <c r="F794" s="23">
        <v>345919</v>
      </c>
      <c r="G794" s="35">
        <v>2016</v>
      </c>
      <c r="H794">
        <f>Table_8[[#This Row],[Listing Price (USD)]]/10000</f>
        <v>34.591900000000003</v>
      </c>
      <c r="I794">
        <f>Table_8[[#This Row],[Length 
(ft)]]</f>
        <v>39.5</v>
      </c>
      <c r="J794" s="37">
        <f>2020-Table_8[[#This Row],[Year]]</f>
        <v>4</v>
      </c>
      <c r="K794">
        <v>57472012426.685303</v>
      </c>
      <c r="L794">
        <v>14198.753959474399</v>
      </c>
      <c r="M794">
        <v>0.15481137456202801</v>
      </c>
      <c r="N794">
        <v>-8.5803430210621805</v>
      </c>
      <c r="O794" s="39">
        <v>39.17</v>
      </c>
      <c r="P794" s="39">
        <v>979.00199999999995</v>
      </c>
      <c r="Q794" s="39">
        <v>114</v>
      </c>
      <c r="R794" s="39">
        <v>22.67</v>
      </c>
    </row>
    <row r="795" spans="1:18" x14ac:dyDescent="0.25">
      <c r="A795" s="1" t="s">
        <v>444</v>
      </c>
      <c r="B795" s="2" t="s">
        <v>445</v>
      </c>
      <c r="C795" s="19">
        <v>39.5</v>
      </c>
      <c r="D795" s="3" t="s">
        <v>496</v>
      </c>
      <c r="E795" s="4" t="s">
        <v>3</v>
      </c>
      <c r="F795" s="23">
        <v>351987</v>
      </c>
      <c r="G795" s="35">
        <v>2015</v>
      </c>
      <c r="H795">
        <f>Table_8[[#This Row],[Listing Price (USD)]]/10000</f>
        <v>35.198700000000002</v>
      </c>
      <c r="I795">
        <f>Table_8[[#This Row],[Length 
(ft)]]</f>
        <v>39.5</v>
      </c>
      <c r="J795" s="37">
        <f>2020-Table_8[[#This Row],[Year]]</f>
        <v>5</v>
      </c>
      <c r="K795">
        <v>2639008701648.2598</v>
      </c>
      <c r="L795">
        <v>39055.282928075401</v>
      </c>
      <c r="M795">
        <v>0.47649885272508302</v>
      </c>
      <c r="N795">
        <v>-7.7845864916787102</v>
      </c>
      <c r="O795" s="39">
        <v>39.17</v>
      </c>
      <c r="P795" s="39">
        <v>979.00199999999995</v>
      </c>
      <c r="Q795" s="39">
        <v>114</v>
      </c>
      <c r="R795" s="39">
        <v>22.67</v>
      </c>
    </row>
    <row r="796" spans="1:18" x14ac:dyDescent="0.25">
      <c r="A796" s="1" t="s">
        <v>444</v>
      </c>
      <c r="B796" s="2" t="s">
        <v>445</v>
      </c>
      <c r="C796" s="19">
        <v>39.5</v>
      </c>
      <c r="D796" s="3" t="s">
        <v>496</v>
      </c>
      <c r="E796" s="4" t="s">
        <v>3</v>
      </c>
      <c r="F796" s="23">
        <v>352214</v>
      </c>
      <c r="G796" s="35">
        <v>2015</v>
      </c>
      <c r="H796">
        <f>Table_8[[#This Row],[Listing Price (USD)]]/10000</f>
        <v>35.221400000000003</v>
      </c>
      <c r="I796">
        <f>Table_8[[#This Row],[Length 
(ft)]]</f>
        <v>39.5</v>
      </c>
      <c r="J796" s="37">
        <f>2020-Table_8[[#This Row],[Year]]</f>
        <v>5</v>
      </c>
      <c r="K796">
        <v>2639008701648.2598</v>
      </c>
      <c r="L796">
        <v>39055.282928075401</v>
      </c>
      <c r="M796">
        <v>0.47649885272508302</v>
      </c>
      <c r="N796">
        <v>-7.7845864916787102</v>
      </c>
      <c r="O796" s="39">
        <v>39.17</v>
      </c>
      <c r="P796" s="39">
        <v>979.00199999999995</v>
      </c>
      <c r="Q796" s="39">
        <v>114</v>
      </c>
      <c r="R796" s="39">
        <v>22.67</v>
      </c>
    </row>
    <row r="797" spans="1:18" x14ac:dyDescent="0.25">
      <c r="A797" s="1" t="s">
        <v>444</v>
      </c>
      <c r="B797" s="2" t="s">
        <v>445</v>
      </c>
      <c r="C797" s="19">
        <v>39.5</v>
      </c>
      <c r="D797" s="3" t="s">
        <v>496</v>
      </c>
      <c r="E797" s="4" t="s">
        <v>9</v>
      </c>
      <c r="F797" s="23">
        <v>363765</v>
      </c>
      <c r="G797" s="35">
        <v>2015</v>
      </c>
      <c r="H797">
        <f>Table_8[[#This Row],[Listing Price (USD)]]/10000</f>
        <v>36.3765</v>
      </c>
      <c r="I797">
        <f>Table_8[[#This Row],[Length 
(ft)]]</f>
        <v>39.5</v>
      </c>
      <c r="J797" s="37">
        <f>2020-Table_8[[#This Row],[Year]]</f>
        <v>5</v>
      </c>
      <c r="K797">
        <v>1276962685648.25</v>
      </c>
      <c r="L797">
        <v>26959.675436732599</v>
      </c>
      <c r="M797">
        <v>-0.32275301729970501</v>
      </c>
      <c r="N797">
        <v>-11.3254383222864</v>
      </c>
      <c r="O797" s="39">
        <v>39.17</v>
      </c>
      <c r="P797" s="39">
        <v>979.00199999999995</v>
      </c>
      <c r="Q797" s="39">
        <v>114</v>
      </c>
      <c r="R797" s="39">
        <v>22.67</v>
      </c>
    </row>
    <row r="798" spans="1:18" x14ac:dyDescent="0.25">
      <c r="A798" s="1" t="s">
        <v>444</v>
      </c>
      <c r="B798" s="2" t="s">
        <v>445</v>
      </c>
      <c r="C798" s="19">
        <v>39.5</v>
      </c>
      <c r="D798" s="3" t="s">
        <v>496</v>
      </c>
      <c r="E798" s="4" t="s">
        <v>18</v>
      </c>
      <c r="F798" s="23">
        <v>376262</v>
      </c>
      <c r="G798" s="35">
        <v>2016</v>
      </c>
      <c r="H798">
        <f>Table_8[[#This Row],[Listing Price (USD)]]/10000</f>
        <v>37.626199999999997</v>
      </c>
      <c r="I798">
        <f>Table_8[[#This Row],[Length 
(ft)]]</f>
        <v>39.5</v>
      </c>
      <c r="J798" s="37">
        <f>2020-Table_8[[#This Row],[Year]]</f>
        <v>4</v>
      </c>
      <c r="K798">
        <v>188925995936.80701</v>
      </c>
      <c r="L798">
        <v>17658.947301119199</v>
      </c>
      <c r="M798">
        <v>-1.2479835558140799</v>
      </c>
      <c r="N798">
        <v>-9.0040436420214593</v>
      </c>
      <c r="O798" s="39">
        <v>39.17</v>
      </c>
      <c r="P798" s="39">
        <v>979.00199999999995</v>
      </c>
      <c r="Q798" s="39">
        <v>114</v>
      </c>
      <c r="R798" s="39">
        <v>22.67</v>
      </c>
    </row>
    <row r="799" spans="1:18" x14ac:dyDescent="0.25">
      <c r="A799" s="1" t="s">
        <v>444</v>
      </c>
      <c r="B799" s="2" t="s">
        <v>445</v>
      </c>
      <c r="C799" s="19">
        <v>39.5</v>
      </c>
      <c r="D799" s="3" t="s">
        <v>497</v>
      </c>
      <c r="E799" s="3" t="s">
        <v>370</v>
      </c>
      <c r="F799" s="23">
        <v>380000</v>
      </c>
      <c r="G799" s="35">
        <v>2016</v>
      </c>
      <c r="H799">
        <f>Table_8[[#This Row],[Listing Price (USD)]]/10000</f>
        <v>38</v>
      </c>
      <c r="I799">
        <f>Table_8[[#This Row],[Length 
(ft)]]</f>
        <v>39.5</v>
      </c>
      <c r="J799" s="37">
        <f>2020-Table_8[[#This Row],[Year]]</f>
        <v>4</v>
      </c>
      <c r="K799">
        <v>500000000</v>
      </c>
      <c r="L799">
        <v>34200</v>
      </c>
      <c r="M799">
        <v>1.1000000000000001</v>
      </c>
      <c r="N799">
        <v>2</v>
      </c>
      <c r="O799" s="39">
        <v>39.17</v>
      </c>
      <c r="P799" s="39">
        <v>979.00199999999995</v>
      </c>
      <c r="Q799" s="39">
        <v>114</v>
      </c>
      <c r="R799" s="39">
        <v>22.67</v>
      </c>
    </row>
    <row r="800" spans="1:18" x14ac:dyDescent="0.25">
      <c r="A800" s="1" t="s">
        <v>444</v>
      </c>
      <c r="B800" s="2" t="s">
        <v>445</v>
      </c>
      <c r="C800" s="19">
        <v>39.5</v>
      </c>
      <c r="D800" s="3" t="s">
        <v>496</v>
      </c>
      <c r="E800" s="4" t="s">
        <v>9</v>
      </c>
      <c r="F800" s="23">
        <v>382210</v>
      </c>
      <c r="G800" s="35">
        <v>2015</v>
      </c>
      <c r="H800">
        <f>Table_8[[#This Row],[Listing Price (USD)]]/10000</f>
        <v>38.220999999999997</v>
      </c>
      <c r="I800">
        <f>Table_8[[#This Row],[Length 
(ft)]]</f>
        <v>39.5</v>
      </c>
      <c r="J800" s="37">
        <f>2020-Table_8[[#This Row],[Year]]</f>
        <v>5</v>
      </c>
      <c r="K800">
        <v>1276962685648.25</v>
      </c>
      <c r="L800">
        <v>26959.675436732599</v>
      </c>
      <c r="M800">
        <v>-0.32275301729970501</v>
      </c>
      <c r="N800">
        <v>-11.3254383222864</v>
      </c>
      <c r="O800" s="39">
        <v>39.17</v>
      </c>
      <c r="P800" s="39">
        <v>979.00199999999995</v>
      </c>
      <c r="Q800" s="39">
        <v>114</v>
      </c>
      <c r="R800" s="39">
        <v>22.67</v>
      </c>
    </row>
    <row r="801" spans="1:18" x14ac:dyDescent="0.25">
      <c r="A801" s="1" t="s">
        <v>444</v>
      </c>
      <c r="B801" s="2" t="s">
        <v>445</v>
      </c>
      <c r="C801" s="19">
        <v>39.5</v>
      </c>
      <c r="D801" s="3" t="s">
        <v>496</v>
      </c>
      <c r="E801" s="4" t="s">
        <v>3</v>
      </c>
      <c r="F801" s="23">
        <v>388400</v>
      </c>
      <c r="G801" s="35">
        <v>2015</v>
      </c>
      <c r="H801">
        <f>Table_8[[#This Row],[Listing Price (USD)]]/10000</f>
        <v>38.840000000000003</v>
      </c>
      <c r="I801">
        <f>Table_8[[#This Row],[Length 
(ft)]]</f>
        <v>39.5</v>
      </c>
      <c r="J801" s="37">
        <f>2020-Table_8[[#This Row],[Year]]</f>
        <v>5</v>
      </c>
      <c r="K801">
        <v>2639008701648.2598</v>
      </c>
      <c r="L801">
        <v>39055.282928075401</v>
      </c>
      <c r="M801">
        <v>0.47649885272508302</v>
      </c>
      <c r="N801">
        <v>-7.7845864916787102</v>
      </c>
      <c r="O801" s="39">
        <v>39.17</v>
      </c>
      <c r="P801" s="39">
        <v>979.00199999999995</v>
      </c>
      <c r="Q801" s="39">
        <v>114</v>
      </c>
      <c r="R801" s="39">
        <v>22.67</v>
      </c>
    </row>
    <row r="802" spans="1:18" x14ac:dyDescent="0.25">
      <c r="A802" s="1" t="s">
        <v>444</v>
      </c>
      <c r="B802" s="2" t="s">
        <v>445</v>
      </c>
      <c r="C802" s="19">
        <v>40</v>
      </c>
      <c r="D802" s="3" t="s">
        <v>495</v>
      </c>
      <c r="E802" s="3" t="s">
        <v>521</v>
      </c>
      <c r="F802" s="23">
        <v>398000</v>
      </c>
      <c r="G802" s="35">
        <v>2017</v>
      </c>
      <c r="H802">
        <f>Table_8[[#This Row],[Listing Price (USD)]]/10000</f>
        <v>39.799999999999997</v>
      </c>
      <c r="I802">
        <f>Table_8[[#This Row],[Length 
(ft)]]</f>
        <v>40</v>
      </c>
      <c r="J802" s="37">
        <f>2020-Table_8[[#This Row],[Year]]</f>
        <v>3</v>
      </c>
      <c r="K802">
        <v>60556000000</v>
      </c>
      <c r="L802">
        <v>55240.56</v>
      </c>
      <c r="M802">
        <v>3</v>
      </c>
      <c r="N802">
        <v>2.2000000000000002</v>
      </c>
      <c r="O802" s="39">
        <v>39.17</v>
      </c>
      <c r="P802" s="39">
        <v>979.00199999999995</v>
      </c>
      <c r="Q802" s="39">
        <v>114</v>
      </c>
      <c r="R802" s="39">
        <v>22.67</v>
      </c>
    </row>
    <row r="803" spans="1:18" x14ac:dyDescent="0.25">
      <c r="A803" s="1" t="s">
        <v>444</v>
      </c>
      <c r="B803" s="2" t="s">
        <v>445</v>
      </c>
      <c r="C803" s="19">
        <v>39.5</v>
      </c>
      <c r="D803" s="3" t="s">
        <v>496</v>
      </c>
      <c r="E803" s="4" t="s">
        <v>18</v>
      </c>
      <c r="F803" s="23">
        <v>418744</v>
      </c>
      <c r="G803" s="35">
        <v>2015</v>
      </c>
      <c r="H803">
        <f>Table_8[[#This Row],[Listing Price (USD)]]/10000</f>
        <v>41.874400000000001</v>
      </c>
      <c r="I803">
        <f>Table_8[[#This Row],[Length 
(ft)]]</f>
        <v>39.5</v>
      </c>
      <c r="J803" s="37">
        <f>2020-Table_8[[#This Row],[Year]]</f>
        <v>5</v>
      </c>
      <c r="K803">
        <v>188925995936.80701</v>
      </c>
      <c r="L803">
        <v>17658.947301119199</v>
      </c>
      <c r="M803">
        <v>-1.2479835558140799</v>
      </c>
      <c r="N803">
        <v>-9.0040436420214593</v>
      </c>
      <c r="O803" s="39">
        <v>39.17</v>
      </c>
      <c r="P803" s="39">
        <v>979.00199999999995</v>
      </c>
      <c r="Q803" s="39">
        <v>114</v>
      </c>
      <c r="R803" s="39">
        <v>22.67</v>
      </c>
    </row>
    <row r="804" spans="1:18" x14ac:dyDescent="0.25">
      <c r="A804" s="1" t="s">
        <v>444</v>
      </c>
      <c r="B804" s="2" t="s">
        <v>445</v>
      </c>
      <c r="C804" s="19">
        <v>39.5</v>
      </c>
      <c r="D804" s="3" t="s">
        <v>496</v>
      </c>
      <c r="E804" s="4" t="s">
        <v>3</v>
      </c>
      <c r="F804" s="23">
        <v>449087</v>
      </c>
      <c r="G804" s="35">
        <v>2018</v>
      </c>
      <c r="H804">
        <f>Table_8[[#This Row],[Listing Price (USD)]]/10000</f>
        <v>44.908700000000003</v>
      </c>
      <c r="I804">
        <f>Table_8[[#This Row],[Length 
(ft)]]</f>
        <v>39.5</v>
      </c>
      <c r="J804" s="37">
        <f>2020-Table_8[[#This Row],[Year]]</f>
        <v>2</v>
      </c>
      <c r="K804">
        <v>2639008701648.2598</v>
      </c>
      <c r="L804">
        <v>39055.282928075401</v>
      </c>
      <c r="M804">
        <v>0.47649885272508302</v>
      </c>
      <c r="N804">
        <v>-7.7845864916787102</v>
      </c>
      <c r="O804" s="39">
        <v>39.17</v>
      </c>
      <c r="P804" s="39">
        <v>979.00199999999995</v>
      </c>
      <c r="Q804" s="39">
        <v>114</v>
      </c>
      <c r="R804" s="39">
        <v>22.67</v>
      </c>
    </row>
    <row r="805" spans="1:18" x14ac:dyDescent="0.25">
      <c r="A805" s="1" t="s">
        <v>444</v>
      </c>
      <c r="B805" s="2" t="s">
        <v>445</v>
      </c>
      <c r="C805" s="19">
        <v>39.5</v>
      </c>
      <c r="D805" s="3" t="s">
        <v>496</v>
      </c>
      <c r="E805" s="4" t="s">
        <v>63</v>
      </c>
      <c r="F805" s="23">
        <v>449087</v>
      </c>
      <c r="G805" s="35">
        <v>2018</v>
      </c>
      <c r="H805">
        <f>Table_8[[#This Row],[Listing Price (USD)]]/10000</f>
        <v>44.908700000000003</v>
      </c>
      <c r="I805">
        <f>Table_8[[#This Row],[Length 
(ft)]]</f>
        <v>39.5</v>
      </c>
      <c r="J805" s="37">
        <f>2020-Table_8[[#This Row],[Year]]</f>
        <v>2</v>
      </c>
      <c r="K805">
        <v>720290000000</v>
      </c>
      <c r="L805">
        <v>13341.6</v>
      </c>
      <c r="M805">
        <v>13</v>
      </c>
      <c r="N805">
        <v>-3</v>
      </c>
      <c r="O805" s="39">
        <v>39.17</v>
      </c>
      <c r="P805" s="39">
        <v>979.00199999999995</v>
      </c>
      <c r="Q805" s="39">
        <v>114</v>
      </c>
      <c r="R805" s="39">
        <v>22.67</v>
      </c>
    </row>
    <row r="806" spans="1:18" x14ac:dyDescent="0.25">
      <c r="A806" s="1" t="s">
        <v>444</v>
      </c>
      <c r="B806" s="2" t="s">
        <v>445</v>
      </c>
      <c r="C806" s="19">
        <v>39.5</v>
      </c>
      <c r="D806" s="3" t="s">
        <v>496</v>
      </c>
      <c r="E806" s="4" t="s">
        <v>3</v>
      </c>
      <c r="F806" s="23">
        <v>449438</v>
      </c>
      <c r="G806" s="35">
        <v>2018</v>
      </c>
      <c r="H806">
        <f>Table_8[[#This Row],[Listing Price (USD)]]/10000</f>
        <v>44.943800000000003</v>
      </c>
      <c r="I806">
        <f>Table_8[[#This Row],[Length 
(ft)]]</f>
        <v>39.5</v>
      </c>
      <c r="J806" s="37">
        <f>2020-Table_8[[#This Row],[Year]]</f>
        <v>2</v>
      </c>
      <c r="K806">
        <v>2639008701648.2598</v>
      </c>
      <c r="L806">
        <v>39055.282928075401</v>
      </c>
      <c r="M806">
        <v>0.47649885272508302</v>
      </c>
      <c r="N806">
        <v>-7.7845864916787102</v>
      </c>
      <c r="O806" s="39">
        <v>39.17</v>
      </c>
      <c r="P806" s="39">
        <v>979.00199999999995</v>
      </c>
      <c r="Q806" s="39">
        <v>114</v>
      </c>
      <c r="R806" s="39">
        <v>22.67</v>
      </c>
    </row>
    <row r="807" spans="1:18" x14ac:dyDescent="0.25">
      <c r="A807" s="1" t="s">
        <v>444</v>
      </c>
      <c r="B807" s="2" t="s">
        <v>445</v>
      </c>
      <c r="C807" s="19">
        <v>39.5</v>
      </c>
      <c r="D807" s="3" t="s">
        <v>497</v>
      </c>
      <c r="E807" s="3" t="s">
        <v>483</v>
      </c>
      <c r="F807" s="23">
        <v>454706</v>
      </c>
      <c r="G807" s="35">
        <v>2018</v>
      </c>
      <c r="H807">
        <f>Table_8[[#This Row],[Listing Price (USD)]]/10000</f>
        <v>45.470599999999997</v>
      </c>
      <c r="I807">
        <f>Table_8[[#This Row],[Length 
(ft)]]</f>
        <v>39.5</v>
      </c>
      <c r="J807" s="37">
        <f>2020-Table_8[[#This Row],[Year]]</f>
        <v>2</v>
      </c>
      <c r="K807">
        <v>4200000000</v>
      </c>
      <c r="L807">
        <v>39553.199999999997</v>
      </c>
      <c r="M807">
        <v>2.5</v>
      </c>
      <c r="N807">
        <v>-2.1</v>
      </c>
      <c r="O807" s="39">
        <v>39.17</v>
      </c>
      <c r="P807" s="39">
        <v>979.00199999999995</v>
      </c>
      <c r="Q807" s="39">
        <v>114</v>
      </c>
      <c r="R807" s="39">
        <v>22.67</v>
      </c>
    </row>
    <row r="808" spans="1:18" x14ac:dyDescent="0.25">
      <c r="A808" s="1" t="s">
        <v>444</v>
      </c>
      <c r="B808" s="3" t="s">
        <v>445</v>
      </c>
      <c r="C808" s="19">
        <v>39.5</v>
      </c>
      <c r="D808" s="3" t="s">
        <v>497</v>
      </c>
      <c r="E808" s="3" t="s">
        <v>483</v>
      </c>
      <c r="F808" s="23">
        <v>455529</v>
      </c>
      <c r="G808" s="35">
        <v>2018</v>
      </c>
      <c r="H808">
        <f>Table_8[[#This Row],[Listing Price (USD)]]/10000</f>
        <v>45.552900000000001</v>
      </c>
      <c r="I808">
        <f>Table_8[[#This Row],[Length 
(ft)]]</f>
        <v>39.5</v>
      </c>
      <c r="J808" s="37">
        <f>2020-Table_8[[#This Row],[Year]]</f>
        <v>2</v>
      </c>
      <c r="K808">
        <v>4200000000</v>
      </c>
      <c r="L808">
        <v>39553.199999999997</v>
      </c>
      <c r="M808">
        <v>2.5</v>
      </c>
      <c r="N808">
        <v>-2.1</v>
      </c>
      <c r="O808" s="39">
        <v>39.17</v>
      </c>
      <c r="P808" s="39">
        <v>979.00199999999995</v>
      </c>
      <c r="Q808" s="39">
        <v>114</v>
      </c>
      <c r="R808" s="39">
        <v>22.67</v>
      </c>
    </row>
    <row r="809" spans="1:18" x14ac:dyDescent="0.25">
      <c r="A809" s="1" t="s">
        <v>444</v>
      </c>
      <c r="B809" s="2" t="s">
        <v>445</v>
      </c>
      <c r="C809" s="19">
        <v>39.5</v>
      </c>
      <c r="D809" s="3" t="s">
        <v>496</v>
      </c>
      <c r="E809" s="4" t="s">
        <v>31</v>
      </c>
      <c r="F809" s="23">
        <v>475638</v>
      </c>
      <c r="G809" s="35">
        <v>2016</v>
      </c>
      <c r="H809">
        <f>Table_8[[#This Row],[Listing Price (USD)]]/10000</f>
        <v>47.563800000000001</v>
      </c>
      <c r="I809">
        <f>Table_8[[#This Row],[Length 
(ft)]]</f>
        <v>39.5</v>
      </c>
      <c r="J809" s="37">
        <f>2020-Table_8[[#This Row],[Year]]</f>
        <v>4</v>
      </c>
      <c r="K809">
        <v>57472012426.685303</v>
      </c>
      <c r="L809">
        <v>14198.753959474399</v>
      </c>
      <c r="M809">
        <v>0.15481137456202801</v>
      </c>
      <c r="N809">
        <v>-8.5803430210621805</v>
      </c>
      <c r="O809" s="39">
        <v>39.17</v>
      </c>
      <c r="P809" s="39">
        <v>979.00199999999995</v>
      </c>
      <c r="Q809" s="39">
        <v>114</v>
      </c>
      <c r="R809" s="39">
        <v>22.67</v>
      </c>
    </row>
    <row r="810" spans="1:18" x14ac:dyDescent="0.25">
      <c r="A810" s="1" t="s">
        <v>444</v>
      </c>
      <c r="B810" s="2" t="s">
        <v>445</v>
      </c>
      <c r="C810" s="19">
        <v>39.5</v>
      </c>
      <c r="D810" s="3" t="s">
        <v>496</v>
      </c>
      <c r="E810" s="4" t="s">
        <v>3</v>
      </c>
      <c r="F810" s="23">
        <v>479431</v>
      </c>
      <c r="G810" s="35">
        <v>2017</v>
      </c>
      <c r="H810">
        <f>Table_8[[#This Row],[Listing Price (USD)]]/10000</f>
        <v>47.943100000000001</v>
      </c>
      <c r="I810">
        <f>Table_8[[#This Row],[Length 
(ft)]]</f>
        <v>39.5</v>
      </c>
      <c r="J810" s="37">
        <f>2020-Table_8[[#This Row],[Year]]</f>
        <v>3</v>
      </c>
      <c r="K810">
        <v>2639008701648.2598</v>
      </c>
      <c r="L810">
        <v>39055.282928075401</v>
      </c>
      <c r="M810">
        <v>0.47649885272508302</v>
      </c>
      <c r="N810">
        <v>-7.7845864916787102</v>
      </c>
      <c r="O810" s="39">
        <v>39.17</v>
      </c>
      <c r="P810" s="39">
        <v>979.00199999999995</v>
      </c>
      <c r="Q810" s="39">
        <v>114</v>
      </c>
      <c r="R810" s="39">
        <v>22.67</v>
      </c>
    </row>
    <row r="811" spans="1:18" x14ac:dyDescent="0.25">
      <c r="A811" s="1" t="s">
        <v>427</v>
      </c>
      <c r="B811" s="2" t="s">
        <v>531</v>
      </c>
      <c r="C811" s="19">
        <v>39</v>
      </c>
      <c r="D811" s="3" t="s">
        <v>497</v>
      </c>
      <c r="E811" s="3" t="s">
        <v>511</v>
      </c>
      <c r="F811" s="23">
        <v>285000</v>
      </c>
      <c r="G811" s="35">
        <v>2010</v>
      </c>
      <c r="H811">
        <f>Table_8[[#This Row],[Listing Price (USD)]]/10000</f>
        <v>28.5</v>
      </c>
      <c r="I811">
        <f>Table_8[[#This Row],[Length 
(ft)]]</f>
        <v>39</v>
      </c>
      <c r="J811" s="37">
        <f>2020-Table_8[[#This Row],[Year]]</f>
        <v>10</v>
      </c>
      <c r="K811">
        <v>2080000000</v>
      </c>
      <c r="L811">
        <v>5266.8761600421303</v>
      </c>
      <c r="M811">
        <v>0.12143464461495999</v>
      </c>
      <c r="N811">
        <v>-13.4029590948651</v>
      </c>
      <c r="O811" s="39">
        <v>34.450000000000003</v>
      </c>
      <c r="P811" s="39">
        <v>868.00199999999995</v>
      </c>
      <c r="Q811" s="39">
        <v>40</v>
      </c>
      <c r="R811" s="39">
        <v>12.53</v>
      </c>
    </row>
    <row r="812" spans="1:18" x14ac:dyDescent="0.25">
      <c r="A812" s="1" t="s">
        <v>427</v>
      </c>
      <c r="B812" s="2" t="s">
        <v>432</v>
      </c>
      <c r="C812" s="19">
        <v>39</v>
      </c>
      <c r="D812" s="3" t="s">
        <v>496</v>
      </c>
      <c r="E812" s="4" t="s">
        <v>31</v>
      </c>
      <c r="F812" s="23">
        <v>267197</v>
      </c>
      <c r="G812" s="35">
        <v>2013</v>
      </c>
      <c r="H812">
        <f>Table_8[[#This Row],[Listing Price (USD)]]/10000</f>
        <v>26.7197</v>
      </c>
      <c r="I812">
        <f>Table_8[[#This Row],[Length 
(ft)]]</f>
        <v>39</v>
      </c>
      <c r="J812" s="37">
        <f>2020-Table_8[[#This Row],[Year]]</f>
        <v>7</v>
      </c>
      <c r="K812">
        <v>57472012426.685303</v>
      </c>
      <c r="L812">
        <v>14198.753959474399</v>
      </c>
      <c r="M812">
        <v>0.15481137456202801</v>
      </c>
      <c r="N812">
        <v>-8.5803430210621805</v>
      </c>
      <c r="O812" s="39">
        <v>34.450000000000003</v>
      </c>
      <c r="P812" s="39">
        <v>868.00199999999995</v>
      </c>
      <c r="Q812" s="39">
        <v>40</v>
      </c>
      <c r="R812" s="39">
        <v>12.53</v>
      </c>
    </row>
    <row r="813" spans="1:18" x14ac:dyDescent="0.25">
      <c r="A813" s="1" t="s">
        <v>427</v>
      </c>
      <c r="B813" s="3" t="s">
        <v>432</v>
      </c>
      <c r="C813" s="19">
        <v>39</v>
      </c>
      <c r="D813" s="3" t="s">
        <v>497</v>
      </c>
      <c r="E813" s="3" t="s">
        <v>483</v>
      </c>
      <c r="F813" s="23">
        <v>285558</v>
      </c>
      <c r="G813" s="35">
        <v>2013</v>
      </c>
      <c r="H813">
        <f>Table_8[[#This Row],[Listing Price (USD)]]/10000</f>
        <v>28.555800000000001</v>
      </c>
      <c r="I813">
        <f>Table_8[[#This Row],[Length 
(ft)]]</f>
        <v>39</v>
      </c>
      <c r="J813" s="37">
        <f>2020-Table_8[[#This Row],[Year]]</f>
        <v>7</v>
      </c>
      <c r="K813">
        <v>4200000000</v>
      </c>
      <c r="L813">
        <v>39553.199999999997</v>
      </c>
      <c r="M813">
        <v>2.5</v>
      </c>
      <c r="N813">
        <v>-2.1</v>
      </c>
      <c r="O813" s="39">
        <v>34.450000000000003</v>
      </c>
      <c r="P813" s="39">
        <v>868.00199999999995</v>
      </c>
      <c r="Q813" s="39">
        <v>40</v>
      </c>
      <c r="R813" s="39">
        <v>12.53</v>
      </c>
    </row>
    <row r="814" spans="1:18" x14ac:dyDescent="0.25">
      <c r="A814" s="1" t="s">
        <v>427</v>
      </c>
      <c r="B814" s="2" t="s">
        <v>432</v>
      </c>
      <c r="C814" s="19">
        <v>39</v>
      </c>
      <c r="D814" s="3" t="s">
        <v>496</v>
      </c>
      <c r="E814" s="4" t="s">
        <v>3</v>
      </c>
      <c r="F814" s="23">
        <v>315778</v>
      </c>
      <c r="G814" s="35">
        <v>2014</v>
      </c>
      <c r="H814">
        <f>Table_8[[#This Row],[Listing Price (USD)]]/10000</f>
        <v>31.5778</v>
      </c>
      <c r="I814">
        <f>Table_8[[#This Row],[Length 
(ft)]]</f>
        <v>39</v>
      </c>
      <c r="J814" s="37">
        <f>2020-Table_8[[#This Row],[Year]]</f>
        <v>6</v>
      </c>
      <c r="K814">
        <v>2639008701648.2598</v>
      </c>
      <c r="L814">
        <v>39055.282928075401</v>
      </c>
      <c r="M814">
        <v>0.47649885272508302</v>
      </c>
      <c r="N814">
        <v>-7.7845864916787102</v>
      </c>
      <c r="O814" s="39">
        <v>34.450000000000003</v>
      </c>
      <c r="P814" s="39">
        <v>868.00199999999995</v>
      </c>
      <c r="Q814" s="39">
        <v>40</v>
      </c>
      <c r="R814" s="39">
        <v>12.53</v>
      </c>
    </row>
    <row r="815" spans="1:18" x14ac:dyDescent="0.25">
      <c r="A815" s="1" t="s">
        <v>427</v>
      </c>
      <c r="B815" s="2" t="s">
        <v>432</v>
      </c>
      <c r="C815" s="19">
        <v>39</v>
      </c>
      <c r="D815" s="3" t="s">
        <v>496</v>
      </c>
      <c r="E815" s="3" t="s">
        <v>3</v>
      </c>
      <c r="F815" s="23">
        <v>315778</v>
      </c>
      <c r="G815" s="35">
        <v>2014</v>
      </c>
      <c r="H815">
        <f>Table_8[[#This Row],[Listing Price (USD)]]/10000</f>
        <v>31.5778</v>
      </c>
      <c r="I815">
        <f>Table_8[[#This Row],[Length 
(ft)]]</f>
        <v>39</v>
      </c>
      <c r="J815" s="37">
        <f>2020-Table_8[[#This Row],[Year]]</f>
        <v>6</v>
      </c>
      <c r="K815">
        <v>2639008701648.2598</v>
      </c>
      <c r="L815">
        <v>39055.282928075401</v>
      </c>
      <c r="M815">
        <v>0.47649885272508302</v>
      </c>
      <c r="N815">
        <v>-7.7845864916787102</v>
      </c>
      <c r="O815" s="39">
        <v>34.450000000000003</v>
      </c>
      <c r="P815" s="39">
        <v>868.00199999999995</v>
      </c>
      <c r="Q815" s="39">
        <v>40</v>
      </c>
      <c r="R815" s="39">
        <v>12.53</v>
      </c>
    </row>
    <row r="816" spans="1:18" x14ac:dyDescent="0.25">
      <c r="A816" s="1" t="s">
        <v>427</v>
      </c>
      <c r="B816" s="2" t="s">
        <v>432</v>
      </c>
      <c r="C816" s="19">
        <v>39</v>
      </c>
      <c r="D816" s="3" t="s">
        <v>496</v>
      </c>
      <c r="E816" s="4" t="s">
        <v>24</v>
      </c>
      <c r="F816" s="23">
        <v>315821</v>
      </c>
      <c r="G816" s="35">
        <v>2016</v>
      </c>
      <c r="H816">
        <f>Table_8[[#This Row],[Listing Price (USD)]]/10000</f>
        <v>31.582100000000001</v>
      </c>
      <c r="I816">
        <f>Table_8[[#This Row],[Length 
(ft)]]</f>
        <v>39</v>
      </c>
      <c r="J816" s="37">
        <f>2020-Table_8[[#This Row],[Year]]</f>
        <v>4</v>
      </c>
      <c r="K816">
        <v>1896755301518.1399</v>
      </c>
      <c r="L816">
        <v>31911.0357890017</v>
      </c>
      <c r="M816">
        <v>-0.13770757391656999</v>
      </c>
      <c r="N816">
        <v>-9.0399534112288507</v>
      </c>
      <c r="O816" s="39">
        <v>34.450000000000003</v>
      </c>
      <c r="P816" s="39">
        <v>868.00199999999995</v>
      </c>
      <c r="Q816" s="39">
        <v>40</v>
      </c>
      <c r="R816" s="39">
        <v>12.53</v>
      </c>
    </row>
    <row r="817" spans="1:18" x14ac:dyDescent="0.25">
      <c r="A817" s="1" t="s">
        <v>427</v>
      </c>
      <c r="B817" s="2" t="s">
        <v>432</v>
      </c>
      <c r="C817" s="19">
        <v>39</v>
      </c>
      <c r="D817" s="3" t="s">
        <v>496</v>
      </c>
      <c r="E817" s="4" t="s">
        <v>31</v>
      </c>
      <c r="F817" s="23">
        <v>326753</v>
      </c>
      <c r="G817" s="35">
        <v>2016</v>
      </c>
      <c r="H817">
        <f>Table_8[[#This Row],[Listing Price (USD)]]/10000</f>
        <v>32.6753</v>
      </c>
      <c r="I817">
        <f>Table_8[[#This Row],[Length 
(ft)]]</f>
        <v>39</v>
      </c>
      <c r="J817" s="37">
        <f>2020-Table_8[[#This Row],[Year]]</f>
        <v>4</v>
      </c>
      <c r="K817">
        <v>57472012426.685303</v>
      </c>
      <c r="L817">
        <v>14198.753959474399</v>
      </c>
      <c r="M817">
        <v>0.15481137456202801</v>
      </c>
      <c r="N817">
        <v>-8.5803430210621805</v>
      </c>
      <c r="O817" s="39">
        <v>34.450000000000003</v>
      </c>
      <c r="P817" s="39">
        <v>868.00199999999995</v>
      </c>
      <c r="Q817" s="39">
        <v>40</v>
      </c>
      <c r="R817" s="39">
        <v>12.53</v>
      </c>
    </row>
    <row r="818" spans="1:18" x14ac:dyDescent="0.25">
      <c r="A818" s="1" t="s">
        <v>427</v>
      </c>
      <c r="B818" s="2" t="s">
        <v>432</v>
      </c>
      <c r="C818" s="19">
        <v>39</v>
      </c>
      <c r="D818" s="3" t="s">
        <v>496</v>
      </c>
      <c r="E818" s="4" t="s">
        <v>18</v>
      </c>
      <c r="F818" s="23">
        <v>327923</v>
      </c>
      <c r="G818" s="35">
        <v>2014</v>
      </c>
      <c r="H818">
        <f>Table_8[[#This Row],[Listing Price (USD)]]/10000</f>
        <v>32.792299999999997</v>
      </c>
      <c r="I818">
        <f>Table_8[[#This Row],[Length 
(ft)]]</f>
        <v>39</v>
      </c>
      <c r="J818" s="37">
        <f>2020-Table_8[[#This Row],[Year]]</f>
        <v>6</v>
      </c>
      <c r="K818">
        <v>188925995936.80701</v>
      </c>
      <c r="L818">
        <v>17658.947301119199</v>
      </c>
      <c r="M818">
        <v>-1.2479835558140799</v>
      </c>
      <c r="N818">
        <v>-9.0040436420214593</v>
      </c>
      <c r="O818" s="39">
        <v>34.450000000000003</v>
      </c>
      <c r="P818" s="39">
        <v>868.00199999999995</v>
      </c>
      <c r="Q818" s="39">
        <v>40</v>
      </c>
      <c r="R818" s="39">
        <v>12.53</v>
      </c>
    </row>
    <row r="819" spans="1:18" x14ac:dyDescent="0.25">
      <c r="A819" s="1" t="s">
        <v>427</v>
      </c>
      <c r="B819" s="2" t="s">
        <v>432</v>
      </c>
      <c r="C819" s="19">
        <v>39</v>
      </c>
      <c r="D819" s="3" t="s">
        <v>496</v>
      </c>
      <c r="E819" s="4" t="s">
        <v>18</v>
      </c>
      <c r="F819" s="23">
        <v>327923</v>
      </c>
      <c r="G819" s="35">
        <v>2014</v>
      </c>
      <c r="H819">
        <f>Table_8[[#This Row],[Listing Price (USD)]]/10000</f>
        <v>32.792299999999997</v>
      </c>
      <c r="I819">
        <f>Table_8[[#This Row],[Length 
(ft)]]</f>
        <v>39</v>
      </c>
      <c r="J819" s="37">
        <f>2020-Table_8[[#This Row],[Year]]</f>
        <v>6</v>
      </c>
      <c r="K819">
        <v>188925995936.80701</v>
      </c>
      <c r="L819">
        <v>17658.947301119199</v>
      </c>
      <c r="M819">
        <v>-1.2479835558140799</v>
      </c>
      <c r="N819">
        <v>-9.0040436420214593</v>
      </c>
      <c r="O819" s="39">
        <v>34.450000000000003</v>
      </c>
      <c r="P819" s="39">
        <v>868.00199999999995</v>
      </c>
      <c r="Q819" s="39">
        <v>40</v>
      </c>
      <c r="R819" s="39">
        <v>12.53</v>
      </c>
    </row>
    <row r="820" spans="1:18" x14ac:dyDescent="0.25">
      <c r="A820" s="1" t="s">
        <v>427</v>
      </c>
      <c r="B820" s="2" t="s">
        <v>432</v>
      </c>
      <c r="C820" s="19">
        <v>39</v>
      </c>
      <c r="D820" s="3" t="s">
        <v>496</v>
      </c>
      <c r="E820" s="4" t="s">
        <v>18</v>
      </c>
      <c r="F820" s="23">
        <v>327923</v>
      </c>
      <c r="G820" s="35">
        <v>2014</v>
      </c>
      <c r="H820">
        <f>Table_8[[#This Row],[Listing Price (USD)]]/10000</f>
        <v>32.792299999999997</v>
      </c>
      <c r="I820">
        <f>Table_8[[#This Row],[Length 
(ft)]]</f>
        <v>39</v>
      </c>
      <c r="J820" s="37">
        <f>2020-Table_8[[#This Row],[Year]]</f>
        <v>6</v>
      </c>
      <c r="K820">
        <v>188925995936.80701</v>
      </c>
      <c r="L820">
        <v>17658.947301119199</v>
      </c>
      <c r="M820">
        <v>-1.2479835558140799</v>
      </c>
      <c r="N820">
        <v>-9.0040436420214593</v>
      </c>
      <c r="O820" s="39">
        <v>34.450000000000003</v>
      </c>
      <c r="P820" s="39">
        <v>868.00199999999995</v>
      </c>
      <c r="Q820" s="39">
        <v>40</v>
      </c>
      <c r="R820" s="39">
        <v>12.53</v>
      </c>
    </row>
    <row r="821" spans="1:18" x14ac:dyDescent="0.25">
      <c r="A821" s="1" t="s">
        <v>427</v>
      </c>
      <c r="B821" s="2" t="s">
        <v>432</v>
      </c>
      <c r="C821" s="19">
        <v>39</v>
      </c>
      <c r="D821" s="3" t="s">
        <v>496</v>
      </c>
      <c r="E821" s="4" t="s">
        <v>18</v>
      </c>
      <c r="F821" s="23">
        <v>327923</v>
      </c>
      <c r="G821" s="35">
        <v>2014</v>
      </c>
      <c r="H821">
        <f>Table_8[[#This Row],[Listing Price (USD)]]/10000</f>
        <v>32.792299999999997</v>
      </c>
      <c r="I821">
        <f>Table_8[[#This Row],[Length 
(ft)]]</f>
        <v>39</v>
      </c>
      <c r="J821" s="37">
        <f>2020-Table_8[[#This Row],[Year]]</f>
        <v>6</v>
      </c>
      <c r="K821">
        <v>188925995936.80701</v>
      </c>
      <c r="L821">
        <v>17658.947301119199</v>
      </c>
      <c r="M821">
        <v>-1.2479835558140799</v>
      </c>
      <c r="N821">
        <v>-9.0040436420214593</v>
      </c>
      <c r="O821" s="39">
        <v>34.450000000000003</v>
      </c>
      <c r="P821" s="39">
        <v>868.00199999999995</v>
      </c>
      <c r="Q821" s="39">
        <v>40</v>
      </c>
      <c r="R821" s="39">
        <v>12.53</v>
      </c>
    </row>
    <row r="822" spans="1:18" x14ac:dyDescent="0.25">
      <c r="A822" s="1" t="s">
        <v>427</v>
      </c>
      <c r="B822" s="2" t="s">
        <v>432</v>
      </c>
      <c r="C822" s="19">
        <v>39</v>
      </c>
      <c r="D822" s="3" t="s">
        <v>496</v>
      </c>
      <c r="E822" s="3" t="s">
        <v>56</v>
      </c>
      <c r="F822" s="23">
        <v>327923</v>
      </c>
      <c r="G822" s="35">
        <v>2014</v>
      </c>
      <c r="H822">
        <f>Table_8[[#This Row],[Listing Price (USD)]]/10000</f>
        <v>32.792299999999997</v>
      </c>
      <c r="I822">
        <f>Table_8[[#This Row],[Length 
(ft)]]</f>
        <v>39</v>
      </c>
      <c r="J822" s="37">
        <f>2020-Table_8[[#This Row],[Year]]</f>
        <v>6</v>
      </c>
      <c r="K822">
        <v>14933066818.9606</v>
      </c>
      <c r="L822">
        <v>28977.565567363599</v>
      </c>
      <c r="M822">
        <v>0.63854495677665302</v>
      </c>
      <c r="N822">
        <v>-8.3242832319722009</v>
      </c>
      <c r="O822" s="39">
        <v>34.450000000000003</v>
      </c>
      <c r="P822" s="39">
        <v>868.00199999999995</v>
      </c>
      <c r="Q822" s="39">
        <v>40</v>
      </c>
      <c r="R822" s="39">
        <v>12.53</v>
      </c>
    </row>
    <row r="823" spans="1:18" x14ac:dyDescent="0.25">
      <c r="A823" s="1" t="s">
        <v>427</v>
      </c>
      <c r="B823" s="2" t="s">
        <v>432</v>
      </c>
      <c r="C823" s="19">
        <v>39</v>
      </c>
      <c r="D823" s="3" t="s">
        <v>496</v>
      </c>
      <c r="E823" s="4" t="s">
        <v>18</v>
      </c>
      <c r="F823" s="23">
        <v>327968</v>
      </c>
      <c r="G823" s="35">
        <v>2016</v>
      </c>
      <c r="H823">
        <f>Table_8[[#This Row],[Listing Price (USD)]]/10000</f>
        <v>32.796799999999998</v>
      </c>
      <c r="I823">
        <f>Table_8[[#This Row],[Length 
(ft)]]</f>
        <v>39</v>
      </c>
      <c r="J823" s="37">
        <f>2020-Table_8[[#This Row],[Year]]</f>
        <v>4</v>
      </c>
      <c r="K823">
        <v>188925995936.80701</v>
      </c>
      <c r="L823">
        <v>17658.947301119199</v>
      </c>
      <c r="M823">
        <v>-1.2479835558140799</v>
      </c>
      <c r="N823">
        <v>-9.0040436420214593</v>
      </c>
      <c r="O823" s="39">
        <v>34.450000000000003</v>
      </c>
      <c r="P823" s="39">
        <v>868.00199999999995</v>
      </c>
      <c r="Q823" s="39">
        <v>40</v>
      </c>
      <c r="R823" s="39">
        <v>12.53</v>
      </c>
    </row>
    <row r="824" spans="1:18" x14ac:dyDescent="0.25">
      <c r="A824" s="1" t="s">
        <v>427</v>
      </c>
      <c r="B824" s="2" t="s">
        <v>432</v>
      </c>
      <c r="C824" s="19">
        <v>39</v>
      </c>
      <c r="D824" s="3" t="s">
        <v>496</v>
      </c>
      <c r="E824" s="3" t="s">
        <v>18</v>
      </c>
      <c r="F824" s="23">
        <v>333996</v>
      </c>
      <c r="G824" s="35">
        <v>2014</v>
      </c>
      <c r="H824">
        <f>Table_8[[#This Row],[Listing Price (USD)]]/10000</f>
        <v>33.3996</v>
      </c>
      <c r="I824">
        <f>Table_8[[#This Row],[Length 
(ft)]]</f>
        <v>39</v>
      </c>
      <c r="J824" s="37">
        <f>2020-Table_8[[#This Row],[Year]]</f>
        <v>6</v>
      </c>
      <c r="K824">
        <v>188925995936.80701</v>
      </c>
      <c r="L824">
        <v>17658.947301119199</v>
      </c>
      <c r="M824">
        <v>-1.2479835558140799</v>
      </c>
      <c r="N824">
        <v>-9.0040436420214593</v>
      </c>
      <c r="O824" s="39">
        <v>34.450000000000003</v>
      </c>
      <c r="P824" s="39">
        <v>868.00199999999995</v>
      </c>
      <c r="Q824" s="39">
        <v>40</v>
      </c>
      <c r="R824" s="39">
        <v>12.53</v>
      </c>
    </row>
    <row r="825" spans="1:18" x14ac:dyDescent="0.25">
      <c r="A825" s="1" t="s">
        <v>427</v>
      </c>
      <c r="B825" s="3" t="s">
        <v>432</v>
      </c>
      <c r="C825" s="19">
        <v>39</v>
      </c>
      <c r="D825" s="3" t="s">
        <v>497</v>
      </c>
      <c r="E825" s="3" t="s">
        <v>508</v>
      </c>
      <c r="F825" s="23">
        <v>340000</v>
      </c>
      <c r="G825" s="35">
        <v>2016</v>
      </c>
      <c r="H825">
        <f>Table_8[[#This Row],[Listing Price (USD)]]/10000</f>
        <v>34</v>
      </c>
      <c r="I825">
        <f>Table_8[[#This Row],[Length 
(ft)]]</f>
        <v>39</v>
      </c>
      <c r="J825" s="37">
        <f>2020-Table_8[[#This Row],[Year]]</f>
        <v>4</v>
      </c>
      <c r="K825">
        <v>9700000000</v>
      </c>
      <c r="L825">
        <v>26659</v>
      </c>
      <c r="M825">
        <v>-3.5</v>
      </c>
      <c r="N825">
        <v>-24.2</v>
      </c>
      <c r="O825" s="39">
        <v>34.450000000000003</v>
      </c>
      <c r="P825" s="39">
        <v>868.00199999999995</v>
      </c>
      <c r="Q825" s="39">
        <v>40</v>
      </c>
      <c r="R825" s="39">
        <v>12.53</v>
      </c>
    </row>
    <row r="826" spans="1:18" x14ac:dyDescent="0.25">
      <c r="A826" s="1" t="s">
        <v>427</v>
      </c>
      <c r="B826" s="2" t="s">
        <v>432</v>
      </c>
      <c r="C826" s="19">
        <v>39</v>
      </c>
      <c r="D826" s="3" t="s">
        <v>496</v>
      </c>
      <c r="E826" s="4" t="s">
        <v>31</v>
      </c>
      <c r="F826" s="23">
        <v>340115</v>
      </c>
      <c r="G826" s="35">
        <v>2013</v>
      </c>
      <c r="H826">
        <f>Table_8[[#This Row],[Listing Price (USD)]]/10000</f>
        <v>34.011499999999998</v>
      </c>
      <c r="I826">
        <f>Table_8[[#This Row],[Length 
(ft)]]</f>
        <v>39</v>
      </c>
      <c r="J826" s="37">
        <f>2020-Table_8[[#This Row],[Year]]</f>
        <v>7</v>
      </c>
      <c r="K826">
        <v>57472012426.685303</v>
      </c>
      <c r="L826">
        <v>14198.753959474399</v>
      </c>
      <c r="M826">
        <v>0.15481137456202801</v>
      </c>
      <c r="N826">
        <v>-8.5803430210621805</v>
      </c>
      <c r="O826" s="39">
        <v>34.450000000000003</v>
      </c>
      <c r="P826" s="39">
        <v>868.00199999999995</v>
      </c>
      <c r="Q826" s="39">
        <v>40</v>
      </c>
      <c r="R826" s="39">
        <v>12.53</v>
      </c>
    </row>
    <row r="827" spans="1:18" x14ac:dyDescent="0.25">
      <c r="A827" s="1" t="s">
        <v>427</v>
      </c>
      <c r="B827" s="2" t="s">
        <v>432</v>
      </c>
      <c r="C827" s="19">
        <v>39</v>
      </c>
      <c r="D827" s="3" t="s">
        <v>496</v>
      </c>
      <c r="E827" s="4" t="s">
        <v>18</v>
      </c>
      <c r="F827" s="23">
        <v>388703</v>
      </c>
      <c r="G827" s="35">
        <v>2017</v>
      </c>
      <c r="H827">
        <f>Table_8[[#This Row],[Listing Price (USD)]]/10000</f>
        <v>38.8703</v>
      </c>
      <c r="I827">
        <f>Table_8[[#This Row],[Length 
(ft)]]</f>
        <v>39</v>
      </c>
      <c r="J827" s="37">
        <f>2020-Table_8[[#This Row],[Year]]</f>
        <v>3</v>
      </c>
      <c r="K827">
        <v>188925995936.80701</v>
      </c>
      <c r="L827">
        <v>17658.947301119199</v>
      </c>
      <c r="M827">
        <v>-1.2479835558140799</v>
      </c>
      <c r="N827">
        <v>-9.0040436420214593</v>
      </c>
      <c r="O827" s="39">
        <v>34.450000000000003</v>
      </c>
      <c r="P827" s="39">
        <v>868.00199999999995</v>
      </c>
      <c r="Q827" s="39">
        <v>40</v>
      </c>
      <c r="R827" s="39">
        <v>12.53</v>
      </c>
    </row>
    <row r="828" spans="1:18" x14ac:dyDescent="0.25">
      <c r="A828" s="1" t="s">
        <v>427</v>
      </c>
      <c r="B828" s="2" t="s">
        <v>432</v>
      </c>
      <c r="C828" s="19">
        <v>39</v>
      </c>
      <c r="D828" s="3" t="s">
        <v>496</v>
      </c>
      <c r="E828" s="4" t="s">
        <v>63</v>
      </c>
      <c r="F828" s="23">
        <v>400850</v>
      </c>
      <c r="G828" s="35">
        <v>2016</v>
      </c>
      <c r="H828">
        <f>Table_8[[#This Row],[Listing Price (USD)]]/10000</f>
        <v>40.085000000000001</v>
      </c>
      <c r="I828">
        <f>Table_8[[#This Row],[Length 
(ft)]]</f>
        <v>39</v>
      </c>
      <c r="J828" s="37">
        <f>2020-Table_8[[#This Row],[Year]]</f>
        <v>4</v>
      </c>
      <c r="K828">
        <v>720290000000</v>
      </c>
      <c r="L828">
        <v>13341.6</v>
      </c>
      <c r="M828">
        <v>13</v>
      </c>
      <c r="N828">
        <v>-3</v>
      </c>
      <c r="O828" s="39">
        <v>34.450000000000003</v>
      </c>
      <c r="P828" s="39">
        <v>868.00199999999995</v>
      </c>
      <c r="Q828" s="39">
        <v>40</v>
      </c>
      <c r="R828" s="39">
        <v>12.53</v>
      </c>
    </row>
    <row r="829" spans="1:18" x14ac:dyDescent="0.25">
      <c r="A829" s="1" t="s">
        <v>427</v>
      </c>
      <c r="B829" s="2" t="s">
        <v>433</v>
      </c>
      <c r="C829" s="19">
        <v>40.5</v>
      </c>
      <c r="D829" s="3" t="s">
        <v>496</v>
      </c>
      <c r="E829" s="4" t="s">
        <v>63</v>
      </c>
      <c r="F829" s="23">
        <v>231042</v>
      </c>
      <c r="G829" s="35">
        <v>2005</v>
      </c>
      <c r="H829">
        <f>Table_8[[#This Row],[Listing Price (USD)]]/10000</f>
        <v>23.104199999999999</v>
      </c>
      <c r="I829">
        <f>Table_8[[#This Row],[Length 
(ft)]]</f>
        <v>40.5</v>
      </c>
      <c r="J829" s="37">
        <f>2020-Table_8[[#This Row],[Year]]</f>
        <v>15</v>
      </c>
      <c r="K829">
        <v>720290000000</v>
      </c>
      <c r="L829">
        <v>13341.6</v>
      </c>
      <c r="M829">
        <v>13</v>
      </c>
      <c r="N829">
        <v>-3</v>
      </c>
      <c r="O829" s="39">
        <v>38.29</v>
      </c>
      <c r="P829" s="39">
        <v>957</v>
      </c>
      <c r="Q829" s="39">
        <v>53</v>
      </c>
      <c r="R829" s="39">
        <v>26.25</v>
      </c>
    </row>
    <row r="830" spans="1:18" x14ac:dyDescent="0.25">
      <c r="A830" s="1" t="s">
        <v>427</v>
      </c>
      <c r="B830" s="2" t="s">
        <v>433</v>
      </c>
      <c r="C830" s="19">
        <v>40.6</v>
      </c>
      <c r="D830" s="3" t="s">
        <v>496</v>
      </c>
      <c r="E830" s="4" t="s">
        <v>9</v>
      </c>
      <c r="F830" s="23">
        <v>302787</v>
      </c>
      <c r="G830" s="35">
        <v>2006</v>
      </c>
      <c r="H830">
        <f>Table_8[[#This Row],[Listing Price (USD)]]/10000</f>
        <v>30.278700000000001</v>
      </c>
      <c r="I830">
        <f>Table_8[[#This Row],[Length 
(ft)]]</f>
        <v>40.6</v>
      </c>
      <c r="J830" s="37">
        <f>2020-Table_8[[#This Row],[Year]]</f>
        <v>14</v>
      </c>
      <c r="K830">
        <v>1276962685648.25</v>
      </c>
      <c r="L830">
        <v>26959.675436732599</v>
      </c>
      <c r="M830">
        <v>-0.32275301729970501</v>
      </c>
      <c r="N830">
        <v>-11.3254383222864</v>
      </c>
      <c r="O830" s="39">
        <v>38.29</v>
      </c>
      <c r="P830" s="39">
        <v>957</v>
      </c>
      <c r="Q830" s="39">
        <v>53</v>
      </c>
      <c r="R830" s="39">
        <v>26.25</v>
      </c>
    </row>
    <row r="831" spans="1:18" x14ac:dyDescent="0.25">
      <c r="A831" s="1" t="s">
        <v>427</v>
      </c>
      <c r="B831" s="2" t="s">
        <v>433</v>
      </c>
      <c r="C831" s="19">
        <v>40.5</v>
      </c>
      <c r="D831" s="3" t="s">
        <v>496</v>
      </c>
      <c r="E831" s="4" t="s">
        <v>9</v>
      </c>
      <c r="F831" s="23">
        <v>303395</v>
      </c>
      <c r="G831" s="35">
        <v>2005</v>
      </c>
      <c r="H831">
        <f>Table_8[[#This Row],[Listing Price (USD)]]/10000</f>
        <v>30.339500000000001</v>
      </c>
      <c r="I831">
        <f>Table_8[[#This Row],[Length 
(ft)]]</f>
        <v>40.5</v>
      </c>
      <c r="J831" s="37">
        <f>2020-Table_8[[#This Row],[Year]]</f>
        <v>15</v>
      </c>
      <c r="K831">
        <v>1276962685648.25</v>
      </c>
      <c r="L831">
        <v>26959.675436732599</v>
      </c>
      <c r="M831">
        <v>-0.32275301729970501</v>
      </c>
      <c r="N831">
        <v>-11.3254383222864</v>
      </c>
      <c r="O831" s="39">
        <v>38.29</v>
      </c>
      <c r="P831" s="39">
        <v>957</v>
      </c>
      <c r="Q831" s="39">
        <v>53</v>
      </c>
      <c r="R831" s="39">
        <v>26.25</v>
      </c>
    </row>
    <row r="832" spans="1:18" x14ac:dyDescent="0.25">
      <c r="A832" s="1" t="s">
        <v>465</v>
      </c>
      <c r="B832" s="2" t="s">
        <v>336</v>
      </c>
      <c r="C832" s="19">
        <v>42</v>
      </c>
      <c r="D832" s="3" t="s">
        <v>495</v>
      </c>
      <c r="E832" s="3" t="s">
        <v>333</v>
      </c>
      <c r="F832" s="23">
        <v>249900</v>
      </c>
      <c r="G832" s="35">
        <v>2005</v>
      </c>
      <c r="H832">
        <f>Table_8[[#This Row],[Listing Price (USD)]]/10000</f>
        <v>24.99</v>
      </c>
      <c r="I832">
        <f>Table_8[[#This Row],[Length 
(ft)]]</f>
        <v>42</v>
      </c>
      <c r="J832" s="37">
        <f>2020-Table_8[[#This Row],[Year]]</f>
        <v>15</v>
      </c>
      <c r="K832">
        <v>1106036000000</v>
      </c>
      <c r="L832">
        <v>51276.72</v>
      </c>
      <c r="M832">
        <v>1.23</v>
      </c>
      <c r="N832">
        <v>2.9</v>
      </c>
      <c r="O832" s="39">
        <v>36</v>
      </c>
      <c r="P832" s="39">
        <v>797.00199999999995</v>
      </c>
      <c r="Q832" s="39">
        <v>38</v>
      </c>
      <c r="R832" s="39">
        <v>13.83</v>
      </c>
    </row>
    <row r="833" spans="1:18" x14ac:dyDescent="0.25">
      <c r="A833" s="1" t="s">
        <v>465</v>
      </c>
      <c r="B833" s="2" t="s">
        <v>336</v>
      </c>
      <c r="C833" s="19">
        <v>42</v>
      </c>
      <c r="D833" s="3" t="s">
        <v>495</v>
      </c>
      <c r="E833" s="3" t="s">
        <v>333</v>
      </c>
      <c r="F833" s="23">
        <v>249900</v>
      </c>
      <c r="G833" s="35">
        <v>2005</v>
      </c>
      <c r="H833">
        <f>Table_8[[#This Row],[Listing Price (USD)]]/10000</f>
        <v>24.99</v>
      </c>
      <c r="I833">
        <f>Table_8[[#This Row],[Length 
(ft)]]</f>
        <v>42</v>
      </c>
      <c r="J833" s="37">
        <f>2020-Table_8[[#This Row],[Year]]</f>
        <v>15</v>
      </c>
      <c r="K833">
        <v>1106036000000</v>
      </c>
      <c r="L833">
        <v>51276.72</v>
      </c>
      <c r="M833">
        <v>1.23</v>
      </c>
      <c r="N833">
        <v>2.9</v>
      </c>
      <c r="O833" s="39">
        <v>36</v>
      </c>
      <c r="P833" s="39">
        <v>797.00199999999995</v>
      </c>
      <c r="Q833" s="39">
        <v>38</v>
      </c>
      <c r="R833" s="39">
        <v>13.83</v>
      </c>
    </row>
    <row r="834" spans="1:18" x14ac:dyDescent="0.25">
      <c r="A834" s="1" t="s">
        <v>465</v>
      </c>
      <c r="B834" s="2" t="s">
        <v>336</v>
      </c>
      <c r="C834" s="19">
        <v>42</v>
      </c>
      <c r="D834" s="3" t="s">
        <v>495</v>
      </c>
      <c r="E834" s="3" t="s">
        <v>333</v>
      </c>
      <c r="F834" s="23">
        <v>269500</v>
      </c>
      <c r="G834" s="35">
        <v>2005</v>
      </c>
      <c r="H834">
        <f>Table_8[[#This Row],[Listing Price (USD)]]/10000</f>
        <v>26.95</v>
      </c>
      <c r="I834">
        <f>Table_8[[#This Row],[Length 
(ft)]]</f>
        <v>42</v>
      </c>
      <c r="J834" s="37">
        <f>2020-Table_8[[#This Row],[Year]]</f>
        <v>15</v>
      </c>
      <c r="K834">
        <v>1106036000000</v>
      </c>
      <c r="L834">
        <v>51276.72</v>
      </c>
      <c r="M834">
        <v>1.23</v>
      </c>
      <c r="N834">
        <v>2.9</v>
      </c>
      <c r="O834" s="39">
        <v>36</v>
      </c>
      <c r="P834" s="39">
        <v>797.00199999999995</v>
      </c>
      <c r="Q834" s="39">
        <v>38</v>
      </c>
      <c r="R834" s="39">
        <v>13.83</v>
      </c>
    </row>
    <row r="835" spans="1:18" x14ac:dyDescent="0.25">
      <c r="A835" s="1" t="s">
        <v>465</v>
      </c>
      <c r="B835" s="2" t="s">
        <v>336</v>
      </c>
      <c r="C835" s="19">
        <v>42</v>
      </c>
      <c r="D835" s="3" t="s">
        <v>495</v>
      </c>
      <c r="E835" s="3" t="s">
        <v>333</v>
      </c>
      <c r="F835" s="23">
        <v>269900</v>
      </c>
      <c r="G835" s="35">
        <v>2006</v>
      </c>
      <c r="H835">
        <f>Table_8[[#This Row],[Listing Price (USD)]]/10000</f>
        <v>26.99</v>
      </c>
      <c r="I835">
        <f>Table_8[[#This Row],[Length 
(ft)]]</f>
        <v>42</v>
      </c>
      <c r="J835" s="37">
        <f>2020-Table_8[[#This Row],[Year]]</f>
        <v>14</v>
      </c>
      <c r="K835">
        <v>1106036000000</v>
      </c>
      <c r="L835">
        <v>51276.72</v>
      </c>
      <c r="M835">
        <v>1.23</v>
      </c>
      <c r="N835">
        <v>2.9</v>
      </c>
      <c r="O835" s="39">
        <v>36</v>
      </c>
      <c r="P835" s="39">
        <v>797.00199999999995</v>
      </c>
      <c r="Q835" s="39">
        <v>38</v>
      </c>
      <c r="R835" s="39">
        <v>13.83</v>
      </c>
    </row>
    <row r="836" spans="1:18" x14ac:dyDescent="0.25">
      <c r="A836" s="1" t="s">
        <v>465</v>
      </c>
      <c r="B836" s="2" t="s">
        <v>466</v>
      </c>
      <c r="C836" s="19">
        <v>42</v>
      </c>
      <c r="D836" s="3" t="s">
        <v>495</v>
      </c>
      <c r="E836" s="3" t="s">
        <v>333</v>
      </c>
      <c r="F836" s="23">
        <v>270000</v>
      </c>
      <c r="G836" s="35">
        <v>2008</v>
      </c>
      <c r="H836">
        <f>Table_8[[#This Row],[Listing Price (USD)]]/10000</f>
        <v>27</v>
      </c>
      <c r="I836">
        <f>Table_8[[#This Row],[Length 
(ft)]]</f>
        <v>42</v>
      </c>
      <c r="J836" s="37">
        <f>2020-Table_8[[#This Row],[Year]]</f>
        <v>12</v>
      </c>
      <c r="K836">
        <v>1106036000000</v>
      </c>
      <c r="L836">
        <v>51276.72</v>
      </c>
      <c r="M836">
        <v>1.23</v>
      </c>
      <c r="N836">
        <v>2.9</v>
      </c>
      <c r="O836" s="39">
        <v>36</v>
      </c>
      <c r="P836" s="39">
        <v>797.00199999999995</v>
      </c>
      <c r="Q836" s="39">
        <v>38</v>
      </c>
      <c r="R836" s="39">
        <v>13.83</v>
      </c>
    </row>
    <row r="837" spans="1:18" x14ac:dyDescent="0.25">
      <c r="A837" s="1" t="s">
        <v>465</v>
      </c>
      <c r="B837" s="2" t="s">
        <v>466</v>
      </c>
      <c r="C837" s="19">
        <v>42</v>
      </c>
      <c r="D837" s="3" t="s">
        <v>495</v>
      </c>
      <c r="E837" s="3" t="s">
        <v>333</v>
      </c>
      <c r="F837" s="23">
        <v>270000</v>
      </c>
      <c r="G837" s="35">
        <v>2008</v>
      </c>
      <c r="H837">
        <f>Table_8[[#This Row],[Listing Price (USD)]]/10000</f>
        <v>27</v>
      </c>
      <c r="I837">
        <f>Table_8[[#This Row],[Length 
(ft)]]</f>
        <v>42</v>
      </c>
      <c r="J837" s="37">
        <f>2020-Table_8[[#This Row],[Year]]</f>
        <v>12</v>
      </c>
      <c r="K837">
        <v>1106036000000</v>
      </c>
      <c r="L837">
        <v>51276.72</v>
      </c>
      <c r="M837">
        <v>1.23</v>
      </c>
      <c r="N837">
        <v>2.9</v>
      </c>
      <c r="O837" s="39">
        <v>36</v>
      </c>
      <c r="P837" s="39">
        <v>797.00199999999995</v>
      </c>
      <c r="Q837" s="39">
        <v>38</v>
      </c>
      <c r="R837" s="39">
        <v>13.83</v>
      </c>
    </row>
    <row r="838" spans="1:18" x14ac:dyDescent="0.25">
      <c r="A838" s="1" t="s">
        <v>427</v>
      </c>
      <c r="B838" s="2" t="s">
        <v>528</v>
      </c>
      <c r="C838" s="19">
        <v>42.5</v>
      </c>
      <c r="D838" s="3" t="s">
        <v>496</v>
      </c>
      <c r="E838" s="4" t="s">
        <v>237</v>
      </c>
      <c r="F838" s="23">
        <v>325000</v>
      </c>
      <c r="G838" s="35">
        <v>2011</v>
      </c>
      <c r="H838">
        <f>Table_8[[#This Row],[Listing Price (USD)]]/10000</f>
        <v>32.5</v>
      </c>
      <c r="I838">
        <f>Table_8[[#This Row],[Length 
(ft)]]</f>
        <v>42.5</v>
      </c>
      <c r="J838" s="37">
        <f>2020-Table_8[[#This Row],[Year]]</f>
        <v>9</v>
      </c>
      <c r="K838">
        <v>229031860520.77701</v>
      </c>
      <c r="L838">
        <v>22242.406417972001</v>
      </c>
      <c r="M838">
        <v>-1.2438329957616699E-2</v>
      </c>
      <c r="N838">
        <v>-8.3005160422115107</v>
      </c>
      <c r="O838" s="39">
        <v>32.67</v>
      </c>
      <c r="P838" s="39">
        <v>801.00199999999995</v>
      </c>
      <c r="Q838" s="39">
        <v>79</v>
      </c>
      <c r="R838" s="39">
        <v>12.67</v>
      </c>
    </row>
    <row r="839" spans="1:18" x14ac:dyDescent="0.25">
      <c r="A839" s="1" t="s">
        <v>427</v>
      </c>
      <c r="B839" s="2" t="s">
        <v>528</v>
      </c>
      <c r="C839" s="19">
        <v>42.5</v>
      </c>
      <c r="D839" s="3" t="s">
        <v>496</v>
      </c>
      <c r="E839" s="4" t="s">
        <v>237</v>
      </c>
      <c r="F839" s="23">
        <v>325000</v>
      </c>
      <c r="G839" s="35">
        <v>2011</v>
      </c>
      <c r="H839">
        <f>Table_8[[#This Row],[Listing Price (USD)]]/10000</f>
        <v>32.5</v>
      </c>
      <c r="I839">
        <f>Table_8[[#This Row],[Length 
(ft)]]</f>
        <v>42.5</v>
      </c>
      <c r="J839" s="37">
        <f>2020-Table_8[[#This Row],[Year]]</f>
        <v>9</v>
      </c>
      <c r="K839">
        <v>229031860520.77701</v>
      </c>
      <c r="L839">
        <v>22242.406417972001</v>
      </c>
      <c r="M839">
        <v>-1.2438329957616699E-2</v>
      </c>
      <c r="N839">
        <v>-8.3005160422115107</v>
      </c>
      <c r="O839" s="39">
        <v>32.67</v>
      </c>
      <c r="P839" s="39">
        <v>801.00199999999995</v>
      </c>
      <c r="Q839" s="39">
        <v>79</v>
      </c>
      <c r="R839" s="39">
        <v>12.67</v>
      </c>
    </row>
    <row r="840" spans="1:18" x14ac:dyDescent="0.25">
      <c r="A840" s="1" t="s">
        <v>427</v>
      </c>
      <c r="B840" s="2" t="s">
        <v>528</v>
      </c>
      <c r="C840" s="19">
        <v>42.5</v>
      </c>
      <c r="D840" s="3" t="s">
        <v>497</v>
      </c>
      <c r="E840" s="3" t="s">
        <v>483</v>
      </c>
      <c r="F840" s="23">
        <v>484286</v>
      </c>
      <c r="G840" s="35">
        <v>2018</v>
      </c>
      <c r="H840">
        <f>Table_8[[#This Row],[Listing Price (USD)]]/10000</f>
        <v>48.428600000000003</v>
      </c>
      <c r="I840">
        <f>Table_8[[#This Row],[Length 
(ft)]]</f>
        <v>42.5</v>
      </c>
      <c r="J840" s="37">
        <f>2020-Table_8[[#This Row],[Year]]</f>
        <v>2</v>
      </c>
      <c r="K840">
        <v>4200000000</v>
      </c>
      <c r="L840">
        <v>39553.199999999997</v>
      </c>
      <c r="M840">
        <v>2.5</v>
      </c>
      <c r="N840">
        <v>-2.1</v>
      </c>
      <c r="O840" s="39">
        <v>32.67</v>
      </c>
      <c r="P840" s="39">
        <v>801.00199999999995</v>
      </c>
      <c r="Q840" s="39">
        <v>79</v>
      </c>
      <c r="R840" s="39">
        <v>12.67</v>
      </c>
    </row>
    <row r="841" spans="1:18" x14ac:dyDescent="0.25">
      <c r="A841" s="1" t="s">
        <v>427</v>
      </c>
      <c r="B841" s="2" t="s">
        <v>528</v>
      </c>
      <c r="C841" s="19">
        <v>42.5</v>
      </c>
      <c r="D841" s="3" t="s">
        <v>496</v>
      </c>
      <c r="E841" s="4" t="s">
        <v>9</v>
      </c>
      <c r="F841" s="23">
        <v>545648</v>
      </c>
      <c r="G841" s="35">
        <v>2017</v>
      </c>
      <c r="H841">
        <f>Table_8[[#This Row],[Listing Price (USD)]]/10000</f>
        <v>54.564799999999998</v>
      </c>
      <c r="I841">
        <f>Table_8[[#This Row],[Length 
(ft)]]</f>
        <v>42.5</v>
      </c>
      <c r="J841" s="37">
        <f>2020-Table_8[[#This Row],[Year]]</f>
        <v>3</v>
      </c>
      <c r="K841">
        <v>1276962685648.25</v>
      </c>
      <c r="L841">
        <v>26959.675436732599</v>
      </c>
      <c r="M841">
        <v>-0.32275301729970501</v>
      </c>
      <c r="N841">
        <v>-11.3254383222864</v>
      </c>
      <c r="O841" s="39">
        <v>32.67</v>
      </c>
      <c r="P841" s="39">
        <v>801.00199999999995</v>
      </c>
      <c r="Q841" s="39">
        <v>79</v>
      </c>
      <c r="R841" s="39">
        <v>12.67</v>
      </c>
    </row>
    <row r="842" spans="1:18" x14ac:dyDescent="0.25">
      <c r="A842" s="1" t="s">
        <v>427</v>
      </c>
      <c r="B842" s="2" t="s">
        <v>528</v>
      </c>
      <c r="C842" s="19">
        <v>42.5</v>
      </c>
      <c r="D842" s="3" t="s">
        <v>496</v>
      </c>
      <c r="E842" s="4" t="s">
        <v>9</v>
      </c>
      <c r="F842" s="23">
        <v>546613</v>
      </c>
      <c r="G842" s="35">
        <v>2017</v>
      </c>
      <c r="H842">
        <f>Table_8[[#This Row],[Listing Price (USD)]]/10000</f>
        <v>54.661299999999997</v>
      </c>
      <c r="I842">
        <f>Table_8[[#This Row],[Length 
(ft)]]</f>
        <v>42.5</v>
      </c>
      <c r="J842" s="37">
        <f>2020-Table_8[[#This Row],[Year]]</f>
        <v>3</v>
      </c>
      <c r="K842">
        <v>1276962685648.25</v>
      </c>
      <c r="L842">
        <v>26959.675436732599</v>
      </c>
      <c r="M842">
        <v>-0.32275301729970501</v>
      </c>
      <c r="N842">
        <v>-11.3254383222864</v>
      </c>
      <c r="O842" s="39">
        <v>32.67</v>
      </c>
      <c r="P842" s="39">
        <v>801.00199999999995</v>
      </c>
      <c r="Q842" s="39">
        <v>79</v>
      </c>
      <c r="R842" s="39">
        <v>12.67</v>
      </c>
    </row>
    <row r="843" spans="1:18" x14ac:dyDescent="0.25">
      <c r="A843" s="1" t="s">
        <v>444</v>
      </c>
      <c r="B843" s="2" t="s">
        <v>533</v>
      </c>
      <c r="C843" s="19">
        <v>44</v>
      </c>
      <c r="D843" s="3" t="s">
        <v>496</v>
      </c>
      <c r="E843" s="3" t="s">
        <v>31</v>
      </c>
      <c r="F843" s="23">
        <v>437231</v>
      </c>
      <c r="G843" s="35">
        <v>2010</v>
      </c>
      <c r="H843">
        <f>Table_8[[#This Row],[Listing Price (USD)]]/10000</f>
        <v>43.723100000000002</v>
      </c>
      <c r="I843">
        <f>Table_8[[#This Row],[Length 
(ft)]]</f>
        <v>44</v>
      </c>
      <c r="J843" s="37">
        <f>2020-Table_8[[#This Row],[Year]]</f>
        <v>10</v>
      </c>
      <c r="K843">
        <v>57472012426.685303</v>
      </c>
      <c r="L843">
        <v>14198.753959474399</v>
      </c>
      <c r="M843">
        <v>0.15481137456202801</v>
      </c>
      <c r="N843">
        <v>-8.5803430210621805</v>
      </c>
      <c r="O843" s="39">
        <v>44.29</v>
      </c>
      <c r="P843" s="39">
        <v>1205.5619999999999</v>
      </c>
      <c r="Q843" s="39">
        <v>211</v>
      </c>
      <c r="R843" s="39">
        <v>24.93</v>
      </c>
    </row>
    <row r="844" spans="1:18" x14ac:dyDescent="0.25">
      <c r="A844" s="1" t="s">
        <v>444</v>
      </c>
      <c r="B844" s="2" t="s">
        <v>533</v>
      </c>
      <c r="C844" s="19">
        <v>44</v>
      </c>
      <c r="D844" s="3" t="s">
        <v>496</v>
      </c>
      <c r="E844" s="4" t="s">
        <v>31</v>
      </c>
      <c r="F844" s="23">
        <v>437734</v>
      </c>
      <c r="G844" s="35">
        <v>2010</v>
      </c>
      <c r="H844">
        <f>Table_8[[#This Row],[Listing Price (USD)]]/10000</f>
        <v>43.773400000000002</v>
      </c>
      <c r="I844">
        <f>Table_8[[#This Row],[Length 
(ft)]]</f>
        <v>44</v>
      </c>
      <c r="J844" s="37">
        <f>2020-Table_8[[#This Row],[Year]]</f>
        <v>10</v>
      </c>
      <c r="K844">
        <v>57472012426.685303</v>
      </c>
      <c r="L844">
        <v>14198.753959474399</v>
      </c>
      <c r="M844">
        <v>0.15481137456202801</v>
      </c>
      <c r="N844">
        <v>-8.5803430210621805</v>
      </c>
      <c r="O844" s="39">
        <v>44.29</v>
      </c>
      <c r="P844" s="39">
        <v>1205.5619999999999</v>
      </c>
      <c r="Q844" s="39">
        <v>211</v>
      </c>
      <c r="R844" s="39">
        <v>24.93</v>
      </c>
    </row>
    <row r="845" spans="1:18" x14ac:dyDescent="0.25">
      <c r="A845" s="1" t="s">
        <v>452</v>
      </c>
      <c r="B845" s="2" t="s">
        <v>454</v>
      </c>
      <c r="C845" s="19">
        <v>44</v>
      </c>
      <c r="D845" s="3" t="s">
        <v>495</v>
      </c>
      <c r="E845" s="3" t="s">
        <v>500</v>
      </c>
      <c r="F845" s="23">
        <v>910000</v>
      </c>
      <c r="G845" s="35">
        <v>2018</v>
      </c>
      <c r="H845">
        <f>Table_8[[#This Row],[Listing Price (USD)]]/10000</f>
        <v>91</v>
      </c>
      <c r="I845">
        <f>Table_8[[#This Row],[Length 
(ft)]]</f>
        <v>44</v>
      </c>
      <c r="J845" s="37">
        <f>2020-Table_8[[#This Row],[Year]]</f>
        <v>2</v>
      </c>
      <c r="K845">
        <v>3007188000000</v>
      </c>
      <c r="L845">
        <v>76131.839999999997</v>
      </c>
      <c r="M845">
        <v>1.23</v>
      </c>
      <c r="N845">
        <v>2.7</v>
      </c>
      <c r="O845" s="39">
        <v>38.06</v>
      </c>
      <c r="P845" s="39">
        <v>1162.502</v>
      </c>
      <c r="Q845" s="39">
        <v>83</v>
      </c>
      <c r="R845" s="39">
        <v>13.45</v>
      </c>
    </row>
    <row r="846" spans="1:18" x14ac:dyDescent="0.25">
      <c r="A846" s="1" t="s">
        <v>452</v>
      </c>
      <c r="B846" s="2" t="s">
        <v>453</v>
      </c>
      <c r="C846" s="19">
        <v>44</v>
      </c>
      <c r="D846" s="3" t="s">
        <v>495</v>
      </c>
      <c r="E846" s="3" t="s">
        <v>333</v>
      </c>
      <c r="F846" s="23">
        <v>495000</v>
      </c>
      <c r="G846" s="35">
        <v>2010</v>
      </c>
      <c r="H846">
        <f>Table_8[[#This Row],[Listing Price (USD)]]/10000</f>
        <v>49.5</v>
      </c>
      <c r="I846">
        <f>Table_8[[#This Row],[Length 
(ft)]]</f>
        <v>44</v>
      </c>
      <c r="J846" s="37">
        <f>2020-Table_8[[#This Row],[Year]]</f>
        <v>10</v>
      </c>
      <c r="K846">
        <v>1106036000000</v>
      </c>
      <c r="L846">
        <v>51276.72</v>
      </c>
      <c r="M846">
        <v>1.23</v>
      </c>
      <c r="N846">
        <v>2.9</v>
      </c>
      <c r="O846" s="39">
        <v>37.57</v>
      </c>
      <c r="P846" s="39">
        <v>1082.002</v>
      </c>
      <c r="Q846" s="39">
        <v>63</v>
      </c>
      <c r="R846" s="39">
        <v>14.34</v>
      </c>
    </row>
    <row r="847" spans="1:18" x14ac:dyDescent="0.25">
      <c r="A847" s="1" t="s">
        <v>452</v>
      </c>
      <c r="B847" s="2" t="s">
        <v>453</v>
      </c>
      <c r="C847" s="19">
        <v>44</v>
      </c>
      <c r="D847" s="3" t="s">
        <v>495</v>
      </c>
      <c r="E847" s="3" t="s">
        <v>333</v>
      </c>
      <c r="F847" s="23">
        <v>525000</v>
      </c>
      <c r="G847" s="35">
        <v>2010</v>
      </c>
      <c r="H847">
        <f>Table_8[[#This Row],[Listing Price (USD)]]/10000</f>
        <v>52.5</v>
      </c>
      <c r="I847">
        <f>Table_8[[#This Row],[Length 
(ft)]]</f>
        <v>44</v>
      </c>
      <c r="J847" s="37">
        <f>2020-Table_8[[#This Row],[Year]]</f>
        <v>10</v>
      </c>
      <c r="K847">
        <v>1106036000000</v>
      </c>
      <c r="L847">
        <v>51276.72</v>
      </c>
      <c r="M847">
        <v>1.23</v>
      </c>
      <c r="N847">
        <v>2.9</v>
      </c>
      <c r="O847" s="39">
        <v>37.57</v>
      </c>
      <c r="P847" s="39">
        <v>1082.002</v>
      </c>
      <c r="Q847" s="39">
        <v>63</v>
      </c>
      <c r="R847" s="39">
        <v>14.34</v>
      </c>
    </row>
    <row r="848" spans="1:18" x14ac:dyDescent="0.25">
      <c r="A848" s="1" t="s">
        <v>452</v>
      </c>
      <c r="B848" s="2" t="s">
        <v>453</v>
      </c>
      <c r="C848" s="19">
        <v>44</v>
      </c>
      <c r="D848" s="3" t="s">
        <v>495</v>
      </c>
      <c r="E848" s="3" t="s">
        <v>333</v>
      </c>
      <c r="F848" s="23">
        <v>749000</v>
      </c>
      <c r="G848" s="35">
        <v>2012</v>
      </c>
      <c r="H848">
        <f>Table_8[[#This Row],[Listing Price (USD)]]/10000</f>
        <v>74.900000000000006</v>
      </c>
      <c r="I848">
        <f>Table_8[[#This Row],[Length 
(ft)]]</f>
        <v>44</v>
      </c>
      <c r="J848" s="37">
        <f>2020-Table_8[[#This Row],[Year]]</f>
        <v>8</v>
      </c>
      <c r="K848">
        <v>1106036000000</v>
      </c>
      <c r="L848">
        <v>51276.72</v>
      </c>
      <c r="M848">
        <v>1.23</v>
      </c>
      <c r="N848">
        <v>2.9</v>
      </c>
      <c r="O848" s="39">
        <v>37.57</v>
      </c>
      <c r="P848" s="39">
        <v>1082.002</v>
      </c>
      <c r="Q848" s="39">
        <v>63</v>
      </c>
      <c r="R848" s="39">
        <v>14.34</v>
      </c>
    </row>
    <row r="849" spans="1:18" x14ac:dyDescent="0.25">
      <c r="A849" s="1" t="s">
        <v>427</v>
      </c>
      <c r="B849" s="2" t="s">
        <v>532</v>
      </c>
      <c r="C849" s="19">
        <v>45.8</v>
      </c>
      <c r="D849" s="3" t="s">
        <v>495</v>
      </c>
      <c r="E849" s="3" t="s">
        <v>333</v>
      </c>
      <c r="F849" s="23">
        <v>499000</v>
      </c>
      <c r="G849" s="35">
        <v>2014</v>
      </c>
      <c r="H849">
        <f>Table_8[[#This Row],[Listing Price (USD)]]/10000</f>
        <v>49.9</v>
      </c>
      <c r="I849">
        <f>Table_8[[#This Row],[Length 
(ft)]]</f>
        <v>45.8</v>
      </c>
      <c r="J849" s="37">
        <f>2020-Table_8[[#This Row],[Year]]</f>
        <v>6</v>
      </c>
      <c r="K849">
        <v>1106036000000</v>
      </c>
      <c r="L849">
        <v>51276.72</v>
      </c>
      <c r="M849">
        <v>1.23</v>
      </c>
      <c r="N849">
        <v>2.9</v>
      </c>
      <c r="O849" s="39">
        <v>46</v>
      </c>
      <c r="P849" s="39">
        <v>807.00199999999995</v>
      </c>
      <c r="Q849" s="39">
        <v>55</v>
      </c>
      <c r="R849" s="39">
        <v>12.96</v>
      </c>
    </row>
    <row r="850" spans="1:18" x14ac:dyDescent="0.25">
      <c r="A850" s="1" t="s">
        <v>427</v>
      </c>
      <c r="B850" s="2" t="s">
        <v>532</v>
      </c>
      <c r="C850" s="19">
        <v>45.8</v>
      </c>
      <c r="D850" s="3" t="s">
        <v>496</v>
      </c>
      <c r="E850" s="4" t="s">
        <v>18</v>
      </c>
      <c r="F850" s="23">
        <v>504610</v>
      </c>
      <c r="G850" s="35">
        <v>2013</v>
      </c>
      <c r="H850">
        <f>Table_8[[#This Row],[Listing Price (USD)]]/10000</f>
        <v>50.460999999999999</v>
      </c>
      <c r="I850">
        <f>Table_8[[#This Row],[Length 
(ft)]]</f>
        <v>45.8</v>
      </c>
      <c r="J850" s="37">
        <f>2020-Table_8[[#This Row],[Year]]</f>
        <v>7</v>
      </c>
      <c r="K850">
        <v>188925995936.80701</v>
      </c>
      <c r="L850">
        <v>17658.947301119199</v>
      </c>
      <c r="M850">
        <v>-1.2479835558140799</v>
      </c>
      <c r="N850">
        <v>-9.0040436420214593</v>
      </c>
      <c r="O850" s="39">
        <v>46</v>
      </c>
      <c r="P850" s="39">
        <v>807.00199999999995</v>
      </c>
      <c r="Q850" s="39">
        <v>55</v>
      </c>
      <c r="R850" s="39">
        <v>12.96</v>
      </c>
    </row>
    <row r="851" spans="1:18" x14ac:dyDescent="0.25">
      <c r="A851" s="1" t="s">
        <v>427</v>
      </c>
      <c r="B851" s="3" t="s">
        <v>435</v>
      </c>
      <c r="C851" s="19">
        <v>45.8</v>
      </c>
      <c r="D851" s="3" t="s">
        <v>497</v>
      </c>
      <c r="E851" s="3" t="s">
        <v>483</v>
      </c>
      <c r="F851" s="23">
        <v>347000</v>
      </c>
      <c r="G851" s="35">
        <v>2013</v>
      </c>
      <c r="H851">
        <f>Table_8[[#This Row],[Listing Price (USD)]]/10000</f>
        <v>34.700000000000003</v>
      </c>
      <c r="I851">
        <f>Table_8[[#This Row],[Length 
(ft)]]</f>
        <v>45.8</v>
      </c>
      <c r="J851" s="37">
        <f>2020-Table_8[[#This Row],[Year]]</f>
        <v>7</v>
      </c>
      <c r="K851">
        <v>4200000000</v>
      </c>
      <c r="L851">
        <v>39553.199999999997</v>
      </c>
      <c r="M851">
        <v>2.5</v>
      </c>
      <c r="N851">
        <v>-2.1</v>
      </c>
      <c r="O851" s="39">
        <v>46</v>
      </c>
      <c r="P851" s="39">
        <v>807.00199999999995</v>
      </c>
      <c r="Q851" s="39">
        <v>55</v>
      </c>
      <c r="R851" s="39">
        <v>12.96</v>
      </c>
    </row>
    <row r="852" spans="1:18" x14ac:dyDescent="0.25">
      <c r="A852" s="1" t="s">
        <v>427</v>
      </c>
      <c r="B852" s="3" t="s">
        <v>435</v>
      </c>
      <c r="C852" s="19">
        <v>45.8</v>
      </c>
      <c r="D852" s="3" t="s">
        <v>497</v>
      </c>
      <c r="E852" s="3" t="s">
        <v>377</v>
      </c>
      <c r="F852" s="23">
        <v>399324</v>
      </c>
      <c r="G852" s="35">
        <v>2014</v>
      </c>
      <c r="H852">
        <f>Table_8[[#This Row],[Listing Price (USD)]]/10000</f>
        <v>39.932400000000001</v>
      </c>
      <c r="I852">
        <f>Table_8[[#This Row],[Length 
(ft)]]</f>
        <v>45.8</v>
      </c>
      <c r="J852" s="37">
        <f>2020-Table_8[[#This Row],[Year]]</f>
        <v>6</v>
      </c>
      <c r="K852">
        <v>681973374534.10596</v>
      </c>
      <c r="L852">
        <v>27575.495000325591</v>
      </c>
      <c r="M852">
        <v>0.8848420113691905</v>
      </c>
      <c r="N852">
        <v>-6.3525291034127971</v>
      </c>
      <c r="O852" s="39">
        <v>46</v>
      </c>
      <c r="P852" s="39">
        <v>807.00199999999995</v>
      </c>
      <c r="Q852" s="39">
        <v>55</v>
      </c>
      <c r="R852" s="39">
        <v>12.96</v>
      </c>
    </row>
    <row r="853" spans="1:18" x14ac:dyDescent="0.25">
      <c r="A853" s="1" t="s">
        <v>427</v>
      </c>
      <c r="B853" s="3" t="s">
        <v>435</v>
      </c>
      <c r="C853" s="19">
        <v>45.8</v>
      </c>
      <c r="D853" s="3" t="s">
        <v>497</v>
      </c>
      <c r="E853" s="3" t="s">
        <v>483</v>
      </c>
      <c r="F853" s="23">
        <v>400142</v>
      </c>
      <c r="G853" s="35">
        <v>2014</v>
      </c>
      <c r="H853">
        <f>Table_8[[#This Row],[Listing Price (USD)]]/10000</f>
        <v>40.014200000000002</v>
      </c>
      <c r="I853">
        <f>Table_8[[#This Row],[Length 
(ft)]]</f>
        <v>45.8</v>
      </c>
      <c r="J853" s="37">
        <f>2020-Table_8[[#This Row],[Year]]</f>
        <v>6</v>
      </c>
      <c r="K853">
        <v>4200000000</v>
      </c>
      <c r="L853">
        <v>39553.199999999997</v>
      </c>
      <c r="M853">
        <v>2.5</v>
      </c>
      <c r="N853">
        <v>-2.1</v>
      </c>
      <c r="O853" s="39">
        <v>46</v>
      </c>
      <c r="P853" s="39">
        <v>807.00199999999995</v>
      </c>
      <c r="Q853" s="39">
        <v>55</v>
      </c>
      <c r="R853" s="39">
        <v>12.96</v>
      </c>
    </row>
    <row r="854" spans="1:18" x14ac:dyDescent="0.25">
      <c r="A854" s="1" t="s">
        <v>427</v>
      </c>
      <c r="B854" s="3" t="s">
        <v>435</v>
      </c>
      <c r="C854" s="19">
        <v>45.8</v>
      </c>
      <c r="D854" s="3" t="s">
        <v>497</v>
      </c>
      <c r="E854" s="3" t="s">
        <v>483</v>
      </c>
      <c r="F854" s="23">
        <v>400537</v>
      </c>
      <c r="G854" s="35">
        <v>2014</v>
      </c>
      <c r="H854">
        <f>Table_8[[#This Row],[Listing Price (USD)]]/10000</f>
        <v>40.053699999999999</v>
      </c>
      <c r="I854">
        <f>Table_8[[#This Row],[Length 
(ft)]]</f>
        <v>45.8</v>
      </c>
      <c r="J854" s="37">
        <f>2020-Table_8[[#This Row],[Year]]</f>
        <v>6</v>
      </c>
      <c r="K854">
        <v>4200000000</v>
      </c>
      <c r="L854">
        <v>39553.199999999997</v>
      </c>
      <c r="M854">
        <v>2.5</v>
      </c>
      <c r="N854">
        <v>-2.1</v>
      </c>
      <c r="O854" s="39">
        <v>46</v>
      </c>
      <c r="P854" s="39">
        <v>807.00199999999995</v>
      </c>
      <c r="Q854" s="39">
        <v>55</v>
      </c>
      <c r="R854" s="39">
        <v>12.96</v>
      </c>
    </row>
    <row r="855" spans="1:18" x14ac:dyDescent="0.25">
      <c r="A855" s="1" t="s">
        <v>441</v>
      </c>
      <c r="B855" s="3" t="s">
        <v>435</v>
      </c>
      <c r="C855" s="19">
        <v>45.8</v>
      </c>
      <c r="D855" s="3" t="s">
        <v>497</v>
      </c>
      <c r="E855" s="3" t="s">
        <v>483</v>
      </c>
      <c r="F855" s="23">
        <v>400866</v>
      </c>
      <c r="G855" s="35">
        <v>2014</v>
      </c>
      <c r="H855">
        <f>Table_8[[#This Row],[Listing Price (USD)]]/10000</f>
        <v>40.086599999999997</v>
      </c>
      <c r="I855">
        <f>Table_8[[#This Row],[Length 
(ft)]]</f>
        <v>45.8</v>
      </c>
      <c r="J855" s="37">
        <f>2020-Table_8[[#This Row],[Year]]</f>
        <v>6</v>
      </c>
      <c r="K855">
        <v>4200000000</v>
      </c>
      <c r="L855">
        <v>39553.199999999997</v>
      </c>
      <c r="M855">
        <v>2.5</v>
      </c>
      <c r="N855">
        <v>-2.1</v>
      </c>
      <c r="O855" s="39">
        <v>41.83</v>
      </c>
      <c r="P855" s="39">
        <v>1398</v>
      </c>
      <c r="Q855" s="39">
        <v>275</v>
      </c>
      <c r="R855" s="39">
        <v>25.82</v>
      </c>
    </row>
    <row r="856" spans="1:18" x14ac:dyDescent="0.25">
      <c r="A856" s="1" t="s">
        <v>427</v>
      </c>
      <c r="B856" s="3" t="s">
        <v>435</v>
      </c>
      <c r="C856" s="19">
        <v>45.8</v>
      </c>
      <c r="D856" s="3" t="s">
        <v>497</v>
      </c>
      <c r="E856" s="3" t="s">
        <v>483</v>
      </c>
      <c r="F856" s="23">
        <v>435306</v>
      </c>
      <c r="G856" s="35">
        <v>2013</v>
      </c>
      <c r="H856">
        <f>Table_8[[#This Row],[Listing Price (USD)]]/10000</f>
        <v>43.5306</v>
      </c>
      <c r="I856">
        <f>Table_8[[#This Row],[Length 
(ft)]]</f>
        <v>45.8</v>
      </c>
      <c r="J856" s="37">
        <f>2020-Table_8[[#This Row],[Year]]</f>
        <v>7</v>
      </c>
      <c r="K856">
        <v>4200000000</v>
      </c>
      <c r="L856">
        <v>39553.199999999997</v>
      </c>
      <c r="M856">
        <v>2.5</v>
      </c>
      <c r="N856">
        <v>-2.1</v>
      </c>
      <c r="O856" s="39">
        <v>46</v>
      </c>
      <c r="P856" s="39">
        <v>807.00199999999995</v>
      </c>
      <c r="Q856" s="39">
        <v>55</v>
      </c>
      <c r="R856" s="39">
        <v>12.96</v>
      </c>
    </row>
    <row r="857" spans="1:18" x14ac:dyDescent="0.25">
      <c r="A857" s="1" t="s">
        <v>427</v>
      </c>
      <c r="B857" s="3" t="s">
        <v>435</v>
      </c>
      <c r="C857" s="19">
        <v>45.8</v>
      </c>
      <c r="D857" s="3" t="s">
        <v>497</v>
      </c>
      <c r="E857" s="3" t="s">
        <v>483</v>
      </c>
      <c r="F857" s="23">
        <v>435736</v>
      </c>
      <c r="G857" s="35">
        <v>2012</v>
      </c>
      <c r="H857">
        <f>Table_8[[#This Row],[Listing Price (USD)]]/10000</f>
        <v>43.573599999999999</v>
      </c>
      <c r="I857">
        <f>Table_8[[#This Row],[Length 
(ft)]]</f>
        <v>45.8</v>
      </c>
      <c r="J857" s="37">
        <f>2020-Table_8[[#This Row],[Year]]</f>
        <v>8</v>
      </c>
      <c r="K857">
        <v>4200000000</v>
      </c>
      <c r="L857">
        <v>39553.199999999997</v>
      </c>
      <c r="M857">
        <v>2.5</v>
      </c>
      <c r="N857">
        <v>-2.1</v>
      </c>
      <c r="O857" s="39">
        <v>46</v>
      </c>
      <c r="P857" s="39">
        <v>807.00199999999995</v>
      </c>
      <c r="Q857" s="39">
        <v>55</v>
      </c>
      <c r="R857" s="39">
        <v>12.96</v>
      </c>
    </row>
    <row r="858" spans="1:18" x14ac:dyDescent="0.25">
      <c r="A858" s="1" t="s">
        <v>427</v>
      </c>
      <c r="B858" s="3" t="s">
        <v>435</v>
      </c>
      <c r="C858" s="19">
        <v>45.8</v>
      </c>
      <c r="D858" s="3" t="s">
        <v>496</v>
      </c>
      <c r="E858" s="4" t="s">
        <v>18</v>
      </c>
      <c r="F858" s="23">
        <v>448677</v>
      </c>
      <c r="G858" s="35">
        <v>2015</v>
      </c>
      <c r="H858">
        <f>Table_8[[#This Row],[Listing Price (USD)]]/10000</f>
        <v>44.867699999999999</v>
      </c>
      <c r="I858">
        <f>Table_8[[#This Row],[Length 
(ft)]]</f>
        <v>45.8</v>
      </c>
      <c r="J858" s="37">
        <f>2020-Table_8[[#This Row],[Year]]</f>
        <v>5</v>
      </c>
      <c r="K858">
        <v>188925995936.80701</v>
      </c>
      <c r="L858">
        <v>17658.947301119199</v>
      </c>
      <c r="M858">
        <v>-1.2479835558140799</v>
      </c>
      <c r="N858">
        <v>-9.0040436420214593</v>
      </c>
      <c r="O858" s="39">
        <v>35.270000000000003</v>
      </c>
      <c r="P858" s="39">
        <v>841.00199999999995</v>
      </c>
      <c r="Q858" s="39">
        <v>55</v>
      </c>
      <c r="R858" s="39">
        <v>12.96</v>
      </c>
    </row>
    <row r="859" spans="1:18" x14ac:dyDescent="0.25">
      <c r="A859" s="1" t="s">
        <v>427</v>
      </c>
      <c r="B859" s="3" t="s">
        <v>435</v>
      </c>
      <c r="C859" s="19">
        <v>45.8</v>
      </c>
      <c r="D859" s="3" t="s">
        <v>497</v>
      </c>
      <c r="E859" s="3" t="s">
        <v>370</v>
      </c>
      <c r="F859" s="23">
        <v>449000</v>
      </c>
      <c r="G859" s="35">
        <v>2013</v>
      </c>
      <c r="H859">
        <f>Table_8[[#This Row],[Listing Price (USD)]]/10000</f>
        <v>44.9</v>
      </c>
      <c r="I859">
        <f>Table_8[[#This Row],[Length 
(ft)]]</f>
        <v>45.8</v>
      </c>
      <c r="J859" s="37">
        <f>2020-Table_8[[#This Row],[Year]]</f>
        <v>7</v>
      </c>
      <c r="K859">
        <v>500000000</v>
      </c>
      <c r="L859">
        <v>34200</v>
      </c>
      <c r="M859">
        <v>1.1000000000000001</v>
      </c>
      <c r="N859">
        <v>2</v>
      </c>
      <c r="O859" s="39">
        <v>46</v>
      </c>
      <c r="P859" s="39">
        <v>807.00199999999995</v>
      </c>
      <c r="Q859" s="39">
        <v>55</v>
      </c>
      <c r="R859" s="39">
        <v>12.96</v>
      </c>
    </row>
    <row r="860" spans="1:18" x14ac:dyDescent="0.25">
      <c r="A860" s="1" t="s">
        <v>427</v>
      </c>
      <c r="B860" s="3" t="s">
        <v>435</v>
      </c>
      <c r="C860" s="19">
        <v>45.8</v>
      </c>
      <c r="D860" s="3" t="s">
        <v>496</v>
      </c>
      <c r="E860" s="4" t="s">
        <v>63</v>
      </c>
      <c r="F860" s="23">
        <v>462084</v>
      </c>
      <c r="G860" s="35">
        <v>2011</v>
      </c>
      <c r="H860">
        <f>Table_8[[#This Row],[Listing Price (USD)]]/10000</f>
        <v>46.208399999999997</v>
      </c>
      <c r="I860">
        <f>Table_8[[#This Row],[Length 
(ft)]]</f>
        <v>45.8</v>
      </c>
      <c r="J860" s="37">
        <f>2020-Table_8[[#This Row],[Year]]</f>
        <v>9</v>
      </c>
      <c r="K860">
        <v>720290000000</v>
      </c>
      <c r="L860">
        <v>13341.6</v>
      </c>
      <c r="M860">
        <v>13</v>
      </c>
      <c r="N860">
        <v>-3</v>
      </c>
      <c r="O860" s="39">
        <v>46</v>
      </c>
      <c r="P860" s="39">
        <v>807.00199999999995</v>
      </c>
      <c r="Q860" s="39">
        <v>55</v>
      </c>
      <c r="R860" s="39">
        <v>12.96</v>
      </c>
    </row>
    <row r="861" spans="1:18" x14ac:dyDescent="0.25">
      <c r="A861" s="1" t="s">
        <v>427</v>
      </c>
      <c r="B861" s="3" t="s">
        <v>435</v>
      </c>
      <c r="C861" s="19">
        <v>45.8</v>
      </c>
      <c r="D861" s="3" t="s">
        <v>496</v>
      </c>
      <c r="E861" s="4" t="s">
        <v>3</v>
      </c>
      <c r="F861" s="23">
        <v>462084</v>
      </c>
      <c r="G861" s="35">
        <v>2013</v>
      </c>
      <c r="H861">
        <f>Table_8[[#This Row],[Listing Price (USD)]]/10000</f>
        <v>46.208399999999997</v>
      </c>
      <c r="I861">
        <f>Table_8[[#This Row],[Length 
(ft)]]</f>
        <v>45.8</v>
      </c>
      <c r="J861" s="37">
        <f>2020-Table_8[[#This Row],[Year]]</f>
        <v>7</v>
      </c>
      <c r="K861">
        <v>2639008701648.2598</v>
      </c>
      <c r="L861">
        <v>39055.282928075401</v>
      </c>
      <c r="M861">
        <v>0.47649885272508302</v>
      </c>
      <c r="N861">
        <v>-7.7845864916787102</v>
      </c>
      <c r="O861" s="39">
        <v>46</v>
      </c>
      <c r="P861" s="39">
        <v>807.00199999999995</v>
      </c>
      <c r="Q861" s="39">
        <v>55</v>
      </c>
      <c r="R861" s="39">
        <v>12.96</v>
      </c>
    </row>
    <row r="862" spans="1:18" x14ac:dyDescent="0.25">
      <c r="A862" s="1" t="s">
        <v>427</v>
      </c>
      <c r="B862" s="3" t="s">
        <v>435</v>
      </c>
      <c r="C862" s="19">
        <v>45.8</v>
      </c>
      <c r="D862" s="3" t="s">
        <v>497</v>
      </c>
      <c r="E862" s="3" t="s">
        <v>370</v>
      </c>
      <c r="F862" s="23">
        <v>469000</v>
      </c>
      <c r="G862" s="35">
        <v>2014</v>
      </c>
      <c r="H862">
        <f>Table_8[[#This Row],[Listing Price (USD)]]/10000</f>
        <v>46.9</v>
      </c>
      <c r="I862">
        <f>Table_8[[#This Row],[Length 
(ft)]]</f>
        <v>45.8</v>
      </c>
      <c r="J862" s="37">
        <f>2020-Table_8[[#This Row],[Year]]</f>
        <v>6</v>
      </c>
      <c r="K862">
        <v>500000000</v>
      </c>
      <c r="L862">
        <v>34200</v>
      </c>
      <c r="M862">
        <v>1.1000000000000001</v>
      </c>
      <c r="N862">
        <v>2</v>
      </c>
      <c r="O862" s="39">
        <v>46</v>
      </c>
      <c r="P862" s="39">
        <v>807.00199999999995</v>
      </c>
      <c r="Q862" s="39">
        <v>55</v>
      </c>
      <c r="R862" s="39">
        <v>12.96</v>
      </c>
    </row>
    <row r="863" spans="1:18" x14ac:dyDescent="0.25">
      <c r="A863" s="1" t="s">
        <v>427</v>
      </c>
      <c r="B863" s="3" t="s">
        <v>435</v>
      </c>
      <c r="C863" s="19">
        <v>45.8</v>
      </c>
      <c r="D863" s="3" t="s">
        <v>496</v>
      </c>
      <c r="E863" s="4" t="s">
        <v>18</v>
      </c>
      <c r="F863" s="23">
        <v>472895</v>
      </c>
      <c r="G863" s="35">
        <v>2016</v>
      </c>
      <c r="H863">
        <f>Table_8[[#This Row],[Listing Price (USD)]]/10000</f>
        <v>47.289499999999997</v>
      </c>
      <c r="I863">
        <f>Table_8[[#This Row],[Length 
(ft)]]</f>
        <v>45.8</v>
      </c>
      <c r="J863" s="37">
        <f>2020-Table_8[[#This Row],[Year]]</f>
        <v>4</v>
      </c>
      <c r="K863">
        <v>188925995936.80701</v>
      </c>
      <c r="L863">
        <v>17658.947301119199</v>
      </c>
      <c r="M863">
        <v>-1.2479835558140799</v>
      </c>
      <c r="N863">
        <v>-9.0040436420214593</v>
      </c>
      <c r="O863" s="39">
        <v>35.270000000000003</v>
      </c>
      <c r="P863" s="39">
        <v>841.00199999999995</v>
      </c>
      <c r="Q863" s="39">
        <v>55</v>
      </c>
      <c r="R863" s="39">
        <v>12.96</v>
      </c>
    </row>
    <row r="864" spans="1:18" x14ac:dyDescent="0.25">
      <c r="A864" s="1" t="s">
        <v>427</v>
      </c>
      <c r="B864" s="3" t="s">
        <v>435</v>
      </c>
      <c r="C864" s="19">
        <v>45.8</v>
      </c>
      <c r="D864" s="3" t="s">
        <v>496</v>
      </c>
      <c r="E864" s="4" t="s">
        <v>18</v>
      </c>
      <c r="F864" s="23">
        <v>474211</v>
      </c>
      <c r="G864" s="35">
        <v>2015</v>
      </c>
      <c r="H864">
        <f>Table_8[[#This Row],[Listing Price (USD)]]/10000</f>
        <v>47.421100000000003</v>
      </c>
      <c r="I864">
        <f>Table_8[[#This Row],[Length 
(ft)]]</f>
        <v>45.8</v>
      </c>
      <c r="J864" s="37">
        <f>2020-Table_8[[#This Row],[Year]]</f>
        <v>5</v>
      </c>
      <c r="K864">
        <v>188925995936.80701</v>
      </c>
      <c r="L864">
        <v>17658.947301119199</v>
      </c>
      <c r="M864">
        <v>-1.2479835558140799</v>
      </c>
      <c r="N864">
        <v>-9.0040436420214593</v>
      </c>
      <c r="O864" s="39">
        <v>35.270000000000003</v>
      </c>
      <c r="P864" s="39">
        <v>841.00199999999995</v>
      </c>
      <c r="Q864" s="39">
        <v>55</v>
      </c>
      <c r="R864" s="39">
        <v>12.96</v>
      </c>
    </row>
    <row r="865" spans="1:18" x14ac:dyDescent="0.25">
      <c r="A865" s="1" t="s">
        <v>427</v>
      </c>
      <c r="B865" s="3" t="s">
        <v>435</v>
      </c>
      <c r="C865" s="19">
        <v>45.8</v>
      </c>
      <c r="D865" s="3" t="s">
        <v>496</v>
      </c>
      <c r="E865" s="4" t="s">
        <v>24</v>
      </c>
      <c r="F865" s="23">
        <v>474211</v>
      </c>
      <c r="G865" s="35">
        <v>2016</v>
      </c>
      <c r="H865">
        <f>Table_8[[#This Row],[Listing Price (USD)]]/10000</f>
        <v>47.421100000000003</v>
      </c>
      <c r="I865">
        <f>Table_8[[#This Row],[Length 
(ft)]]</f>
        <v>45.8</v>
      </c>
      <c r="J865" s="37">
        <f>2020-Table_8[[#This Row],[Year]]</f>
        <v>4</v>
      </c>
      <c r="K865">
        <v>1896755301518.1399</v>
      </c>
      <c r="L865">
        <v>31911.0357890017</v>
      </c>
      <c r="M865">
        <v>-0.13770757391656999</v>
      </c>
      <c r="N865">
        <v>-9.0399534112288507</v>
      </c>
      <c r="O865" s="39">
        <v>35.270000000000003</v>
      </c>
      <c r="P865" s="39">
        <v>841.00199999999995</v>
      </c>
      <c r="Q865" s="39">
        <v>55</v>
      </c>
      <c r="R865" s="39">
        <v>12.96</v>
      </c>
    </row>
    <row r="866" spans="1:18" x14ac:dyDescent="0.25">
      <c r="A866" s="1" t="s">
        <v>427</v>
      </c>
      <c r="B866" s="3" t="s">
        <v>435</v>
      </c>
      <c r="C866" s="19">
        <v>45.8</v>
      </c>
      <c r="D866" s="3" t="s">
        <v>496</v>
      </c>
      <c r="E866" s="4" t="s">
        <v>18</v>
      </c>
      <c r="F866" s="23">
        <v>478957</v>
      </c>
      <c r="G866" s="35">
        <v>2015</v>
      </c>
      <c r="H866">
        <f>Table_8[[#This Row],[Listing Price (USD)]]/10000</f>
        <v>47.895699999999998</v>
      </c>
      <c r="I866">
        <f>Table_8[[#This Row],[Length 
(ft)]]</f>
        <v>45.8</v>
      </c>
      <c r="J866" s="37">
        <f>2020-Table_8[[#This Row],[Year]]</f>
        <v>5</v>
      </c>
      <c r="K866">
        <v>188925995936.80701</v>
      </c>
      <c r="L866">
        <v>17658.947301119199</v>
      </c>
      <c r="M866">
        <v>-1.2479835558140799</v>
      </c>
      <c r="N866">
        <v>-9.0040436420214593</v>
      </c>
      <c r="O866" s="39">
        <v>35.270000000000003</v>
      </c>
      <c r="P866" s="39">
        <v>841.00199999999995</v>
      </c>
      <c r="Q866" s="39">
        <v>55</v>
      </c>
      <c r="R866" s="39">
        <v>12.96</v>
      </c>
    </row>
    <row r="867" spans="1:18" x14ac:dyDescent="0.25">
      <c r="A867" s="1" t="s">
        <v>427</v>
      </c>
      <c r="B867" s="3" t="s">
        <v>435</v>
      </c>
      <c r="C867" s="19">
        <v>45.8</v>
      </c>
      <c r="D867" s="3" t="s">
        <v>496</v>
      </c>
      <c r="E867" s="4" t="s">
        <v>18</v>
      </c>
      <c r="F867" s="23">
        <v>479927</v>
      </c>
      <c r="G867" s="35">
        <v>2015</v>
      </c>
      <c r="H867">
        <f>Table_8[[#This Row],[Listing Price (USD)]]/10000</f>
        <v>47.992699999999999</v>
      </c>
      <c r="I867">
        <f>Table_8[[#This Row],[Length 
(ft)]]</f>
        <v>45.8</v>
      </c>
      <c r="J867" s="37">
        <f>2020-Table_8[[#This Row],[Year]]</f>
        <v>5</v>
      </c>
      <c r="K867">
        <v>188925995936.80701</v>
      </c>
      <c r="L867">
        <v>17658.947301119199</v>
      </c>
      <c r="M867">
        <v>-1.2479835558140799</v>
      </c>
      <c r="N867">
        <v>-9.0040436420214593</v>
      </c>
      <c r="O867" s="39">
        <v>35.270000000000003</v>
      </c>
      <c r="P867" s="39">
        <v>841.00199999999995</v>
      </c>
      <c r="Q867" s="39">
        <v>55</v>
      </c>
      <c r="R867" s="39">
        <v>12.96</v>
      </c>
    </row>
    <row r="868" spans="1:18" x14ac:dyDescent="0.25">
      <c r="A868" s="1" t="s">
        <v>427</v>
      </c>
      <c r="B868" s="3" t="s">
        <v>435</v>
      </c>
      <c r="C868" s="19">
        <v>45.8</v>
      </c>
      <c r="D868" s="3" t="s">
        <v>496</v>
      </c>
      <c r="E868" s="4" t="s">
        <v>18</v>
      </c>
      <c r="F868" s="23">
        <v>497146</v>
      </c>
      <c r="G868" s="35">
        <v>2016</v>
      </c>
      <c r="H868">
        <f>Table_8[[#This Row],[Listing Price (USD)]]/10000</f>
        <v>49.714599999999997</v>
      </c>
      <c r="I868">
        <f>Table_8[[#This Row],[Length 
(ft)]]</f>
        <v>45.8</v>
      </c>
      <c r="J868" s="37">
        <f>2020-Table_8[[#This Row],[Year]]</f>
        <v>4</v>
      </c>
      <c r="K868">
        <v>188925995936.80701</v>
      </c>
      <c r="L868">
        <v>17658.947301119199</v>
      </c>
      <c r="M868">
        <v>-1.2479835558140799</v>
      </c>
      <c r="N868">
        <v>-9.0040436420214593</v>
      </c>
      <c r="O868" s="39">
        <v>35.270000000000003</v>
      </c>
      <c r="P868" s="39">
        <v>841.00199999999995</v>
      </c>
      <c r="Q868" s="39">
        <v>55</v>
      </c>
      <c r="R868" s="39">
        <v>12.96</v>
      </c>
    </row>
    <row r="869" spans="1:18" x14ac:dyDescent="0.25">
      <c r="A869" s="1" t="s">
        <v>427</v>
      </c>
      <c r="B869" s="3" t="s">
        <v>435</v>
      </c>
      <c r="C869" s="19">
        <v>45.8</v>
      </c>
      <c r="D869" s="3" t="s">
        <v>495</v>
      </c>
      <c r="E869" s="3" t="s">
        <v>333</v>
      </c>
      <c r="F869" s="23">
        <v>499000</v>
      </c>
      <c r="G869" s="35">
        <v>2011</v>
      </c>
      <c r="H869">
        <f>Table_8[[#This Row],[Listing Price (USD)]]/10000</f>
        <v>49.9</v>
      </c>
      <c r="I869">
        <f>Table_8[[#This Row],[Length 
(ft)]]</f>
        <v>45.8</v>
      </c>
      <c r="J869" s="37">
        <f>2020-Table_8[[#This Row],[Year]]</f>
        <v>9</v>
      </c>
      <c r="K869">
        <v>1106036000000</v>
      </c>
      <c r="L869">
        <v>51276.72</v>
      </c>
      <c r="M869">
        <v>1.23</v>
      </c>
      <c r="N869">
        <v>2.9</v>
      </c>
      <c r="O869" s="39">
        <v>46</v>
      </c>
      <c r="P869" s="39">
        <v>807.00199999999995</v>
      </c>
      <c r="Q869" s="39">
        <v>55</v>
      </c>
      <c r="R869" s="39">
        <v>12.96</v>
      </c>
    </row>
    <row r="870" spans="1:18" x14ac:dyDescent="0.25">
      <c r="A870" s="1" t="s">
        <v>441</v>
      </c>
      <c r="B870" s="3" t="s">
        <v>435</v>
      </c>
      <c r="C870" s="19">
        <v>45.8</v>
      </c>
      <c r="D870" s="3" t="s">
        <v>495</v>
      </c>
      <c r="E870" s="3" t="s">
        <v>333</v>
      </c>
      <c r="F870" s="23">
        <v>499000</v>
      </c>
      <c r="G870" s="35">
        <v>2011</v>
      </c>
      <c r="H870">
        <f>Table_8[[#This Row],[Listing Price (USD)]]/10000</f>
        <v>49.9</v>
      </c>
      <c r="I870">
        <f>Table_8[[#This Row],[Length 
(ft)]]</f>
        <v>45.8</v>
      </c>
      <c r="J870" s="37">
        <f>2020-Table_8[[#This Row],[Year]]</f>
        <v>9</v>
      </c>
      <c r="K870">
        <v>1106036000000</v>
      </c>
      <c r="L870">
        <v>51276.72</v>
      </c>
      <c r="M870">
        <v>1.23</v>
      </c>
      <c r="N870">
        <v>2.9</v>
      </c>
      <c r="O870" s="39">
        <v>41.83</v>
      </c>
      <c r="P870" s="39">
        <v>1398</v>
      </c>
      <c r="Q870" s="39">
        <v>275</v>
      </c>
      <c r="R870" s="39">
        <v>25.82</v>
      </c>
    </row>
    <row r="871" spans="1:18" x14ac:dyDescent="0.25">
      <c r="A871" s="1" t="s">
        <v>427</v>
      </c>
      <c r="B871" s="3" t="s">
        <v>435</v>
      </c>
      <c r="C871" s="19">
        <v>45.8</v>
      </c>
      <c r="D871" s="3" t="s">
        <v>496</v>
      </c>
      <c r="E871" s="4" t="s">
        <v>18</v>
      </c>
      <c r="F871" s="23">
        <v>509271</v>
      </c>
      <c r="G871" s="35">
        <v>2016</v>
      </c>
      <c r="H871">
        <f>Table_8[[#This Row],[Listing Price (USD)]]/10000</f>
        <v>50.927100000000003</v>
      </c>
      <c r="I871">
        <f>Table_8[[#This Row],[Length 
(ft)]]</f>
        <v>45.8</v>
      </c>
      <c r="J871" s="37">
        <f>2020-Table_8[[#This Row],[Year]]</f>
        <v>4</v>
      </c>
      <c r="K871">
        <v>188925995936.80701</v>
      </c>
      <c r="L871">
        <v>17658.947301119199</v>
      </c>
      <c r="M871">
        <v>-1.2479835558140799</v>
      </c>
      <c r="N871">
        <v>-9.0040436420214593</v>
      </c>
      <c r="O871" s="39">
        <v>35.270000000000003</v>
      </c>
      <c r="P871" s="39">
        <v>841.00199999999995</v>
      </c>
      <c r="Q871" s="39">
        <v>55</v>
      </c>
      <c r="R871" s="39">
        <v>12.96</v>
      </c>
    </row>
    <row r="872" spans="1:18" x14ac:dyDescent="0.25">
      <c r="A872" s="1" t="s">
        <v>427</v>
      </c>
      <c r="B872" s="3" t="s">
        <v>435</v>
      </c>
      <c r="C872" s="19">
        <v>45.8</v>
      </c>
      <c r="D872" s="3" t="s">
        <v>496</v>
      </c>
      <c r="E872" s="4" t="s">
        <v>24</v>
      </c>
      <c r="F872" s="23">
        <v>509775</v>
      </c>
      <c r="G872" s="35">
        <v>2017</v>
      </c>
      <c r="H872">
        <f>Table_8[[#This Row],[Listing Price (USD)]]/10000</f>
        <v>50.977499999999999</v>
      </c>
      <c r="I872">
        <f>Table_8[[#This Row],[Length 
(ft)]]</f>
        <v>45.8</v>
      </c>
      <c r="J872" s="37">
        <f>2020-Table_8[[#This Row],[Year]]</f>
        <v>3</v>
      </c>
      <c r="K872">
        <v>1896755301518.1399</v>
      </c>
      <c r="L872">
        <v>31911.0357890017</v>
      </c>
      <c r="M872">
        <v>-0.13770757391656999</v>
      </c>
      <c r="N872">
        <v>-9.0399534112288507</v>
      </c>
      <c r="O872" s="39">
        <v>41.83</v>
      </c>
      <c r="P872" s="39">
        <v>860</v>
      </c>
      <c r="Q872" s="39">
        <v>172</v>
      </c>
      <c r="R872" s="39">
        <v>25.26</v>
      </c>
    </row>
    <row r="873" spans="1:18" x14ac:dyDescent="0.25">
      <c r="A873" s="1" t="s">
        <v>427</v>
      </c>
      <c r="B873" s="3" t="s">
        <v>435</v>
      </c>
      <c r="C873" s="19">
        <v>45.8</v>
      </c>
      <c r="D873" s="3" t="s">
        <v>496</v>
      </c>
      <c r="E873" s="4" t="s">
        <v>18</v>
      </c>
      <c r="F873" s="23">
        <v>510302</v>
      </c>
      <c r="G873" s="35">
        <v>2014</v>
      </c>
      <c r="H873">
        <f>Table_8[[#This Row],[Listing Price (USD)]]/10000</f>
        <v>51.030200000000001</v>
      </c>
      <c r="I873">
        <f>Table_8[[#This Row],[Length 
(ft)]]</f>
        <v>45.8</v>
      </c>
      <c r="J873" s="37">
        <f>2020-Table_8[[#This Row],[Year]]</f>
        <v>6</v>
      </c>
      <c r="K873">
        <v>188925995936.80701</v>
      </c>
      <c r="L873">
        <v>17658.947301119199</v>
      </c>
      <c r="M873">
        <v>-1.2479835558140799</v>
      </c>
      <c r="N873">
        <v>-9.0040436420214593</v>
      </c>
      <c r="O873" s="39">
        <v>46</v>
      </c>
      <c r="P873" s="39">
        <v>807.00199999999995</v>
      </c>
      <c r="Q873" s="39">
        <v>55</v>
      </c>
      <c r="R873" s="39">
        <v>12.96</v>
      </c>
    </row>
    <row r="874" spans="1:18" x14ac:dyDescent="0.25">
      <c r="A874" s="1" t="s">
        <v>427</v>
      </c>
      <c r="B874" s="3" t="s">
        <v>435</v>
      </c>
      <c r="C874" s="19">
        <v>45.8</v>
      </c>
      <c r="D874" s="3" t="s">
        <v>496</v>
      </c>
      <c r="E874" s="4" t="s">
        <v>18</v>
      </c>
      <c r="F874" s="23">
        <v>510689</v>
      </c>
      <c r="G874" s="35">
        <v>2014</v>
      </c>
      <c r="H874">
        <f>Table_8[[#This Row],[Listing Price (USD)]]/10000</f>
        <v>51.068899999999999</v>
      </c>
      <c r="I874">
        <f>Table_8[[#This Row],[Length 
(ft)]]</f>
        <v>45.8</v>
      </c>
      <c r="J874" s="37">
        <f>2020-Table_8[[#This Row],[Year]]</f>
        <v>6</v>
      </c>
      <c r="K874">
        <v>188925995936.80701</v>
      </c>
      <c r="L874">
        <v>17658.947301119199</v>
      </c>
      <c r="M874">
        <v>-1.2479835558140799</v>
      </c>
      <c r="N874">
        <v>-9.0040436420214593</v>
      </c>
      <c r="O874" s="39">
        <v>46</v>
      </c>
      <c r="P874" s="39">
        <v>807.00199999999995</v>
      </c>
      <c r="Q874" s="39">
        <v>55</v>
      </c>
      <c r="R874" s="39">
        <v>12.96</v>
      </c>
    </row>
    <row r="875" spans="1:18" x14ac:dyDescent="0.25">
      <c r="A875" s="1" t="s">
        <v>427</v>
      </c>
      <c r="B875" s="3" t="s">
        <v>435</v>
      </c>
      <c r="C875" s="19">
        <v>45.8</v>
      </c>
      <c r="D875" s="3" t="s">
        <v>496</v>
      </c>
      <c r="E875" s="4" t="s">
        <v>18</v>
      </c>
      <c r="F875" s="23">
        <v>510689</v>
      </c>
      <c r="G875" s="35">
        <v>2016</v>
      </c>
      <c r="H875">
        <f>Table_8[[#This Row],[Listing Price (USD)]]/10000</f>
        <v>51.068899999999999</v>
      </c>
      <c r="I875">
        <f>Table_8[[#This Row],[Length 
(ft)]]</f>
        <v>45.8</v>
      </c>
      <c r="J875" s="37">
        <f>2020-Table_8[[#This Row],[Year]]</f>
        <v>4</v>
      </c>
      <c r="K875">
        <v>188925995936.80701</v>
      </c>
      <c r="L875">
        <v>17658.947301119199</v>
      </c>
      <c r="M875">
        <v>-1.2479835558140799</v>
      </c>
      <c r="N875">
        <v>-9.0040436420214593</v>
      </c>
      <c r="O875" s="39">
        <v>35.270000000000003</v>
      </c>
      <c r="P875" s="39">
        <v>841.00199999999995</v>
      </c>
      <c r="Q875" s="39">
        <v>55</v>
      </c>
      <c r="R875" s="39">
        <v>12.96</v>
      </c>
    </row>
    <row r="876" spans="1:18" x14ac:dyDescent="0.25">
      <c r="A876" s="1" t="s">
        <v>427</v>
      </c>
      <c r="B876" s="3" t="s">
        <v>435</v>
      </c>
      <c r="C876" s="19">
        <v>45.8</v>
      </c>
      <c r="D876" s="3" t="s">
        <v>496</v>
      </c>
      <c r="E876" s="4" t="s">
        <v>18</v>
      </c>
      <c r="F876" s="23">
        <v>516769</v>
      </c>
      <c r="G876" s="35">
        <v>2016</v>
      </c>
      <c r="H876">
        <f>Table_8[[#This Row],[Listing Price (USD)]]/10000</f>
        <v>51.676900000000003</v>
      </c>
      <c r="I876">
        <f>Table_8[[#This Row],[Length 
(ft)]]</f>
        <v>45.8</v>
      </c>
      <c r="J876" s="37">
        <f>2020-Table_8[[#This Row],[Year]]</f>
        <v>4</v>
      </c>
      <c r="K876">
        <v>188925995936.80701</v>
      </c>
      <c r="L876">
        <v>17658.947301119199</v>
      </c>
      <c r="M876">
        <v>-1.2479835558140799</v>
      </c>
      <c r="N876">
        <v>-9.0040436420214593</v>
      </c>
      <c r="O876" s="39">
        <v>35.270000000000003</v>
      </c>
      <c r="P876" s="39">
        <v>841.00199999999995</v>
      </c>
      <c r="Q876" s="39">
        <v>55</v>
      </c>
      <c r="R876" s="39">
        <v>12.96</v>
      </c>
    </row>
    <row r="877" spans="1:18" x14ac:dyDescent="0.25">
      <c r="A877" s="1" t="s">
        <v>427</v>
      </c>
      <c r="B877" s="3" t="s">
        <v>435</v>
      </c>
      <c r="C877" s="19">
        <v>45.8</v>
      </c>
      <c r="D877" s="3" t="s">
        <v>496</v>
      </c>
      <c r="E877" s="4" t="s">
        <v>24</v>
      </c>
      <c r="F877" s="23">
        <v>521397</v>
      </c>
      <c r="G877" s="35">
        <v>2018</v>
      </c>
      <c r="H877">
        <f>Table_8[[#This Row],[Listing Price (USD)]]/10000</f>
        <v>52.139699999999998</v>
      </c>
      <c r="I877">
        <f>Table_8[[#This Row],[Length 
(ft)]]</f>
        <v>45.8</v>
      </c>
      <c r="J877" s="37">
        <f>2020-Table_8[[#This Row],[Year]]</f>
        <v>2</v>
      </c>
      <c r="K877">
        <v>1896755301518.1399</v>
      </c>
      <c r="L877">
        <v>31911.0357890017</v>
      </c>
      <c r="M877">
        <v>-0.13770757391656999</v>
      </c>
      <c r="N877">
        <v>-9.0399534112288507</v>
      </c>
      <c r="O877" s="39">
        <v>41.83</v>
      </c>
      <c r="P877" s="39">
        <v>1398</v>
      </c>
      <c r="Q877" s="39">
        <v>275</v>
      </c>
      <c r="R877" s="39">
        <v>25.82</v>
      </c>
    </row>
    <row r="878" spans="1:18" x14ac:dyDescent="0.25">
      <c r="A878" s="1" t="s">
        <v>427</v>
      </c>
      <c r="B878" s="3" t="s">
        <v>435</v>
      </c>
      <c r="C878" s="19">
        <v>45.8</v>
      </c>
      <c r="D878" s="3" t="s">
        <v>496</v>
      </c>
      <c r="E878" s="4" t="s">
        <v>24</v>
      </c>
      <c r="F878" s="23">
        <v>521912</v>
      </c>
      <c r="G878" s="35">
        <v>2016</v>
      </c>
      <c r="H878">
        <f>Table_8[[#This Row],[Listing Price (USD)]]/10000</f>
        <v>52.191200000000002</v>
      </c>
      <c r="I878">
        <f>Table_8[[#This Row],[Length 
(ft)]]</f>
        <v>45.8</v>
      </c>
      <c r="J878" s="37">
        <f>2020-Table_8[[#This Row],[Year]]</f>
        <v>4</v>
      </c>
      <c r="K878">
        <v>1896755301518.1399</v>
      </c>
      <c r="L878">
        <v>31911.0357890017</v>
      </c>
      <c r="M878">
        <v>-0.13770757391656999</v>
      </c>
      <c r="N878">
        <v>-9.0399534112288507</v>
      </c>
      <c r="O878" s="39">
        <v>35.270000000000003</v>
      </c>
      <c r="P878" s="39">
        <v>841.00199999999995</v>
      </c>
      <c r="Q878" s="39">
        <v>55</v>
      </c>
      <c r="R878" s="39">
        <v>12.96</v>
      </c>
    </row>
    <row r="879" spans="1:18" x14ac:dyDescent="0.25">
      <c r="A879" s="1" t="s">
        <v>427</v>
      </c>
      <c r="B879" s="3" t="s">
        <v>435</v>
      </c>
      <c r="C879" s="19">
        <v>45.8</v>
      </c>
      <c r="D879" s="3" t="s">
        <v>496</v>
      </c>
      <c r="E879" s="4" t="s">
        <v>24</v>
      </c>
      <c r="F879" s="23">
        <v>522319</v>
      </c>
      <c r="G879" s="35">
        <v>2018</v>
      </c>
      <c r="H879">
        <f>Table_8[[#This Row],[Listing Price (USD)]]/10000</f>
        <v>52.231900000000003</v>
      </c>
      <c r="I879">
        <f>Table_8[[#This Row],[Length 
(ft)]]</f>
        <v>45.8</v>
      </c>
      <c r="J879" s="37">
        <f>2020-Table_8[[#This Row],[Year]]</f>
        <v>2</v>
      </c>
      <c r="K879">
        <v>1896755301518.1399</v>
      </c>
      <c r="L879">
        <v>31911.0357890017</v>
      </c>
      <c r="M879">
        <v>-0.13770757391656999</v>
      </c>
      <c r="N879">
        <v>-9.0399534112288507</v>
      </c>
      <c r="O879" s="39">
        <v>41.83</v>
      </c>
      <c r="P879" s="39">
        <v>1398</v>
      </c>
      <c r="Q879" s="39">
        <v>275</v>
      </c>
      <c r="R879" s="39">
        <v>25.82</v>
      </c>
    </row>
    <row r="880" spans="1:18" x14ac:dyDescent="0.25">
      <c r="A880" s="1" t="s">
        <v>427</v>
      </c>
      <c r="B880" s="3" t="s">
        <v>435</v>
      </c>
      <c r="C880" s="19">
        <v>45.8</v>
      </c>
      <c r="D880" s="3" t="s">
        <v>496</v>
      </c>
      <c r="E880" s="4" t="s">
        <v>24</v>
      </c>
      <c r="F880" s="23">
        <v>535008</v>
      </c>
      <c r="G880" s="35">
        <v>2018</v>
      </c>
      <c r="H880">
        <f>Table_8[[#This Row],[Listing Price (USD)]]/10000</f>
        <v>53.500799999999998</v>
      </c>
      <c r="I880">
        <f>Table_8[[#This Row],[Length 
(ft)]]</f>
        <v>45.8</v>
      </c>
      <c r="J880" s="37">
        <f>2020-Table_8[[#This Row],[Year]]</f>
        <v>2</v>
      </c>
      <c r="K880">
        <v>1896755301518.1399</v>
      </c>
      <c r="L880">
        <v>31911.0357890017</v>
      </c>
      <c r="M880">
        <v>-0.13770757391656999</v>
      </c>
      <c r="N880">
        <v>-9.0399534112288507</v>
      </c>
      <c r="O880" s="39">
        <v>41.83</v>
      </c>
      <c r="P880" s="39">
        <v>1398</v>
      </c>
      <c r="Q880" s="39">
        <v>275</v>
      </c>
      <c r="R880" s="39">
        <v>25.82</v>
      </c>
    </row>
    <row r="881" spans="1:18" x14ac:dyDescent="0.25">
      <c r="A881" s="1" t="s">
        <v>427</v>
      </c>
      <c r="B881" s="3" t="s">
        <v>435</v>
      </c>
      <c r="C881" s="19">
        <v>45.8</v>
      </c>
      <c r="D881" s="3" t="s">
        <v>496</v>
      </c>
      <c r="E881" s="4" t="s">
        <v>31</v>
      </c>
      <c r="F881" s="23">
        <v>540677</v>
      </c>
      <c r="G881" s="35">
        <v>2017</v>
      </c>
      <c r="H881">
        <f>Table_8[[#This Row],[Listing Price (USD)]]/10000</f>
        <v>54.067700000000002</v>
      </c>
      <c r="I881">
        <f>Table_8[[#This Row],[Length 
(ft)]]</f>
        <v>45.8</v>
      </c>
      <c r="J881" s="37">
        <f>2020-Table_8[[#This Row],[Year]]</f>
        <v>3</v>
      </c>
      <c r="K881">
        <v>57472012426.685303</v>
      </c>
      <c r="L881">
        <v>14198.753959474399</v>
      </c>
      <c r="M881">
        <v>0.15481137456202801</v>
      </c>
      <c r="N881">
        <v>-8.5803430210621805</v>
      </c>
      <c r="O881" s="39">
        <v>41.83</v>
      </c>
      <c r="P881" s="39">
        <v>860</v>
      </c>
      <c r="Q881" s="39">
        <v>172</v>
      </c>
      <c r="R881" s="39">
        <v>25.26</v>
      </c>
    </row>
    <row r="882" spans="1:18" x14ac:dyDescent="0.25">
      <c r="A882" s="1" t="s">
        <v>427</v>
      </c>
      <c r="B882" s="3" t="s">
        <v>435</v>
      </c>
      <c r="C882" s="19">
        <v>45.8</v>
      </c>
      <c r="D882" s="3" t="s">
        <v>496</v>
      </c>
      <c r="E882" s="4" t="s">
        <v>31</v>
      </c>
      <c r="F882" s="23">
        <v>541087</v>
      </c>
      <c r="G882" s="35">
        <v>2017</v>
      </c>
      <c r="H882">
        <f>Table_8[[#This Row],[Listing Price (USD)]]/10000</f>
        <v>54.108699999999999</v>
      </c>
      <c r="I882">
        <f>Table_8[[#This Row],[Length 
(ft)]]</f>
        <v>45.8</v>
      </c>
      <c r="J882" s="37">
        <f>2020-Table_8[[#This Row],[Year]]</f>
        <v>3</v>
      </c>
      <c r="K882">
        <v>57472012426.685303</v>
      </c>
      <c r="L882">
        <v>14198.753959474399</v>
      </c>
      <c r="M882">
        <v>0.15481137456202801</v>
      </c>
      <c r="N882">
        <v>-8.5803430210621805</v>
      </c>
      <c r="O882" s="39">
        <v>41.83</v>
      </c>
      <c r="P882" s="39">
        <v>860</v>
      </c>
      <c r="Q882" s="39">
        <v>172</v>
      </c>
      <c r="R882" s="39">
        <v>25.26</v>
      </c>
    </row>
    <row r="883" spans="1:18" x14ac:dyDescent="0.25">
      <c r="A883" s="1" t="s">
        <v>427</v>
      </c>
      <c r="B883" s="3" t="s">
        <v>435</v>
      </c>
      <c r="C883" s="19">
        <v>45.8</v>
      </c>
      <c r="D883" s="3" t="s">
        <v>497</v>
      </c>
      <c r="E883" s="3" t="s">
        <v>483</v>
      </c>
      <c r="F883" s="23">
        <v>544435</v>
      </c>
      <c r="G883" s="35">
        <v>2019</v>
      </c>
      <c r="H883">
        <f>Table_8[[#This Row],[Listing Price (USD)]]/10000</f>
        <v>54.4435</v>
      </c>
      <c r="I883">
        <f>Table_8[[#This Row],[Length 
(ft)]]</f>
        <v>45.8</v>
      </c>
      <c r="J883" s="37">
        <f>2020-Table_8[[#This Row],[Year]]</f>
        <v>1</v>
      </c>
      <c r="K883">
        <v>4200000000</v>
      </c>
      <c r="L883">
        <v>39553.199999999997</v>
      </c>
      <c r="M883">
        <v>2.5</v>
      </c>
      <c r="N883">
        <v>-2.1</v>
      </c>
      <c r="O883" s="39">
        <v>41.83</v>
      </c>
      <c r="P883" s="39">
        <v>1398</v>
      </c>
      <c r="Q883" s="39">
        <v>275</v>
      </c>
      <c r="R883" s="39">
        <v>25.82</v>
      </c>
    </row>
    <row r="884" spans="1:18" x14ac:dyDescent="0.25">
      <c r="A884" s="1" t="s">
        <v>427</v>
      </c>
      <c r="B884" s="3" t="s">
        <v>435</v>
      </c>
      <c r="C884" s="19">
        <v>45.8</v>
      </c>
      <c r="D884" s="3" t="s">
        <v>496</v>
      </c>
      <c r="E884" s="4" t="s">
        <v>31</v>
      </c>
      <c r="F884" s="23">
        <v>545648</v>
      </c>
      <c r="G884" s="35">
        <v>2018</v>
      </c>
      <c r="H884">
        <f>Table_8[[#This Row],[Listing Price (USD)]]/10000</f>
        <v>54.564799999999998</v>
      </c>
      <c r="I884">
        <f>Table_8[[#This Row],[Length 
(ft)]]</f>
        <v>45.8</v>
      </c>
      <c r="J884" s="37">
        <f>2020-Table_8[[#This Row],[Year]]</f>
        <v>2</v>
      </c>
      <c r="K884">
        <v>57472012426.685303</v>
      </c>
      <c r="L884">
        <v>14198.753959474399</v>
      </c>
      <c r="M884">
        <v>0.15481137456202801</v>
      </c>
      <c r="N884">
        <v>-8.5803430210621805</v>
      </c>
      <c r="O884" s="39">
        <v>41.83</v>
      </c>
      <c r="P884" s="39">
        <v>1398</v>
      </c>
      <c r="Q884" s="39">
        <v>275</v>
      </c>
      <c r="R884" s="39">
        <v>25.82</v>
      </c>
    </row>
    <row r="885" spans="1:18" x14ac:dyDescent="0.25">
      <c r="A885" s="1" t="s">
        <v>427</v>
      </c>
      <c r="B885" s="3" t="s">
        <v>435</v>
      </c>
      <c r="C885" s="19">
        <v>45.8</v>
      </c>
      <c r="D885" s="3" t="s">
        <v>496</v>
      </c>
      <c r="E885" s="4" t="s">
        <v>24</v>
      </c>
      <c r="F885" s="23">
        <v>546187</v>
      </c>
      <c r="G885" s="35">
        <v>2016</v>
      </c>
      <c r="H885">
        <f>Table_8[[#This Row],[Listing Price (USD)]]/10000</f>
        <v>54.618699999999997</v>
      </c>
      <c r="I885">
        <f>Table_8[[#This Row],[Length 
(ft)]]</f>
        <v>45.8</v>
      </c>
      <c r="J885" s="37">
        <f>2020-Table_8[[#This Row],[Year]]</f>
        <v>4</v>
      </c>
      <c r="K885">
        <v>1896755301518.1399</v>
      </c>
      <c r="L885">
        <v>31911.0357890017</v>
      </c>
      <c r="M885">
        <v>-0.13770757391656999</v>
      </c>
      <c r="N885">
        <v>-9.0399534112288507</v>
      </c>
      <c r="O885" s="39">
        <v>35.270000000000003</v>
      </c>
      <c r="P885" s="39">
        <v>841.00199999999995</v>
      </c>
      <c r="Q885" s="39">
        <v>55</v>
      </c>
      <c r="R885" s="39">
        <v>12.96</v>
      </c>
    </row>
    <row r="886" spans="1:18" x14ac:dyDescent="0.25">
      <c r="A886" s="1" t="s">
        <v>427</v>
      </c>
      <c r="B886" s="3" t="s">
        <v>435</v>
      </c>
      <c r="C886" s="19">
        <v>45.8</v>
      </c>
      <c r="D886" s="3" t="s">
        <v>496</v>
      </c>
      <c r="E886" s="4" t="s">
        <v>31</v>
      </c>
      <c r="F886" s="23">
        <v>546539</v>
      </c>
      <c r="G886" s="35">
        <v>2018</v>
      </c>
      <c r="H886">
        <f>Table_8[[#This Row],[Listing Price (USD)]]/10000</f>
        <v>54.6539</v>
      </c>
      <c r="I886">
        <f>Table_8[[#This Row],[Length 
(ft)]]</f>
        <v>45.8</v>
      </c>
      <c r="J886" s="37">
        <f>2020-Table_8[[#This Row],[Year]]</f>
        <v>2</v>
      </c>
      <c r="K886">
        <v>57472012426.685303</v>
      </c>
      <c r="L886">
        <v>14198.753959474399</v>
      </c>
      <c r="M886">
        <v>0.15481137456202801</v>
      </c>
      <c r="N886">
        <v>-8.5803430210621805</v>
      </c>
      <c r="O886" s="39">
        <v>41.83</v>
      </c>
      <c r="P886" s="39">
        <v>1398</v>
      </c>
      <c r="Q886" s="39">
        <v>275</v>
      </c>
      <c r="R886" s="39">
        <v>25.82</v>
      </c>
    </row>
    <row r="887" spans="1:18" x14ac:dyDescent="0.25">
      <c r="A887" s="1" t="s">
        <v>427</v>
      </c>
      <c r="B887" s="3" t="s">
        <v>435</v>
      </c>
      <c r="C887" s="19">
        <v>45.8</v>
      </c>
      <c r="D887" s="3" t="s">
        <v>497</v>
      </c>
      <c r="E887" s="3" t="s">
        <v>483</v>
      </c>
      <c r="F887" s="23">
        <v>551710</v>
      </c>
      <c r="G887" s="35">
        <v>2019</v>
      </c>
      <c r="H887">
        <f>Table_8[[#This Row],[Listing Price (USD)]]/10000</f>
        <v>55.170999999999999</v>
      </c>
      <c r="I887">
        <f>Table_8[[#This Row],[Length 
(ft)]]</f>
        <v>45.8</v>
      </c>
      <c r="J887" s="37">
        <f>2020-Table_8[[#This Row],[Year]]</f>
        <v>1</v>
      </c>
      <c r="K887">
        <v>4200000000</v>
      </c>
      <c r="L887">
        <v>39553.199999999997</v>
      </c>
      <c r="M887">
        <v>2.5</v>
      </c>
      <c r="N887">
        <v>-2.1</v>
      </c>
      <c r="O887" s="39">
        <v>41.83</v>
      </c>
      <c r="P887" s="39">
        <v>1398</v>
      </c>
      <c r="Q887" s="39">
        <v>275</v>
      </c>
      <c r="R887" s="39">
        <v>25.82</v>
      </c>
    </row>
    <row r="888" spans="1:18" x14ac:dyDescent="0.25">
      <c r="A888" s="1" t="s">
        <v>427</v>
      </c>
      <c r="B888" s="3" t="s">
        <v>435</v>
      </c>
      <c r="C888" s="19">
        <v>45.8</v>
      </c>
      <c r="D888" s="3" t="s">
        <v>496</v>
      </c>
      <c r="E888" s="4" t="s">
        <v>31</v>
      </c>
      <c r="F888" s="23">
        <v>569899</v>
      </c>
      <c r="G888" s="35">
        <v>2017</v>
      </c>
      <c r="H888">
        <f>Table_8[[#This Row],[Listing Price (USD)]]/10000</f>
        <v>56.989899999999999</v>
      </c>
      <c r="I888">
        <f>Table_8[[#This Row],[Length 
(ft)]]</f>
        <v>45.8</v>
      </c>
      <c r="J888" s="37">
        <f>2020-Table_8[[#This Row],[Year]]</f>
        <v>3</v>
      </c>
      <c r="K888">
        <v>57472012426.685303</v>
      </c>
      <c r="L888">
        <v>14198.753959474399</v>
      </c>
      <c r="M888">
        <v>0.15481137456202801</v>
      </c>
      <c r="N888">
        <v>-8.5803430210621805</v>
      </c>
      <c r="O888" s="39">
        <v>41.83</v>
      </c>
      <c r="P888" s="39">
        <v>860</v>
      </c>
      <c r="Q888" s="39">
        <v>172</v>
      </c>
      <c r="R888" s="39">
        <v>25.26</v>
      </c>
    </row>
    <row r="889" spans="1:18" x14ac:dyDescent="0.25">
      <c r="A889" s="1" t="s">
        <v>427</v>
      </c>
      <c r="B889" s="3" t="s">
        <v>435</v>
      </c>
      <c r="C889" s="19">
        <v>45.8</v>
      </c>
      <c r="D889" s="3" t="s">
        <v>496</v>
      </c>
      <c r="E889" s="4" t="s">
        <v>31</v>
      </c>
      <c r="F889" s="23">
        <v>569899</v>
      </c>
      <c r="G889" s="35">
        <v>2017</v>
      </c>
      <c r="H889">
        <f>Table_8[[#This Row],[Listing Price (USD)]]/10000</f>
        <v>56.989899999999999</v>
      </c>
      <c r="I889">
        <f>Table_8[[#This Row],[Length 
(ft)]]</f>
        <v>45.8</v>
      </c>
      <c r="J889" s="37">
        <f>2020-Table_8[[#This Row],[Year]]</f>
        <v>3</v>
      </c>
      <c r="K889">
        <v>57472012426.685303</v>
      </c>
      <c r="L889">
        <v>14198.753959474399</v>
      </c>
      <c r="M889">
        <v>0.15481137456202801</v>
      </c>
      <c r="N889">
        <v>-8.5803430210621805</v>
      </c>
      <c r="O889" s="39">
        <v>41.83</v>
      </c>
      <c r="P889" s="39">
        <v>860</v>
      </c>
      <c r="Q889" s="39">
        <v>172</v>
      </c>
      <c r="R889" s="39">
        <v>25.26</v>
      </c>
    </row>
    <row r="890" spans="1:18" x14ac:dyDescent="0.25">
      <c r="A890" s="1" t="s">
        <v>427</v>
      </c>
      <c r="B890" s="3" t="s">
        <v>435</v>
      </c>
      <c r="C890" s="19">
        <v>45.8</v>
      </c>
      <c r="D890" s="3" t="s">
        <v>496</v>
      </c>
      <c r="E890" s="4" t="s">
        <v>31</v>
      </c>
      <c r="F890" s="23">
        <v>570830</v>
      </c>
      <c r="G890" s="35">
        <v>2017</v>
      </c>
      <c r="H890">
        <f>Table_8[[#This Row],[Listing Price (USD)]]/10000</f>
        <v>57.082999999999998</v>
      </c>
      <c r="I890">
        <f>Table_8[[#This Row],[Length 
(ft)]]</f>
        <v>45.8</v>
      </c>
      <c r="J890" s="37">
        <f>2020-Table_8[[#This Row],[Year]]</f>
        <v>3</v>
      </c>
      <c r="K890">
        <v>57472012426.685303</v>
      </c>
      <c r="L890">
        <v>14198.753959474399</v>
      </c>
      <c r="M890">
        <v>0.15481137456202801</v>
      </c>
      <c r="N890">
        <v>-8.5803430210621805</v>
      </c>
      <c r="O890" s="39">
        <v>41.83</v>
      </c>
      <c r="P890" s="39">
        <v>860</v>
      </c>
      <c r="Q890" s="39">
        <v>172</v>
      </c>
      <c r="R890" s="39">
        <v>25.26</v>
      </c>
    </row>
    <row r="891" spans="1:18" x14ac:dyDescent="0.25">
      <c r="A891" s="1" t="s">
        <v>427</v>
      </c>
      <c r="B891" s="3" t="s">
        <v>435</v>
      </c>
      <c r="C891" s="19">
        <v>45.8</v>
      </c>
      <c r="D891" s="3" t="s">
        <v>496</v>
      </c>
      <c r="E891" s="4" t="s">
        <v>31</v>
      </c>
      <c r="F891" s="23">
        <v>571486</v>
      </c>
      <c r="G891" s="35">
        <v>2017</v>
      </c>
      <c r="H891">
        <f>Table_8[[#This Row],[Listing Price (USD)]]/10000</f>
        <v>57.148600000000002</v>
      </c>
      <c r="I891">
        <f>Table_8[[#This Row],[Length 
(ft)]]</f>
        <v>45.8</v>
      </c>
      <c r="J891" s="37">
        <f>2020-Table_8[[#This Row],[Year]]</f>
        <v>3</v>
      </c>
      <c r="K891">
        <v>57472012426.685303</v>
      </c>
      <c r="L891">
        <v>14198.753959474399</v>
      </c>
      <c r="M891">
        <v>0.15481137456202801</v>
      </c>
      <c r="N891">
        <v>-8.5803430210621805</v>
      </c>
      <c r="O891" s="39">
        <v>41.83</v>
      </c>
      <c r="P891" s="39">
        <v>860</v>
      </c>
      <c r="Q891" s="39">
        <v>172</v>
      </c>
      <c r="R891" s="39">
        <v>25.26</v>
      </c>
    </row>
    <row r="892" spans="1:18" x14ac:dyDescent="0.25">
      <c r="A892" s="1" t="s">
        <v>427</v>
      </c>
      <c r="B892" s="3" t="s">
        <v>435</v>
      </c>
      <c r="C892" s="19">
        <v>45.8</v>
      </c>
      <c r="D892" s="3" t="s">
        <v>497</v>
      </c>
      <c r="E892" s="3" t="s">
        <v>506</v>
      </c>
      <c r="F892" s="23">
        <v>575000</v>
      </c>
      <c r="G892" s="35">
        <v>2018</v>
      </c>
      <c r="H892">
        <f>Table_8[[#This Row],[Listing Price (USD)]]/10000</f>
        <v>57.5</v>
      </c>
      <c r="I892">
        <f>Table_8[[#This Row],[Length 
(ft)]]</f>
        <v>45.8</v>
      </c>
      <c r="J892" s="37">
        <f>2020-Table_8[[#This Row],[Year]]</f>
        <v>2</v>
      </c>
      <c r="K892">
        <v>1370281481.4814799</v>
      </c>
      <c r="L892">
        <v>14787.6357752901</v>
      </c>
      <c r="M892">
        <v>0.62598970704669799</v>
      </c>
      <c r="N892">
        <v>-20.1923705722071</v>
      </c>
      <c r="O892" s="39">
        <v>41.83</v>
      </c>
      <c r="P892" s="39">
        <v>1398</v>
      </c>
      <c r="Q892" s="39">
        <v>275</v>
      </c>
      <c r="R892" s="39">
        <v>6.56</v>
      </c>
    </row>
    <row r="893" spans="1:18" x14ac:dyDescent="0.25">
      <c r="A893" s="1" t="s">
        <v>427</v>
      </c>
      <c r="B893" s="3" t="s">
        <v>435</v>
      </c>
      <c r="C893" s="19">
        <v>45.8</v>
      </c>
      <c r="D893" s="3" t="s">
        <v>496</v>
      </c>
      <c r="E893" s="4" t="s">
        <v>31</v>
      </c>
      <c r="F893" s="23">
        <v>575961</v>
      </c>
      <c r="G893" s="35">
        <v>2018</v>
      </c>
      <c r="H893">
        <f>Table_8[[#This Row],[Listing Price (USD)]]/10000</f>
        <v>57.5961</v>
      </c>
      <c r="I893">
        <f>Table_8[[#This Row],[Length 
(ft)]]</f>
        <v>45.8</v>
      </c>
      <c r="J893" s="37">
        <f>2020-Table_8[[#This Row],[Year]]</f>
        <v>2</v>
      </c>
      <c r="K893">
        <v>57472012426.685303</v>
      </c>
      <c r="L893">
        <v>14198.753959474399</v>
      </c>
      <c r="M893">
        <v>0.15481137456202801</v>
      </c>
      <c r="N893">
        <v>-8.5803430210621805</v>
      </c>
      <c r="O893" s="39">
        <v>41.83</v>
      </c>
      <c r="P893" s="39">
        <v>1398</v>
      </c>
      <c r="Q893" s="39">
        <v>275</v>
      </c>
      <c r="R893" s="39">
        <v>25.82</v>
      </c>
    </row>
    <row r="894" spans="1:18" x14ac:dyDescent="0.25">
      <c r="A894" s="1" t="s">
        <v>427</v>
      </c>
      <c r="B894" s="3" t="s">
        <v>435</v>
      </c>
      <c r="C894" s="19">
        <v>45.8</v>
      </c>
      <c r="D894" s="3" t="s">
        <v>496</v>
      </c>
      <c r="E894" s="4" t="s">
        <v>31</v>
      </c>
      <c r="F894" s="23">
        <v>577127</v>
      </c>
      <c r="G894" s="35">
        <v>2018</v>
      </c>
      <c r="H894">
        <f>Table_8[[#This Row],[Listing Price (USD)]]/10000</f>
        <v>57.712699999999998</v>
      </c>
      <c r="I894">
        <f>Table_8[[#This Row],[Length 
(ft)]]</f>
        <v>45.8</v>
      </c>
      <c r="J894" s="37">
        <f>2020-Table_8[[#This Row],[Year]]</f>
        <v>2</v>
      </c>
      <c r="K894">
        <v>57472012426.685303</v>
      </c>
      <c r="L894">
        <v>14198.753959474399</v>
      </c>
      <c r="M894">
        <v>0.15481137456202801</v>
      </c>
      <c r="N894">
        <v>-8.5803430210621805</v>
      </c>
      <c r="O894" s="39">
        <v>41.83</v>
      </c>
      <c r="P894" s="39">
        <v>1398</v>
      </c>
      <c r="Q894" s="39">
        <v>275</v>
      </c>
      <c r="R894" s="39">
        <v>25.82</v>
      </c>
    </row>
    <row r="895" spans="1:18" x14ac:dyDescent="0.25">
      <c r="A895" s="1" t="s">
        <v>427</v>
      </c>
      <c r="B895" s="3" t="s">
        <v>435</v>
      </c>
      <c r="C895" s="19">
        <v>45.8</v>
      </c>
      <c r="D895" s="3" t="s">
        <v>496</v>
      </c>
      <c r="E895" s="3" t="s">
        <v>3</v>
      </c>
      <c r="F895" s="23">
        <v>595120</v>
      </c>
      <c r="G895" s="35">
        <v>2019</v>
      </c>
      <c r="H895">
        <f>Table_8[[#This Row],[Listing Price (USD)]]/10000</f>
        <v>59.512</v>
      </c>
      <c r="I895">
        <f>Table_8[[#This Row],[Length 
(ft)]]</f>
        <v>45.8</v>
      </c>
      <c r="J895" s="37">
        <f>2020-Table_8[[#This Row],[Year]]</f>
        <v>1</v>
      </c>
      <c r="K895">
        <v>2639008701648.2598</v>
      </c>
      <c r="L895">
        <v>39055.282928075401</v>
      </c>
      <c r="M895">
        <v>0.47649885272508302</v>
      </c>
      <c r="N895">
        <v>-7.7845864916787102</v>
      </c>
      <c r="O895" s="39">
        <v>41.83</v>
      </c>
      <c r="P895" s="39">
        <v>1398</v>
      </c>
      <c r="Q895" s="39">
        <v>275</v>
      </c>
      <c r="R895" s="39">
        <v>25.82</v>
      </c>
    </row>
    <row r="896" spans="1:18" x14ac:dyDescent="0.25">
      <c r="A896" s="1" t="s">
        <v>427</v>
      </c>
      <c r="B896" s="3" t="s">
        <v>435</v>
      </c>
      <c r="C896" s="19">
        <v>45.8</v>
      </c>
      <c r="D896" s="3" t="s">
        <v>497</v>
      </c>
      <c r="E896" s="3" t="s">
        <v>482</v>
      </c>
      <c r="F896" s="23">
        <v>599000</v>
      </c>
      <c r="G896" s="35">
        <v>2017</v>
      </c>
      <c r="H896">
        <f>Table_8[[#This Row],[Listing Price (USD)]]/10000</f>
        <v>59.9</v>
      </c>
      <c r="I896">
        <f>Table_8[[#This Row],[Length 
(ft)]]</f>
        <v>45.8</v>
      </c>
      <c r="J896" s="37">
        <f>2020-Table_8[[#This Row],[Year]]</f>
        <v>3</v>
      </c>
      <c r="K896">
        <v>681973374534.10596</v>
      </c>
      <c r="L896">
        <v>27575.495000325591</v>
      </c>
      <c r="M896">
        <v>0.8848420113691905</v>
      </c>
      <c r="N896">
        <v>-6.3525291034127971</v>
      </c>
      <c r="O896" s="39">
        <v>36.75</v>
      </c>
      <c r="P896" s="39">
        <v>841.00199999999995</v>
      </c>
      <c r="Q896" s="39">
        <v>55</v>
      </c>
      <c r="R896" s="39">
        <v>12.96</v>
      </c>
    </row>
    <row r="897" spans="1:18" x14ac:dyDescent="0.25">
      <c r="A897" s="1" t="s">
        <v>427</v>
      </c>
      <c r="B897" s="3" t="s">
        <v>435</v>
      </c>
      <c r="C897" s="19">
        <v>45.8</v>
      </c>
      <c r="D897" s="3" t="s">
        <v>496</v>
      </c>
      <c r="E897" s="4" t="s">
        <v>18</v>
      </c>
      <c r="F897" s="23">
        <v>601275</v>
      </c>
      <c r="G897" s="35">
        <v>2018</v>
      </c>
      <c r="H897">
        <f>Table_8[[#This Row],[Listing Price (USD)]]/10000</f>
        <v>60.127499999999998</v>
      </c>
      <c r="I897">
        <f>Table_8[[#This Row],[Length 
(ft)]]</f>
        <v>45.8</v>
      </c>
      <c r="J897" s="37">
        <f>2020-Table_8[[#This Row],[Year]]</f>
        <v>2</v>
      </c>
      <c r="K897">
        <v>188925995936.80701</v>
      </c>
      <c r="L897">
        <v>17658.947301119199</v>
      </c>
      <c r="M897">
        <v>-1.2479835558140799</v>
      </c>
      <c r="N897">
        <v>-9.0040436420214593</v>
      </c>
      <c r="O897" s="39">
        <v>14</v>
      </c>
      <c r="P897" s="39">
        <v>841.00199999999995</v>
      </c>
      <c r="Q897" s="39">
        <v>55</v>
      </c>
      <c r="R897" s="39">
        <v>6.56</v>
      </c>
    </row>
    <row r="898" spans="1:18" x14ac:dyDescent="0.25">
      <c r="A898" s="1" t="s">
        <v>427</v>
      </c>
      <c r="B898" s="3" t="s">
        <v>435</v>
      </c>
      <c r="C898" s="19">
        <v>45.8</v>
      </c>
      <c r="D898" s="3" t="s">
        <v>496</v>
      </c>
      <c r="E898" s="4" t="s">
        <v>31</v>
      </c>
      <c r="F898" s="23">
        <v>615851</v>
      </c>
      <c r="G898" s="35">
        <v>2019</v>
      </c>
      <c r="H898">
        <f>Table_8[[#This Row],[Listing Price (USD)]]/10000</f>
        <v>61.585099999999997</v>
      </c>
      <c r="I898">
        <f>Table_8[[#This Row],[Length 
(ft)]]</f>
        <v>45.8</v>
      </c>
      <c r="J898" s="37">
        <f>2020-Table_8[[#This Row],[Year]]</f>
        <v>1</v>
      </c>
      <c r="K898">
        <v>57472012426.685303</v>
      </c>
      <c r="L898">
        <v>14198.753959474399</v>
      </c>
      <c r="M898">
        <v>0.15481137456202801</v>
      </c>
      <c r="N898">
        <v>-8.5803430210621805</v>
      </c>
      <c r="O898" s="39">
        <v>41.83</v>
      </c>
      <c r="P898" s="39">
        <v>1398</v>
      </c>
      <c r="Q898" s="39">
        <v>275</v>
      </c>
      <c r="R898" s="39">
        <v>25.82</v>
      </c>
    </row>
    <row r="899" spans="1:18" x14ac:dyDescent="0.25">
      <c r="A899" s="1" t="s">
        <v>427</v>
      </c>
      <c r="B899" s="3" t="s">
        <v>435</v>
      </c>
      <c r="C899" s="19">
        <v>45.8</v>
      </c>
      <c r="D899" s="3" t="s">
        <v>496</v>
      </c>
      <c r="E899" s="4" t="s">
        <v>31</v>
      </c>
      <c r="F899" s="23">
        <v>616475</v>
      </c>
      <c r="G899" s="35">
        <v>2019</v>
      </c>
      <c r="H899">
        <f>Table_8[[#This Row],[Listing Price (USD)]]/10000</f>
        <v>61.647500000000001</v>
      </c>
      <c r="I899">
        <f>Table_8[[#This Row],[Length 
(ft)]]</f>
        <v>45.8</v>
      </c>
      <c r="J899" s="37">
        <f>2020-Table_8[[#This Row],[Year]]</f>
        <v>1</v>
      </c>
      <c r="K899">
        <v>57472012426.685303</v>
      </c>
      <c r="L899">
        <v>14198.753959474399</v>
      </c>
      <c r="M899">
        <v>0.15481137456202801</v>
      </c>
      <c r="N899">
        <v>-8.5803430210621805</v>
      </c>
      <c r="O899" s="39">
        <v>41.83</v>
      </c>
      <c r="P899" s="39">
        <v>1398</v>
      </c>
      <c r="Q899" s="39">
        <v>275</v>
      </c>
      <c r="R899" s="39">
        <v>25.82</v>
      </c>
    </row>
    <row r="900" spans="1:18" x14ac:dyDescent="0.25">
      <c r="A900" s="1" t="s">
        <v>427</v>
      </c>
      <c r="B900" s="3" t="s">
        <v>435</v>
      </c>
      <c r="C900" s="19">
        <v>45.8</v>
      </c>
      <c r="D900" s="3" t="s">
        <v>496</v>
      </c>
      <c r="E900" s="4" t="s">
        <v>31</v>
      </c>
      <c r="F900" s="23">
        <v>618603</v>
      </c>
      <c r="G900" s="35">
        <v>2013</v>
      </c>
      <c r="H900">
        <f>Table_8[[#This Row],[Listing Price (USD)]]/10000</f>
        <v>61.860300000000002</v>
      </c>
      <c r="I900">
        <f>Table_8[[#This Row],[Length 
(ft)]]</f>
        <v>45.8</v>
      </c>
      <c r="J900" s="37">
        <f>2020-Table_8[[#This Row],[Year]]</f>
        <v>7</v>
      </c>
      <c r="K900">
        <v>57472012426.685303</v>
      </c>
      <c r="L900">
        <v>14198.753959474399</v>
      </c>
      <c r="M900">
        <v>0.15481137456202801</v>
      </c>
      <c r="N900">
        <v>-8.5803430210621805</v>
      </c>
      <c r="O900" s="39">
        <v>46</v>
      </c>
      <c r="P900" s="39">
        <v>807.00199999999995</v>
      </c>
      <c r="Q900" s="39">
        <v>55</v>
      </c>
      <c r="R900" s="39">
        <v>12.96</v>
      </c>
    </row>
    <row r="901" spans="1:18" x14ac:dyDescent="0.25">
      <c r="A901" s="1" t="s">
        <v>427</v>
      </c>
      <c r="B901" s="3" t="s">
        <v>435</v>
      </c>
      <c r="C901" s="19">
        <v>45.8</v>
      </c>
      <c r="D901" s="3" t="s">
        <v>497</v>
      </c>
      <c r="E901" s="3" t="s">
        <v>369</v>
      </c>
      <c r="F901" s="23">
        <v>619012</v>
      </c>
      <c r="G901" s="35">
        <v>2018</v>
      </c>
      <c r="H901">
        <f>Table_8[[#This Row],[Listing Price (USD)]]/10000</f>
        <v>61.901200000000003</v>
      </c>
      <c r="I901">
        <f>Table_8[[#This Row],[Length 
(ft)]]</f>
        <v>45.8</v>
      </c>
      <c r="J901" s="37">
        <f>2020-Table_8[[#This Row],[Year]]</f>
        <v>2</v>
      </c>
      <c r="K901">
        <v>78844702329.078506</v>
      </c>
      <c r="L901">
        <v>7167.9191590832697</v>
      </c>
      <c r="M901">
        <v>3.7810317991551599</v>
      </c>
      <c r="N901">
        <v>-6.7202393728340404</v>
      </c>
      <c r="O901" s="39">
        <v>41.83</v>
      </c>
      <c r="P901" s="39">
        <v>1398</v>
      </c>
      <c r="Q901" s="39">
        <v>275</v>
      </c>
      <c r="R901" s="39">
        <v>6.56</v>
      </c>
    </row>
    <row r="902" spans="1:18" x14ac:dyDescent="0.25">
      <c r="A902" s="1" t="s">
        <v>427</v>
      </c>
      <c r="B902" s="3" t="s">
        <v>435</v>
      </c>
      <c r="C902" s="19">
        <v>45.8</v>
      </c>
      <c r="D902" s="3" t="s">
        <v>496</v>
      </c>
      <c r="E902" s="4" t="s">
        <v>63</v>
      </c>
      <c r="F902" s="23">
        <v>641439</v>
      </c>
      <c r="G902" s="35">
        <v>2019</v>
      </c>
      <c r="H902">
        <f>Table_8[[#This Row],[Listing Price (USD)]]/10000</f>
        <v>64.143900000000002</v>
      </c>
      <c r="I902">
        <f>Table_8[[#This Row],[Length 
(ft)]]</f>
        <v>45.8</v>
      </c>
      <c r="J902" s="37">
        <f>2020-Table_8[[#This Row],[Year]]</f>
        <v>1</v>
      </c>
      <c r="K902">
        <v>720290000000</v>
      </c>
      <c r="L902">
        <v>13341.6</v>
      </c>
      <c r="M902">
        <v>13</v>
      </c>
      <c r="N902">
        <v>-3</v>
      </c>
      <c r="O902" s="39">
        <v>41.83</v>
      </c>
      <c r="P902" s="39">
        <v>1398</v>
      </c>
      <c r="Q902" s="39">
        <v>275</v>
      </c>
      <c r="R902" s="39">
        <v>25.82</v>
      </c>
    </row>
    <row r="903" spans="1:18" x14ac:dyDescent="0.25">
      <c r="A903" s="1" t="s">
        <v>427</v>
      </c>
      <c r="B903" s="3" t="s">
        <v>435</v>
      </c>
      <c r="C903" s="19">
        <v>45.8</v>
      </c>
      <c r="D903" s="3" t="s">
        <v>497</v>
      </c>
      <c r="E903" s="3" t="s">
        <v>507</v>
      </c>
      <c r="F903" s="23">
        <v>680000</v>
      </c>
      <c r="G903" s="35">
        <v>2017</v>
      </c>
      <c r="H903">
        <f>Table_8[[#This Row],[Listing Price (USD)]]/10000</f>
        <v>68</v>
      </c>
      <c r="I903">
        <f>Table_8[[#This Row],[Length 
(ft)]]</f>
        <v>45.8</v>
      </c>
      <c r="J903" s="37">
        <f>2020-Table_8[[#This Row],[Year]]</f>
        <v>3</v>
      </c>
      <c r="K903">
        <v>2610038937.56355</v>
      </c>
      <c r="L903">
        <v>24487.863560196602</v>
      </c>
      <c r="M903">
        <v>0.8848420113691905</v>
      </c>
      <c r="N903">
        <v>-18.5890997764476</v>
      </c>
      <c r="O903" s="39">
        <v>36.75</v>
      </c>
      <c r="P903" s="39">
        <v>841.00199999999995</v>
      </c>
      <c r="Q903" s="39">
        <v>55</v>
      </c>
      <c r="R903" s="39">
        <v>12.96</v>
      </c>
    </row>
    <row r="904" spans="1:18" x14ac:dyDescent="0.25">
      <c r="A904" s="1" t="s">
        <v>427</v>
      </c>
      <c r="B904" s="3" t="s">
        <v>435</v>
      </c>
      <c r="C904" s="19">
        <v>45.8</v>
      </c>
      <c r="D904" s="3" t="s">
        <v>496</v>
      </c>
      <c r="E904" s="4" t="s">
        <v>31</v>
      </c>
      <c r="F904" s="23">
        <v>785793</v>
      </c>
      <c r="G904" s="35">
        <v>2017</v>
      </c>
      <c r="H904">
        <f>Table_8[[#This Row],[Listing Price (USD)]]/10000</f>
        <v>78.579300000000003</v>
      </c>
      <c r="I904">
        <f>Table_8[[#This Row],[Length 
(ft)]]</f>
        <v>45.8</v>
      </c>
      <c r="J904" s="37">
        <f>2020-Table_8[[#This Row],[Year]]</f>
        <v>3</v>
      </c>
      <c r="K904">
        <v>57472012426.685303</v>
      </c>
      <c r="L904">
        <v>14198.753959474399</v>
      </c>
      <c r="M904">
        <v>0.15481137456202801</v>
      </c>
      <c r="N904">
        <v>-8.5803430210621805</v>
      </c>
      <c r="O904" s="39">
        <v>36.75</v>
      </c>
      <c r="P904" s="39">
        <v>841.00199999999995</v>
      </c>
      <c r="Q904" s="39">
        <v>55</v>
      </c>
      <c r="R904" s="39">
        <v>12.96</v>
      </c>
    </row>
    <row r="905" spans="1:18" x14ac:dyDescent="0.25">
      <c r="A905" s="1" t="s">
        <v>427</v>
      </c>
      <c r="B905" s="3" t="s">
        <v>435</v>
      </c>
      <c r="C905" s="19">
        <v>45.8</v>
      </c>
      <c r="D905" s="3" t="s">
        <v>496</v>
      </c>
      <c r="E905" s="4" t="s">
        <v>31</v>
      </c>
      <c r="F905" s="23">
        <v>791947</v>
      </c>
      <c r="G905" s="35">
        <v>2017</v>
      </c>
      <c r="H905">
        <f>Table_8[[#This Row],[Listing Price (USD)]]/10000</f>
        <v>79.194699999999997</v>
      </c>
      <c r="I905">
        <f>Table_8[[#This Row],[Length 
(ft)]]</f>
        <v>45.8</v>
      </c>
      <c r="J905" s="37">
        <f>2020-Table_8[[#This Row],[Year]]</f>
        <v>3</v>
      </c>
      <c r="K905">
        <v>57472012426.685303</v>
      </c>
      <c r="L905">
        <v>14198.753959474399</v>
      </c>
      <c r="M905">
        <v>0.15481137456202801</v>
      </c>
      <c r="N905">
        <v>-8.5803430210621805</v>
      </c>
      <c r="O905" s="39">
        <v>36.75</v>
      </c>
      <c r="P905" s="39">
        <v>841.00199999999995</v>
      </c>
      <c r="Q905" s="39">
        <v>55</v>
      </c>
      <c r="R905" s="39">
        <v>12.96</v>
      </c>
    </row>
    <row r="906" spans="1:18" x14ac:dyDescent="0.25">
      <c r="A906" s="1" t="s">
        <v>427</v>
      </c>
      <c r="B906" s="2" t="s">
        <v>437</v>
      </c>
      <c r="C906" s="19">
        <v>45.8</v>
      </c>
      <c r="D906" s="3" t="s">
        <v>496</v>
      </c>
      <c r="E906" s="4" t="s">
        <v>3</v>
      </c>
      <c r="F906" s="23">
        <v>503208</v>
      </c>
      <c r="G906" s="35">
        <v>2015</v>
      </c>
      <c r="H906">
        <f>Table_8[[#This Row],[Listing Price (USD)]]/10000</f>
        <v>50.320799999999998</v>
      </c>
      <c r="I906">
        <f>Table_8[[#This Row],[Length 
(ft)]]</f>
        <v>45.8</v>
      </c>
      <c r="J906" s="37">
        <f>2020-Table_8[[#This Row],[Year]]</f>
        <v>5</v>
      </c>
      <c r="K906">
        <v>2639008701648.2598</v>
      </c>
      <c r="L906">
        <v>39055.282928075401</v>
      </c>
      <c r="M906">
        <v>0.47649885272508302</v>
      </c>
      <c r="N906">
        <v>-7.7845864916787102</v>
      </c>
      <c r="O906" s="39">
        <v>35.270000000000003</v>
      </c>
      <c r="P906" s="39">
        <v>841.00199999999995</v>
      </c>
      <c r="Q906" s="39">
        <v>55</v>
      </c>
      <c r="R906" s="39">
        <v>12.96</v>
      </c>
    </row>
    <row r="907" spans="1:18" x14ac:dyDescent="0.25">
      <c r="A907" s="1" t="s">
        <v>427</v>
      </c>
      <c r="B907" s="2" t="s">
        <v>437</v>
      </c>
      <c r="C907" s="19">
        <v>45.8</v>
      </c>
      <c r="D907" s="3" t="s">
        <v>496</v>
      </c>
      <c r="E907" s="3" t="s">
        <v>3</v>
      </c>
      <c r="F907" s="23">
        <v>504030</v>
      </c>
      <c r="G907" s="35">
        <v>2015</v>
      </c>
      <c r="H907">
        <f>Table_8[[#This Row],[Listing Price (USD)]]/10000</f>
        <v>50.402999999999999</v>
      </c>
      <c r="I907">
        <f>Table_8[[#This Row],[Length 
(ft)]]</f>
        <v>45.8</v>
      </c>
      <c r="J907" s="37">
        <f>2020-Table_8[[#This Row],[Year]]</f>
        <v>5</v>
      </c>
      <c r="K907">
        <v>2639008701648.2598</v>
      </c>
      <c r="L907">
        <v>39055.282928075401</v>
      </c>
      <c r="M907">
        <v>0.47649885272508302</v>
      </c>
      <c r="N907">
        <v>-7.7845864916787102</v>
      </c>
      <c r="O907" s="39">
        <v>35.270000000000003</v>
      </c>
      <c r="P907" s="39">
        <v>841.00199999999995</v>
      </c>
      <c r="Q907" s="39">
        <v>55</v>
      </c>
      <c r="R907" s="39">
        <v>12.96</v>
      </c>
    </row>
    <row r="908" spans="1:18" x14ac:dyDescent="0.25">
      <c r="A908" s="1" t="s">
        <v>427</v>
      </c>
      <c r="B908" s="2" t="s">
        <v>437</v>
      </c>
      <c r="C908" s="19">
        <v>45.8</v>
      </c>
      <c r="D908" s="3" t="s">
        <v>496</v>
      </c>
      <c r="E908" s="4" t="s">
        <v>3</v>
      </c>
      <c r="F908" s="23">
        <v>515844</v>
      </c>
      <c r="G908" s="35">
        <v>2015</v>
      </c>
      <c r="H908">
        <f>Table_8[[#This Row],[Listing Price (USD)]]/10000</f>
        <v>51.584400000000002</v>
      </c>
      <c r="I908">
        <f>Table_8[[#This Row],[Length 
(ft)]]</f>
        <v>45.8</v>
      </c>
      <c r="J908" s="37">
        <f>2020-Table_8[[#This Row],[Year]]</f>
        <v>5</v>
      </c>
      <c r="K908">
        <v>2639008701648.2598</v>
      </c>
      <c r="L908">
        <v>39055.282928075401</v>
      </c>
      <c r="M908">
        <v>0.47649885272508302</v>
      </c>
      <c r="N908">
        <v>-7.7845864916787102</v>
      </c>
      <c r="O908" s="39">
        <v>35.270000000000003</v>
      </c>
      <c r="P908" s="39">
        <v>841.00199999999995</v>
      </c>
      <c r="Q908" s="39">
        <v>55</v>
      </c>
      <c r="R908" s="39">
        <v>12.96</v>
      </c>
    </row>
    <row r="909" spans="1:18" x14ac:dyDescent="0.25">
      <c r="A909" s="1" t="s">
        <v>427</v>
      </c>
      <c r="B909" s="2" t="s">
        <v>438</v>
      </c>
      <c r="C909" s="19">
        <v>45.8</v>
      </c>
      <c r="D909" s="3" t="s">
        <v>496</v>
      </c>
      <c r="E909" s="3" t="s">
        <v>3</v>
      </c>
      <c r="F909" s="23">
        <v>516246</v>
      </c>
      <c r="G909" s="35">
        <v>2015</v>
      </c>
      <c r="H909">
        <f>Table_8[[#This Row],[Listing Price (USD)]]/10000</f>
        <v>51.624600000000001</v>
      </c>
      <c r="I909">
        <f>Table_8[[#This Row],[Length 
(ft)]]</f>
        <v>45.8</v>
      </c>
      <c r="J909" s="37">
        <f>2020-Table_8[[#This Row],[Year]]</f>
        <v>5</v>
      </c>
      <c r="K909">
        <v>2639008701648.2598</v>
      </c>
      <c r="L909">
        <v>39055.282928075401</v>
      </c>
      <c r="M909">
        <v>0.47649885272508302</v>
      </c>
      <c r="N909">
        <v>-7.7845864916787102</v>
      </c>
      <c r="O909" s="39">
        <v>35.270000000000003</v>
      </c>
      <c r="P909" s="39">
        <v>841.00199999999995</v>
      </c>
      <c r="Q909" s="39">
        <v>55</v>
      </c>
      <c r="R909" s="39">
        <v>12.96</v>
      </c>
    </row>
    <row r="910" spans="1:18" x14ac:dyDescent="0.25">
      <c r="A910" s="1" t="s">
        <v>441</v>
      </c>
      <c r="B910" s="2" t="s">
        <v>437</v>
      </c>
      <c r="C910" s="19">
        <v>45.8</v>
      </c>
      <c r="D910" s="3" t="s">
        <v>496</v>
      </c>
      <c r="E910" s="4" t="s">
        <v>3</v>
      </c>
      <c r="F910" s="23">
        <v>516769</v>
      </c>
      <c r="G910" s="35">
        <v>2015</v>
      </c>
      <c r="H910">
        <f>Table_8[[#This Row],[Listing Price (USD)]]/10000</f>
        <v>51.676900000000003</v>
      </c>
      <c r="I910">
        <f>Table_8[[#This Row],[Length 
(ft)]]</f>
        <v>45.8</v>
      </c>
      <c r="J910" s="37">
        <f>2020-Table_8[[#This Row],[Year]]</f>
        <v>5</v>
      </c>
      <c r="K910">
        <v>2639008701648.2598</v>
      </c>
      <c r="L910">
        <v>39055.282928075401</v>
      </c>
      <c r="M910">
        <v>0.47649885272508302</v>
      </c>
      <c r="N910">
        <v>-7.7845864916787102</v>
      </c>
      <c r="O910" s="39">
        <v>35.270000000000003</v>
      </c>
      <c r="P910" s="39">
        <v>841.00199999999995</v>
      </c>
      <c r="Q910" s="39">
        <v>55</v>
      </c>
      <c r="R910" s="39">
        <v>12.96</v>
      </c>
    </row>
    <row r="911" spans="1:18" x14ac:dyDescent="0.25">
      <c r="A911" s="1" t="s">
        <v>427</v>
      </c>
      <c r="B911" s="3" t="s">
        <v>437</v>
      </c>
      <c r="C911" s="19">
        <v>45.8</v>
      </c>
      <c r="D911" s="3" t="s">
        <v>497</v>
      </c>
      <c r="E911" s="3" t="s">
        <v>520</v>
      </c>
      <c r="F911" s="23">
        <v>545000</v>
      </c>
      <c r="G911" s="35">
        <v>2018</v>
      </c>
      <c r="H911">
        <f>Table_8[[#This Row],[Listing Price (USD)]]/10000</f>
        <v>54.5</v>
      </c>
      <c r="I911">
        <f>Table_8[[#This Row],[Length 
(ft)]]</f>
        <v>45.8</v>
      </c>
      <c r="J911" s="37">
        <f>2020-Table_8[[#This Row],[Year]]</f>
        <v>2</v>
      </c>
      <c r="K911">
        <v>103020300000</v>
      </c>
      <c r="L911">
        <v>31393.907369044598</v>
      </c>
      <c r="M911">
        <v>3</v>
      </c>
      <c r="N911">
        <v>-4.3534263366192603</v>
      </c>
      <c r="O911" s="39">
        <v>35.270000000000003</v>
      </c>
      <c r="P911" s="39">
        <v>841.00199999999995</v>
      </c>
      <c r="Q911" s="39">
        <v>55</v>
      </c>
      <c r="R911" s="39">
        <v>12.96</v>
      </c>
    </row>
    <row r="912" spans="1:18" x14ac:dyDescent="0.25">
      <c r="A912" s="1" t="s">
        <v>427</v>
      </c>
      <c r="B912" s="2" t="s">
        <v>437</v>
      </c>
      <c r="C912" s="19">
        <v>45.8</v>
      </c>
      <c r="D912" s="3" t="s">
        <v>496</v>
      </c>
      <c r="E912" s="4" t="s">
        <v>3</v>
      </c>
      <c r="F912" s="23">
        <v>582024</v>
      </c>
      <c r="G912" s="35">
        <v>2017</v>
      </c>
      <c r="H912">
        <f>Table_8[[#This Row],[Listing Price (USD)]]/10000</f>
        <v>58.202399999999997</v>
      </c>
      <c r="I912">
        <f>Table_8[[#This Row],[Length 
(ft)]]</f>
        <v>45.8</v>
      </c>
      <c r="J912" s="37">
        <f>2020-Table_8[[#This Row],[Year]]</f>
        <v>3</v>
      </c>
      <c r="K912">
        <v>2639008701648.2598</v>
      </c>
      <c r="L912">
        <v>39055.282928075401</v>
      </c>
      <c r="M912">
        <v>0.47649885272508302</v>
      </c>
      <c r="N912">
        <v>-7.7845864916787102</v>
      </c>
      <c r="O912" s="39">
        <v>35.270000000000003</v>
      </c>
      <c r="P912" s="39">
        <v>841.00199999999995</v>
      </c>
      <c r="Q912" s="39">
        <v>55</v>
      </c>
      <c r="R912" s="39">
        <v>12.96</v>
      </c>
    </row>
    <row r="913" spans="1:18" x14ac:dyDescent="0.25">
      <c r="A913" s="1" t="s">
        <v>427</v>
      </c>
      <c r="B913" s="2" t="s">
        <v>437</v>
      </c>
      <c r="C913" s="19">
        <v>45.8</v>
      </c>
      <c r="D913" s="3" t="s">
        <v>496</v>
      </c>
      <c r="E913" s="4" t="s">
        <v>9</v>
      </c>
      <c r="F913" s="23">
        <v>582024</v>
      </c>
      <c r="G913" s="35">
        <v>2017</v>
      </c>
      <c r="H913">
        <f>Table_8[[#This Row],[Listing Price (USD)]]/10000</f>
        <v>58.202399999999997</v>
      </c>
      <c r="I913">
        <f>Table_8[[#This Row],[Length 
(ft)]]</f>
        <v>45.8</v>
      </c>
      <c r="J913" s="37">
        <f>2020-Table_8[[#This Row],[Year]]</f>
        <v>3</v>
      </c>
      <c r="K913">
        <v>1276962685648.25</v>
      </c>
      <c r="L913">
        <v>26959.675436732599</v>
      </c>
      <c r="M913">
        <v>-0.32275301729970501</v>
      </c>
      <c r="N913">
        <v>-11.3254383222864</v>
      </c>
      <c r="O913" s="39">
        <v>35.270000000000003</v>
      </c>
      <c r="P913" s="39">
        <v>841.00199999999995</v>
      </c>
      <c r="Q913" s="39">
        <v>55</v>
      </c>
      <c r="R913" s="39">
        <v>12.96</v>
      </c>
    </row>
    <row r="914" spans="1:18" x14ac:dyDescent="0.25">
      <c r="A914" s="1" t="s">
        <v>427</v>
      </c>
      <c r="B914" s="2" t="s">
        <v>437</v>
      </c>
      <c r="C914" s="19">
        <v>45.8</v>
      </c>
      <c r="D914" s="3" t="s">
        <v>496</v>
      </c>
      <c r="E914" s="4" t="s">
        <v>9</v>
      </c>
      <c r="F914" s="23">
        <v>594150</v>
      </c>
      <c r="G914" s="35">
        <v>2019</v>
      </c>
      <c r="H914">
        <f>Table_8[[#This Row],[Listing Price (USD)]]/10000</f>
        <v>59.414999999999999</v>
      </c>
      <c r="I914">
        <f>Table_8[[#This Row],[Length 
(ft)]]</f>
        <v>45.8</v>
      </c>
      <c r="J914" s="37">
        <f>2020-Table_8[[#This Row],[Year]]</f>
        <v>1</v>
      </c>
      <c r="K914">
        <v>1276962685648.25</v>
      </c>
      <c r="L914">
        <v>26959.675436732599</v>
      </c>
      <c r="M914">
        <v>-0.32275301729970501</v>
      </c>
      <c r="N914">
        <v>-11.3254383222864</v>
      </c>
      <c r="O914" s="39">
        <v>35.270000000000003</v>
      </c>
      <c r="P914" s="39">
        <v>841.00199999999995</v>
      </c>
      <c r="Q914" s="39">
        <v>55</v>
      </c>
      <c r="R914" s="39">
        <v>12.96</v>
      </c>
    </row>
    <row r="915" spans="1:18" x14ac:dyDescent="0.25">
      <c r="A915" s="1" t="s">
        <v>427</v>
      </c>
      <c r="B915" s="2" t="s">
        <v>437</v>
      </c>
      <c r="C915" s="19">
        <v>45.8</v>
      </c>
      <c r="D915" s="3" t="s">
        <v>496</v>
      </c>
      <c r="E915" s="4" t="s">
        <v>237</v>
      </c>
      <c r="F915" s="23">
        <v>600000</v>
      </c>
      <c r="G915" s="35">
        <v>2017</v>
      </c>
      <c r="H915">
        <f>Table_8[[#This Row],[Listing Price (USD)]]/10000</f>
        <v>60</v>
      </c>
      <c r="I915">
        <f>Table_8[[#This Row],[Length 
(ft)]]</f>
        <v>45.8</v>
      </c>
      <c r="J915" s="37">
        <f>2020-Table_8[[#This Row],[Year]]</f>
        <v>3</v>
      </c>
      <c r="K915">
        <v>229031860520.77701</v>
      </c>
      <c r="L915">
        <v>22242.406417972001</v>
      </c>
      <c r="M915">
        <v>-1.2438329957616699E-2</v>
      </c>
      <c r="N915">
        <v>-8.3005160422115107</v>
      </c>
      <c r="O915" s="39">
        <v>35.270000000000003</v>
      </c>
      <c r="P915" s="39">
        <v>841.00199999999995</v>
      </c>
      <c r="Q915" s="39">
        <v>55</v>
      </c>
      <c r="R915" s="39">
        <v>12.96</v>
      </c>
    </row>
    <row r="916" spans="1:18" x14ac:dyDescent="0.25">
      <c r="A916" s="1" t="s">
        <v>427</v>
      </c>
      <c r="B916" s="2" t="s">
        <v>437</v>
      </c>
      <c r="C916" s="19">
        <v>45.8</v>
      </c>
      <c r="D916" s="3" t="s">
        <v>496</v>
      </c>
      <c r="E916" s="4" t="s">
        <v>237</v>
      </c>
      <c r="F916" s="23">
        <v>600000</v>
      </c>
      <c r="G916" s="35">
        <v>2017</v>
      </c>
      <c r="H916">
        <f>Table_8[[#This Row],[Listing Price (USD)]]/10000</f>
        <v>60</v>
      </c>
      <c r="I916">
        <f>Table_8[[#This Row],[Length 
(ft)]]</f>
        <v>45.8</v>
      </c>
      <c r="J916" s="37">
        <f>2020-Table_8[[#This Row],[Year]]</f>
        <v>3</v>
      </c>
      <c r="K916">
        <v>229031860520.77701</v>
      </c>
      <c r="L916">
        <v>22242.406417972001</v>
      </c>
      <c r="M916">
        <v>-1.2438329957616699E-2</v>
      </c>
      <c r="N916">
        <v>-8.3005160422115107</v>
      </c>
      <c r="O916" s="39">
        <v>35.270000000000003</v>
      </c>
      <c r="P916" s="39">
        <v>841.00199999999995</v>
      </c>
      <c r="Q916" s="39">
        <v>55</v>
      </c>
      <c r="R916" s="39">
        <v>12.96</v>
      </c>
    </row>
    <row r="917" spans="1:18" x14ac:dyDescent="0.25">
      <c r="A917" s="1" t="s">
        <v>427</v>
      </c>
      <c r="B917" s="2" t="s">
        <v>437</v>
      </c>
      <c r="C917" s="19">
        <v>45.8</v>
      </c>
      <c r="D917" s="3" t="s">
        <v>495</v>
      </c>
      <c r="E917" s="3" t="s">
        <v>333</v>
      </c>
      <c r="F917" s="23">
        <v>649900</v>
      </c>
      <c r="G917" s="35">
        <v>2018</v>
      </c>
      <c r="H917">
        <f>Table_8[[#This Row],[Listing Price (USD)]]/10000</f>
        <v>64.989999999999995</v>
      </c>
      <c r="I917">
        <f>Table_8[[#This Row],[Length 
(ft)]]</f>
        <v>45.8</v>
      </c>
      <c r="J917" s="37">
        <f>2020-Table_8[[#This Row],[Year]]</f>
        <v>2</v>
      </c>
      <c r="K917">
        <v>1106036000000</v>
      </c>
      <c r="L917">
        <v>51276.72</v>
      </c>
      <c r="M917">
        <v>1.23</v>
      </c>
      <c r="N917">
        <v>2.9</v>
      </c>
      <c r="O917" s="39">
        <v>35.270000000000003</v>
      </c>
      <c r="P917" s="39">
        <v>841.00199999999995</v>
      </c>
      <c r="Q917" s="39">
        <v>55</v>
      </c>
      <c r="R917" s="39">
        <v>12.96</v>
      </c>
    </row>
    <row r="918" spans="1:18" x14ac:dyDescent="0.25">
      <c r="A918" s="1" t="s">
        <v>441</v>
      </c>
      <c r="B918" s="2" t="s">
        <v>437</v>
      </c>
      <c r="C918" s="19">
        <v>45.8</v>
      </c>
      <c r="D918" s="3" t="s">
        <v>495</v>
      </c>
      <c r="E918" s="3" t="s">
        <v>333</v>
      </c>
      <c r="F918" s="23">
        <v>649900</v>
      </c>
      <c r="G918" s="35">
        <v>2018</v>
      </c>
      <c r="H918">
        <f>Table_8[[#This Row],[Listing Price (USD)]]/10000</f>
        <v>64.989999999999995</v>
      </c>
      <c r="I918">
        <f>Table_8[[#This Row],[Length 
(ft)]]</f>
        <v>45.8</v>
      </c>
      <c r="J918" s="37">
        <f>2020-Table_8[[#This Row],[Year]]</f>
        <v>2</v>
      </c>
      <c r="K918">
        <v>1106036000000</v>
      </c>
      <c r="L918">
        <v>51276.72</v>
      </c>
      <c r="M918">
        <v>1.23</v>
      </c>
      <c r="N918">
        <v>2.9</v>
      </c>
      <c r="O918" s="39">
        <v>35.270000000000003</v>
      </c>
      <c r="P918" s="39">
        <v>841.00199999999995</v>
      </c>
      <c r="Q918" s="39">
        <v>55</v>
      </c>
      <c r="R918" s="39">
        <v>12.96</v>
      </c>
    </row>
    <row r="919" spans="1:18" x14ac:dyDescent="0.25">
      <c r="A919" s="1" t="s">
        <v>427</v>
      </c>
      <c r="B919" s="2" t="s">
        <v>436</v>
      </c>
      <c r="C919" s="19">
        <v>45.8</v>
      </c>
      <c r="D919" s="3" t="s">
        <v>496</v>
      </c>
      <c r="E919" s="4" t="s">
        <v>18</v>
      </c>
      <c r="F919" s="23">
        <v>472895</v>
      </c>
      <c r="G919" s="35">
        <v>2016</v>
      </c>
      <c r="H919">
        <f>Table_8[[#This Row],[Listing Price (USD)]]/10000</f>
        <v>47.289499999999997</v>
      </c>
      <c r="I919">
        <f>Table_8[[#This Row],[Length 
(ft)]]</f>
        <v>45.8</v>
      </c>
      <c r="J919" s="37">
        <f>2020-Table_8[[#This Row],[Year]]</f>
        <v>4</v>
      </c>
      <c r="K919">
        <v>188925995936.80701</v>
      </c>
      <c r="L919">
        <v>17658.947301119199</v>
      </c>
      <c r="M919">
        <v>-1.2479835558140799</v>
      </c>
      <c r="N919">
        <v>-9.0040436420214593</v>
      </c>
      <c r="O919" s="39">
        <v>36.75</v>
      </c>
      <c r="P919" s="39">
        <v>1182.002</v>
      </c>
      <c r="Q919" s="39">
        <v>55</v>
      </c>
      <c r="R919" s="39">
        <v>12.96</v>
      </c>
    </row>
    <row r="920" spans="1:18" x14ac:dyDescent="0.25">
      <c r="A920" s="1" t="s">
        <v>444</v>
      </c>
      <c r="B920" s="2" t="s">
        <v>447</v>
      </c>
      <c r="C920" s="19">
        <v>45</v>
      </c>
      <c r="D920" s="3" t="s">
        <v>497</v>
      </c>
      <c r="E920" s="3" t="s">
        <v>370</v>
      </c>
      <c r="F920" s="23">
        <v>519000</v>
      </c>
      <c r="G920" s="35">
        <v>2016</v>
      </c>
      <c r="H920">
        <f>Table_8[[#This Row],[Listing Price (USD)]]/10000</f>
        <v>51.9</v>
      </c>
      <c r="I920">
        <f>Table_8[[#This Row],[Length 
(ft)]]</f>
        <v>45</v>
      </c>
      <c r="J920" s="37">
        <f>2020-Table_8[[#This Row],[Year]]</f>
        <v>4</v>
      </c>
      <c r="K920">
        <v>500000000</v>
      </c>
      <c r="L920">
        <v>34200</v>
      </c>
      <c r="M920">
        <v>1.1000000000000001</v>
      </c>
      <c r="N920">
        <v>2</v>
      </c>
      <c r="O920" s="39">
        <v>33.25</v>
      </c>
      <c r="P920" s="39">
        <v>843.00199999999995</v>
      </c>
      <c r="Q920" s="39">
        <v>63</v>
      </c>
      <c r="R920" s="39">
        <v>12.25</v>
      </c>
    </row>
    <row r="921" spans="1:18" x14ac:dyDescent="0.25">
      <c r="A921" s="1" t="s">
        <v>444</v>
      </c>
      <c r="B921" s="2" t="s">
        <v>447</v>
      </c>
      <c r="C921" s="19">
        <v>45</v>
      </c>
      <c r="D921" s="3" t="s">
        <v>497</v>
      </c>
      <c r="E921" s="3" t="s">
        <v>370</v>
      </c>
      <c r="F921" s="23">
        <v>519000</v>
      </c>
      <c r="G921" s="35">
        <v>2017</v>
      </c>
      <c r="H921">
        <f>Table_8[[#This Row],[Listing Price (USD)]]/10000</f>
        <v>51.9</v>
      </c>
      <c r="I921">
        <f>Table_8[[#This Row],[Length 
(ft)]]</f>
        <v>45</v>
      </c>
      <c r="J921" s="37">
        <f>2020-Table_8[[#This Row],[Year]]</f>
        <v>3</v>
      </c>
      <c r="K921">
        <v>500000000</v>
      </c>
      <c r="L921">
        <v>34200</v>
      </c>
      <c r="M921">
        <v>1.1000000000000001</v>
      </c>
      <c r="N921">
        <v>2</v>
      </c>
      <c r="O921" s="39">
        <v>33.25</v>
      </c>
      <c r="P921" s="39">
        <v>843.00199999999995</v>
      </c>
      <c r="Q921" s="39">
        <v>63</v>
      </c>
      <c r="R921" s="39">
        <v>12.25</v>
      </c>
    </row>
    <row r="922" spans="1:18" x14ac:dyDescent="0.25">
      <c r="A922" s="1" t="s">
        <v>444</v>
      </c>
      <c r="B922" s="2" t="s">
        <v>447</v>
      </c>
      <c r="C922" s="19">
        <v>45</v>
      </c>
      <c r="D922" s="3" t="s">
        <v>496</v>
      </c>
      <c r="E922" s="4" t="s">
        <v>31</v>
      </c>
      <c r="F922" s="23">
        <v>523822</v>
      </c>
      <c r="G922" s="35">
        <v>2017</v>
      </c>
      <c r="H922">
        <f>Table_8[[#This Row],[Listing Price (USD)]]/10000</f>
        <v>52.382199999999997</v>
      </c>
      <c r="I922">
        <f>Table_8[[#This Row],[Length 
(ft)]]</f>
        <v>45</v>
      </c>
      <c r="J922" s="37">
        <f>2020-Table_8[[#This Row],[Year]]</f>
        <v>3</v>
      </c>
      <c r="K922">
        <v>57472012426.685303</v>
      </c>
      <c r="L922">
        <v>14198.753959474399</v>
      </c>
      <c r="M922">
        <v>0.15481137456202801</v>
      </c>
      <c r="N922">
        <v>-8.5803430210621805</v>
      </c>
      <c r="O922" s="39">
        <v>33.25</v>
      </c>
      <c r="P922" s="39">
        <v>843.00199999999995</v>
      </c>
      <c r="Q922" s="39">
        <v>63</v>
      </c>
      <c r="R922" s="39">
        <v>12.25</v>
      </c>
    </row>
    <row r="923" spans="1:18" x14ac:dyDescent="0.25">
      <c r="A923" s="1" t="s">
        <v>444</v>
      </c>
      <c r="B923" s="2" t="s">
        <v>447</v>
      </c>
      <c r="C923" s="19">
        <v>45</v>
      </c>
      <c r="D923" s="3" t="s">
        <v>496</v>
      </c>
      <c r="E923" s="4" t="s">
        <v>31</v>
      </c>
      <c r="F923" s="23">
        <v>525317</v>
      </c>
      <c r="G923" s="35">
        <v>2017</v>
      </c>
      <c r="H923">
        <f>Table_8[[#This Row],[Listing Price (USD)]]/10000</f>
        <v>52.531700000000001</v>
      </c>
      <c r="I923">
        <f>Table_8[[#This Row],[Length 
(ft)]]</f>
        <v>45</v>
      </c>
      <c r="J923" s="37">
        <f>2020-Table_8[[#This Row],[Year]]</f>
        <v>3</v>
      </c>
      <c r="K923">
        <v>57472012426.685303</v>
      </c>
      <c r="L923">
        <v>14198.753959474399</v>
      </c>
      <c r="M923">
        <v>0.15481137456202801</v>
      </c>
      <c r="N923">
        <v>-8.5803430210621805</v>
      </c>
      <c r="O923" s="39">
        <v>33.25</v>
      </c>
      <c r="P923" s="39">
        <v>843.00199999999995</v>
      </c>
      <c r="Q923" s="39">
        <v>63</v>
      </c>
      <c r="R923" s="39">
        <v>12.25</v>
      </c>
    </row>
    <row r="924" spans="1:18" x14ac:dyDescent="0.25">
      <c r="A924" s="1" t="s">
        <v>444</v>
      </c>
      <c r="B924" s="2" t="s">
        <v>447</v>
      </c>
      <c r="C924" s="19">
        <v>45</v>
      </c>
      <c r="D924" s="3" t="s">
        <v>496</v>
      </c>
      <c r="E924" s="4" t="s">
        <v>18</v>
      </c>
      <c r="F924" s="23">
        <v>656646</v>
      </c>
      <c r="G924" s="35">
        <v>2018</v>
      </c>
      <c r="H924">
        <f>Table_8[[#This Row],[Listing Price (USD)]]/10000</f>
        <v>65.664599999999993</v>
      </c>
      <c r="I924">
        <f>Table_8[[#This Row],[Length 
(ft)]]</f>
        <v>45</v>
      </c>
      <c r="J924" s="37">
        <f>2020-Table_8[[#This Row],[Year]]</f>
        <v>2</v>
      </c>
      <c r="K924">
        <v>188925995936.80701</v>
      </c>
      <c r="L924">
        <v>17658.947301119199</v>
      </c>
      <c r="M924">
        <v>-1.2479835558140799</v>
      </c>
      <c r="N924">
        <v>-9.0040436420214593</v>
      </c>
      <c r="O924" s="39">
        <v>33.25</v>
      </c>
      <c r="P924" s="39">
        <v>843.00199999999995</v>
      </c>
      <c r="Q924" s="39">
        <v>63</v>
      </c>
      <c r="R924" s="39">
        <v>12.25</v>
      </c>
    </row>
    <row r="925" spans="1:18" x14ac:dyDescent="0.25">
      <c r="A925" s="1" t="s">
        <v>444</v>
      </c>
      <c r="B925" s="2" t="s">
        <v>447</v>
      </c>
      <c r="C925" s="19">
        <v>45</v>
      </c>
      <c r="D925" s="3" t="s">
        <v>496</v>
      </c>
      <c r="E925" s="4" t="s">
        <v>18</v>
      </c>
      <c r="F925" s="23">
        <v>661494</v>
      </c>
      <c r="G925" s="35">
        <v>2017</v>
      </c>
      <c r="H925">
        <f>Table_8[[#This Row],[Listing Price (USD)]]/10000</f>
        <v>66.1494</v>
      </c>
      <c r="I925">
        <f>Table_8[[#This Row],[Length 
(ft)]]</f>
        <v>45</v>
      </c>
      <c r="J925" s="37">
        <f>2020-Table_8[[#This Row],[Year]]</f>
        <v>3</v>
      </c>
      <c r="K925">
        <v>188925995936.80701</v>
      </c>
      <c r="L925">
        <v>17658.947301119199</v>
      </c>
      <c r="M925">
        <v>-1.2479835558140799</v>
      </c>
      <c r="N925">
        <v>-9.0040436420214593</v>
      </c>
      <c r="O925" s="39">
        <v>33.25</v>
      </c>
      <c r="P925" s="39">
        <v>843.00199999999995</v>
      </c>
      <c r="Q925" s="39">
        <v>63</v>
      </c>
      <c r="R925" s="39">
        <v>12.25</v>
      </c>
    </row>
    <row r="926" spans="1:18" x14ac:dyDescent="0.25">
      <c r="A926" s="1" t="s">
        <v>444</v>
      </c>
      <c r="B926" s="2" t="s">
        <v>447</v>
      </c>
      <c r="C926" s="19">
        <v>45</v>
      </c>
      <c r="D926" s="3" t="s">
        <v>496</v>
      </c>
      <c r="E926" s="4" t="s">
        <v>18</v>
      </c>
      <c r="F926" s="23">
        <v>662010</v>
      </c>
      <c r="G926" s="35">
        <v>2017</v>
      </c>
      <c r="H926">
        <f>Table_8[[#This Row],[Listing Price (USD)]]/10000</f>
        <v>66.200999999999993</v>
      </c>
      <c r="I926">
        <f>Table_8[[#This Row],[Length 
(ft)]]</f>
        <v>45</v>
      </c>
      <c r="J926" s="37">
        <f>2020-Table_8[[#This Row],[Year]]</f>
        <v>3</v>
      </c>
      <c r="K926">
        <v>188925995936.80701</v>
      </c>
      <c r="L926">
        <v>17658.947301119199</v>
      </c>
      <c r="M926">
        <v>-1.2479835558140799</v>
      </c>
      <c r="N926">
        <v>-9.0040436420214593</v>
      </c>
      <c r="O926" s="39">
        <v>33.25</v>
      </c>
      <c r="P926" s="39">
        <v>843.00199999999995</v>
      </c>
      <c r="Q926" s="39">
        <v>63</v>
      </c>
      <c r="R926" s="39">
        <v>12.25</v>
      </c>
    </row>
    <row r="927" spans="1:18" x14ac:dyDescent="0.25">
      <c r="A927" s="1" t="s">
        <v>444</v>
      </c>
      <c r="B927" s="2" t="s">
        <v>447</v>
      </c>
      <c r="C927" s="19">
        <v>45</v>
      </c>
      <c r="D927" s="3" t="s">
        <v>496</v>
      </c>
      <c r="E927" s="4" t="s">
        <v>18</v>
      </c>
      <c r="F927" s="23">
        <v>752525</v>
      </c>
      <c r="G927" s="35">
        <v>2019</v>
      </c>
      <c r="H927">
        <f>Table_8[[#This Row],[Listing Price (USD)]]/10000</f>
        <v>75.252499999999998</v>
      </c>
      <c r="I927">
        <f>Table_8[[#This Row],[Length 
(ft)]]</f>
        <v>45</v>
      </c>
      <c r="J927" s="37">
        <f>2020-Table_8[[#This Row],[Year]]</f>
        <v>1</v>
      </c>
      <c r="K927">
        <v>188925995936.80701</v>
      </c>
      <c r="L927">
        <v>17658.947301119199</v>
      </c>
      <c r="M927">
        <v>-1.2479835558140799</v>
      </c>
      <c r="N927">
        <v>-9.0040436420214593</v>
      </c>
      <c r="O927" s="39">
        <v>33.25</v>
      </c>
      <c r="P927" s="39">
        <v>843.00199999999995</v>
      </c>
      <c r="Q927" s="39">
        <v>63</v>
      </c>
      <c r="R927" s="39">
        <v>12.25</v>
      </c>
    </row>
    <row r="928" spans="1:18" x14ac:dyDescent="0.25">
      <c r="A928" s="1" t="s">
        <v>444</v>
      </c>
      <c r="B928" s="2" t="s">
        <v>447</v>
      </c>
      <c r="C928" s="19">
        <v>45</v>
      </c>
      <c r="D928" s="3" t="s">
        <v>496</v>
      </c>
      <c r="E928" s="4" t="s">
        <v>18</v>
      </c>
      <c r="F928" s="23">
        <v>753112</v>
      </c>
      <c r="G928" s="35">
        <v>2019</v>
      </c>
      <c r="H928">
        <f>Table_8[[#This Row],[Listing Price (USD)]]/10000</f>
        <v>75.311199999999999</v>
      </c>
      <c r="I928">
        <f>Table_8[[#This Row],[Length 
(ft)]]</f>
        <v>45</v>
      </c>
      <c r="J928" s="37">
        <f>2020-Table_8[[#This Row],[Year]]</f>
        <v>1</v>
      </c>
      <c r="K928">
        <v>188925995936.80701</v>
      </c>
      <c r="L928">
        <v>17658.947301119199</v>
      </c>
      <c r="M928">
        <v>-1.2479835558140799</v>
      </c>
      <c r="N928">
        <v>-9.0040436420214593</v>
      </c>
      <c r="O928" s="39">
        <v>33.25</v>
      </c>
      <c r="P928" s="39">
        <v>843.00199999999995</v>
      </c>
      <c r="Q928" s="39">
        <v>63</v>
      </c>
      <c r="R928" s="39">
        <v>12.25</v>
      </c>
    </row>
    <row r="929" spans="1:18" x14ac:dyDescent="0.25">
      <c r="A929" s="1" t="s">
        <v>444</v>
      </c>
      <c r="B929" s="2" t="s">
        <v>448</v>
      </c>
      <c r="C929" s="19">
        <v>45</v>
      </c>
      <c r="D929" s="3" t="s">
        <v>496</v>
      </c>
      <c r="E929" s="4" t="s">
        <v>18</v>
      </c>
      <c r="F929" s="23">
        <v>535045</v>
      </c>
      <c r="G929" s="35">
        <v>2018</v>
      </c>
      <c r="H929">
        <f>Table_8[[#This Row],[Listing Price (USD)]]/10000</f>
        <v>53.5045</v>
      </c>
      <c r="I929">
        <f>Table_8[[#This Row],[Length 
(ft)]]</f>
        <v>45</v>
      </c>
      <c r="J929" s="37">
        <f>2020-Table_8[[#This Row],[Year]]</f>
        <v>2</v>
      </c>
      <c r="K929">
        <v>188925995936.80701</v>
      </c>
      <c r="L929">
        <v>17658.947301119199</v>
      </c>
      <c r="M929">
        <v>-1.2479835558140799</v>
      </c>
      <c r="N929">
        <v>-9.0040436420214593</v>
      </c>
      <c r="O929" s="39">
        <v>44.98</v>
      </c>
      <c r="P929" s="39">
        <v>1227.0920000000001</v>
      </c>
      <c r="Q929" s="39">
        <v>159</v>
      </c>
      <c r="R929" s="39">
        <v>24.74</v>
      </c>
    </row>
    <row r="930" spans="1:18" x14ac:dyDescent="0.25">
      <c r="A930" s="1" t="s">
        <v>444</v>
      </c>
      <c r="B930" s="2" t="s">
        <v>448</v>
      </c>
      <c r="C930" s="19">
        <v>45</v>
      </c>
      <c r="D930" s="3" t="s">
        <v>496</v>
      </c>
      <c r="E930" s="4" t="s">
        <v>3</v>
      </c>
      <c r="F930" s="23">
        <v>547205</v>
      </c>
      <c r="G930" s="35">
        <v>2018</v>
      </c>
      <c r="H930">
        <f>Table_8[[#This Row],[Listing Price (USD)]]/10000</f>
        <v>54.720500000000001</v>
      </c>
      <c r="I930">
        <f>Table_8[[#This Row],[Length 
(ft)]]</f>
        <v>45</v>
      </c>
      <c r="J930" s="37">
        <f>2020-Table_8[[#This Row],[Year]]</f>
        <v>2</v>
      </c>
      <c r="K930">
        <v>2639008701648.2598</v>
      </c>
      <c r="L930">
        <v>39055.282928075401</v>
      </c>
      <c r="M930">
        <v>0.47649885272508302</v>
      </c>
      <c r="N930">
        <v>-7.7845864916787102</v>
      </c>
      <c r="O930" s="39">
        <v>44.98</v>
      </c>
      <c r="P930" s="39">
        <v>1227.0920000000001</v>
      </c>
      <c r="Q930" s="39">
        <v>159</v>
      </c>
      <c r="R930" s="39">
        <v>24.74</v>
      </c>
    </row>
    <row r="931" spans="1:18" x14ac:dyDescent="0.25">
      <c r="A931" s="1" t="s">
        <v>444</v>
      </c>
      <c r="B931" s="2" t="s">
        <v>448</v>
      </c>
      <c r="C931" s="19">
        <v>45</v>
      </c>
      <c r="D931" s="3" t="s">
        <v>497</v>
      </c>
      <c r="E931" s="3" t="s">
        <v>513</v>
      </c>
      <c r="F931" s="23">
        <v>588087</v>
      </c>
      <c r="G931" s="35">
        <v>2017</v>
      </c>
      <c r="H931">
        <f>Table_8[[#This Row],[Listing Price (USD)]]/10000</f>
        <v>58.808700000000002</v>
      </c>
      <c r="I931">
        <f>Table_8[[#This Row],[Length 
(ft)]]</f>
        <v>45</v>
      </c>
      <c r="J931" s="37">
        <f>2020-Table_8[[#This Row],[Year]]</f>
        <v>3</v>
      </c>
      <c r="K931">
        <v>77625486978.256104</v>
      </c>
      <c r="L931">
        <v>4604.5766789786403</v>
      </c>
      <c r="M931">
        <v>3.21444062197346</v>
      </c>
      <c r="N931">
        <v>-1.76408292563957</v>
      </c>
      <c r="O931" s="39">
        <v>44.98</v>
      </c>
      <c r="P931" s="39">
        <v>1227.0920000000001</v>
      </c>
      <c r="Q931" s="39">
        <v>159</v>
      </c>
      <c r="R931" s="39">
        <v>24.74</v>
      </c>
    </row>
    <row r="932" spans="1:18" x14ac:dyDescent="0.25">
      <c r="A932" s="1" t="s">
        <v>444</v>
      </c>
      <c r="B932" s="2" t="s">
        <v>448</v>
      </c>
      <c r="C932" s="19">
        <v>45</v>
      </c>
      <c r="D932" s="3" t="s">
        <v>497</v>
      </c>
      <c r="E932" s="3" t="s">
        <v>513</v>
      </c>
      <c r="F932" s="23">
        <v>588669</v>
      </c>
      <c r="G932" s="35">
        <v>2017</v>
      </c>
      <c r="H932">
        <f>Table_8[[#This Row],[Listing Price (USD)]]/10000</f>
        <v>58.866900000000001</v>
      </c>
      <c r="I932">
        <f>Table_8[[#This Row],[Length 
(ft)]]</f>
        <v>45</v>
      </c>
      <c r="J932" s="37">
        <f>2020-Table_8[[#This Row],[Year]]</f>
        <v>3</v>
      </c>
      <c r="K932">
        <v>77625486978.256104</v>
      </c>
      <c r="L932">
        <v>4604.5766789786403</v>
      </c>
      <c r="M932">
        <v>3.21444062197346</v>
      </c>
      <c r="N932">
        <v>-1.76408292563957</v>
      </c>
      <c r="O932" s="39">
        <v>44.98</v>
      </c>
      <c r="P932" s="39">
        <v>1227.0920000000001</v>
      </c>
      <c r="Q932" s="39">
        <v>159</v>
      </c>
      <c r="R932" s="39">
        <v>24.74</v>
      </c>
    </row>
    <row r="933" spans="1:18" x14ac:dyDescent="0.25">
      <c r="A933" s="1" t="s">
        <v>444</v>
      </c>
      <c r="B933" s="3" t="s">
        <v>448</v>
      </c>
      <c r="C933" s="19">
        <v>45</v>
      </c>
      <c r="D933" s="3" t="s">
        <v>497</v>
      </c>
      <c r="E933" s="3" t="s">
        <v>513</v>
      </c>
      <c r="F933" s="23">
        <v>589151</v>
      </c>
      <c r="G933" s="35">
        <v>2017</v>
      </c>
      <c r="H933">
        <f>Table_8[[#This Row],[Listing Price (USD)]]/10000</f>
        <v>58.915100000000002</v>
      </c>
      <c r="I933">
        <f>Table_8[[#This Row],[Length 
(ft)]]</f>
        <v>45</v>
      </c>
      <c r="J933" s="37">
        <f>2020-Table_8[[#This Row],[Year]]</f>
        <v>3</v>
      </c>
      <c r="K933">
        <v>77625486978.256104</v>
      </c>
      <c r="L933">
        <v>4604.5766789786403</v>
      </c>
      <c r="M933">
        <v>3.21444062197346</v>
      </c>
      <c r="N933">
        <v>-1.76408292563957</v>
      </c>
      <c r="O933" s="39">
        <v>44.98</v>
      </c>
      <c r="P933" s="39">
        <v>1227.0920000000001</v>
      </c>
      <c r="Q933" s="39">
        <v>159</v>
      </c>
      <c r="R933" s="39">
        <v>24.74</v>
      </c>
    </row>
    <row r="934" spans="1:18" x14ac:dyDescent="0.25">
      <c r="A934" s="1" t="s">
        <v>444</v>
      </c>
      <c r="B934" s="3" t="s">
        <v>491</v>
      </c>
      <c r="C934" s="19">
        <v>45</v>
      </c>
      <c r="D934" s="3" t="s">
        <v>497</v>
      </c>
      <c r="E934" s="3" t="s">
        <v>513</v>
      </c>
      <c r="F934" s="23">
        <v>589343</v>
      </c>
      <c r="G934" s="35">
        <v>2017</v>
      </c>
      <c r="H934">
        <f>Table_8[[#This Row],[Listing Price (USD)]]/10000</f>
        <v>58.9343</v>
      </c>
      <c r="I934">
        <f>Table_8[[#This Row],[Length 
(ft)]]</f>
        <v>45</v>
      </c>
      <c r="J934" s="37">
        <f>2020-Table_8[[#This Row],[Year]]</f>
        <v>3</v>
      </c>
      <c r="K934">
        <v>77625486978.256104</v>
      </c>
      <c r="L934">
        <v>4604.5766789786403</v>
      </c>
      <c r="M934">
        <v>3.21444062197346</v>
      </c>
      <c r="N934">
        <v>-1.76408292563957</v>
      </c>
      <c r="O934" s="39">
        <v>44.98</v>
      </c>
      <c r="P934" s="39">
        <v>1227.0920000000001</v>
      </c>
      <c r="Q934" s="39">
        <v>159</v>
      </c>
      <c r="R934" s="39">
        <v>24.74</v>
      </c>
    </row>
    <row r="935" spans="1:18" x14ac:dyDescent="0.25">
      <c r="A935" s="1" t="s">
        <v>444</v>
      </c>
      <c r="B935" s="2" t="s">
        <v>448</v>
      </c>
      <c r="C935" s="19">
        <v>45</v>
      </c>
      <c r="D935" s="3" t="s">
        <v>496</v>
      </c>
      <c r="E935" s="4" t="s">
        <v>18</v>
      </c>
      <c r="F935" s="23">
        <v>594737</v>
      </c>
      <c r="G935" s="35">
        <v>2017</v>
      </c>
      <c r="H935">
        <f>Table_8[[#This Row],[Listing Price (USD)]]/10000</f>
        <v>59.473700000000001</v>
      </c>
      <c r="I935">
        <f>Table_8[[#This Row],[Length 
(ft)]]</f>
        <v>45</v>
      </c>
      <c r="J935" s="37">
        <f>2020-Table_8[[#This Row],[Year]]</f>
        <v>3</v>
      </c>
      <c r="K935">
        <v>188925995936.80701</v>
      </c>
      <c r="L935">
        <v>17658.947301119199</v>
      </c>
      <c r="M935">
        <v>-1.2479835558140799</v>
      </c>
      <c r="N935">
        <v>-9.0040436420214593</v>
      </c>
      <c r="O935" s="39">
        <v>44.98</v>
      </c>
      <c r="P935" s="39">
        <v>1227.0920000000001</v>
      </c>
      <c r="Q935" s="39">
        <v>159</v>
      </c>
      <c r="R935" s="39">
        <v>24.74</v>
      </c>
    </row>
    <row r="936" spans="1:18" x14ac:dyDescent="0.25">
      <c r="A936" s="1" t="s">
        <v>444</v>
      </c>
      <c r="B936" s="2" t="s">
        <v>448</v>
      </c>
      <c r="C936" s="19">
        <v>45</v>
      </c>
      <c r="D936" s="3" t="s">
        <v>496</v>
      </c>
      <c r="E936" s="4" t="s">
        <v>18</v>
      </c>
      <c r="F936" s="23">
        <v>606875</v>
      </c>
      <c r="G936" s="35">
        <v>2017</v>
      </c>
      <c r="H936">
        <f>Table_8[[#This Row],[Listing Price (USD)]]/10000</f>
        <v>60.6875</v>
      </c>
      <c r="I936">
        <f>Table_8[[#This Row],[Length 
(ft)]]</f>
        <v>45</v>
      </c>
      <c r="J936" s="37">
        <f>2020-Table_8[[#This Row],[Year]]</f>
        <v>3</v>
      </c>
      <c r="K936">
        <v>188925995936.80701</v>
      </c>
      <c r="L936">
        <v>17658.947301119199</v>
      </c>
      <c r="M936">
        <v>-1.2479835558140799</v>
      </c>
      <c r="N936">
        <v>-9.0040436420214593</v>
      </c>
      <c r="O936" s="39">
        <v>44.98</v>
      </c>
      <c r="P936" s="39">
        <v>1227.0920000000001</v>
      </c>
      <c r="Q936" s="39">
        <v>159</v>
      </c>
      <c r="R936" s="39">
        <v>24.74</v>
      </c>
    </row>
    <row r="937" spans="1:18" x14ac:dyDescent="0.25">
      <c r="A937" s="1" t="s">
        <v>444</v>
      </c>
      <c r="B937" s="2" t="s">
        <v>448</v>
      </c>
      <c r="C937" s="19">
        <v>45</v>
      </c>
      <c r="D937" s="3" t="s">
        <v>496</v>
      </c>
      <c r="E937" s="4" t="s">
        <v>18</v>
      </c>
      <c r="F937" s="23">
        <v>607348</v>
      </c>
      <c r="G937" s="35">
        <v>2017</v>
      </c>
      <c r="H937">
        <f>Table_8[[#This Row],[Listing Price (USD)]]/10000</f>
        <v>60.7348</v>
      </c>
      <c r="I937">
        <f>Table_8[[#This Row],[Length 
(ft)]]</f>
        <v>45</v>
      </c>
      <c r="J937" s="37">
        <f>2020-Table_8[[#This Row],[Year]]</f>
        <v>3</v>
      </c>
      <c r="K937">
        <v>188925995936.80701</v>
      </c>
      <c r="L937">
        <v>17658.947301119199</v>
      </c>
      <c r="M937">
        <v>-1.2479835558140799</v>
      </c>
      <c r="N937">
        <v>-9.0040436420214593</v>
      </c>
      <c r="O937" s="39">
        <v>44.98</v>
      </c>
      <c r="P937" s="39">
        <v>1227.0920000000001</v>
      </c>
      <c r="Q937" s="39">
        <v>159</v>
      </c>
      <c r="R937" s="39">
        <v>24.74</v>
      </c>
    </row>
    <row r="938" spans="1:18" x14ac:dyDescent="0.25">
      <c r="A938" s="1" t="s">
        <v>444</v>
      </c>
      <c r="B938" s="2" t="s">
        <v>448</v>
      </c>
      <c r="C938" s="19">
        <v>45</v>
      </c>
      <c r="D938" s="3" t="s">
        <v>496</v>
      </c>
      <c r="E938" s="4" t="s">
        <v>9</v>
      </c>
      <c r="F938" s="23">
        <v>613367</v>
      </c>
      <c r="G938" s="35">
        <v>2018</v>
      </c>
      <c r="H938">
        <f>Table_8[[#This Row],[Listing Price (USD)]]/10000</f>
        <v>61.3367</v>
      </c>
      <c r="I938">
        <f>Table_8[[#This Row],[Length 
(ft)]]</f>
        <v>45</v>
      </c>
      <c r="J938" s="37">
        <f>2020-Table_8[[#This Row],[Year]]</f>
        <v>2</v>
      </c>
      <c r="K938">
        <v>1276962685648.25</v>
      </c>
      <c r="L938">
        <v>26959.675436732599</v>
      </c>
      <c r="M938">
        <v>-0.32275301729970501</v>
      </c>
      <c r="N938">
        <v>-11.3254383222864</v>
      </c>
      <c r="O938" s="39">
        <v>44.98</v>
      </c>
      <c r="P938" s="39">
        <v>1227.0920000000001</v>
      </c>
      <c r="Q938" s="39">
        <v>159</v>
      </c>
      <c r="R938" s="39">
        <v>24.74</v>
      </c>
    </row>
    <row r="939" spans="1:18" x14ac:dyDescent="0.25">
      <c r="A939" s="1" t="s">
        <v>444</v>
      </c>
      <c r="B939" s="2" t="s">
        <v>448</v>
      </c>
      <c r="C939" s="19">
        <v>45</v>
      </c>
      <c r="D939" s="3" t="s">
        <v>496</v>
      </c>
      <c r="E939" s="4" t="s">
        <v>31</v>
      </c>
      <c r="F939" s="23">
        <v>775274</v>
      </c>
      <c r="G939" s="35">
        <v>2018</v>
      </c>
      <c r="H939">
        <f>Table_8[[#This Row],[Listing Price (USD)]]/10000</f>
        <v>77.5274</v>
      </c>
      <c r="I939">
        <f>Table_8[[#This Row],[Length 
(ft)]]</f>
        <v>45</v>
      </c>
      <c r="J939" s="37">
        <f>2020-Table_8[[#This Row],[Year]]</f>
        <v>2</v>
      </c>
      <c r="K939">
        <v>57472012426.685303</v>
      </c>
      <c r="L939">
        <v>14198.753959474399</v>
      </c>
      <c r="M939">
        <v>0.15481137456202801</v>
      </c>
      <c r="N939">
        <v>-8.5803430210621805</v>
      </c>
      <c r="O939" s="39">
        <v>44.98</v>
      </c>
      <c r="P939" s="39">
        <v>1227.0920000000001</v>
      </c>
      <c r="Q939" s="39">
        <v>159</v>
      </c>
      <c r="R939" s="39">
        <v>24.74</v>
      </c>
    </row>
    <row r="940" spans="1:18" x14ac:dyDescent="0.25">
      <c r="A940" s="1" t="s">
        <v>404</v>
      </c>
      <c r="B940" s="2" t="s">
        <v>475</v>
      </c>
      <c r="C940" s="19">
        <v>47</v>
      </c>
      <c r="D940" s="3" t="s">
        <v>497</v>
      </c>
      <c r="E940" s="3" t="s">
        <v>513</v>
      </c>
      <c r="F940" s="23">
        <v>516769</v>
      </c>
      <c r="G940" s="35">
        <v>2006</v>
      </c>
      <c r="H940">
        <f>Table_8[[#This Row],[Listing Price (USD)]]/10000</f>
        <v>51.676900000000003</v>
      </c>
      <c r="I940">
        <f>Table_8[[#This Row],[Length 
(ft)]]</f>
        <v>47</v>
      </c>
      <c r="J940" s="37">
        <f>2020-Table_8[[#This Row],[Year]]</f>
        <v>14</v>
      </c>
      <c r="K940">
        <v>77625486978.256104</v>
      </c>
      <c r="L940">
        <v>4604.5766789786403</v>
      </c>
      <c r="M940">
        <v>3.21444062197346</v>
      </c>
      <c r="N940">
        <v>-1.76408292563957</v>
      </c>
      <c r="O940" s="39">
        <v>40.19</v>
      </c>
      <c r="P940" s="39">
        <v>963.00199999999995</v>
      </c>
      <c r="Q940" s="39">
        <v>0</v>
      </c>
      <c r="R940" s="39">
        <v>14.6</v>
      </c>
    </row>
    <row r="941" spans="1:18" x14ac:dyDescent="0.25">
      <c r="A941" s="1" t="s">
        <v>442</v>
      </c>
      <c r="B941" s="2" t="s">
        <v>488</v>
      </c>
      <c r="C941" s="19">
        <v>48</v>
      </c>
      <c r="D941" s="3" t="s">
        <v>497</v>
      </c>
      <c r="E941" s="3" t="s">
        <v>370</v>
      </c>
      <c r="F941" s="23">
        <v>400000</v>
      </c>
      <c r="G941" s="35">
        <v>2014</v>
      </c>
      <c r="H941">
        <f>Table_8[[#This Row],[Listing Price (USD)]]/10000</f>
        <v>40</v>
      </c>
      <c r="I941">
        <f>Table_8[[#This Row],[Length 
(ft)]]</f>
        <v>48</v>
      </c>
      <c r="J941" s="37">
        <f>2020-Table_8[[#This Row],[Year]]</f>
        <v>6</v>
      </c>
      <c r="K941">
        <v>500000000</v>
      </c>
      <c r="L941">
        <v>34200</v>
      </c>
      <c r="M941">
        <v>1.1000000000000001</v>
      </c>
      <c r="N941">
        <v>2</v>
      </c>
      <c r="O941" s="39">
        <v>40.92</v>
      </c>
      <c r="P941" s="39">
        <v>1192.002</v>
      </c>
      <c r="Q941" s="39">
        <v>22</v>
      </c>
      <c r="R941" s="39">
        <v>14.17</v>
      </c>
    </row>
    <row r="942" spans="1:18" x14ac:dyDescent="0.25">
      <c r="A942" s="1" t="s">
        <v>442</v>
      </c>
      <c r="B942" s="2" t="s">
        <v>488</v>
      </c>
      <c r="C942" s="19">
        <v>48</v>
      </c>
      <c r="D942" s="3" t="s">
        <v>497</v>
      </c>
      <c r="E942" s="3" t="s">
        <v>370</v>
      </c>
      <c r="F942" s="23">
        <v>465000</v>
      </c>
      <c r="G942" s="35">
        <v>2016</v>
      </c>
      <c r="H942">
        <f>Table_8[[#This Row],[Listing Price (USD)]]/10000</f>
        <v>46.5</v>
      </c>
      <c r="I942">
        <f>Table_8[[#This Row],[Length 
(ft)]]</f>
        <v>48</v>
      </c>
      <c r="J942" s="37">
        <f>2020-Table_8[[#This Row],[Year]]</f>
        <v>4</v>
      </c>
      <c r="K942">
        <v>500000000</v>
      </c>
      <c r="L942">
        <v>34200</v>
      </c>
      <c r="M942">
        <v>1.1000000000000001</v>
      </c>
      <c r="N942">
        <v>2</v>
      </c>
      <c r="O942" s="39">
        <v>40.92</v>
      </c>
      <c r="P942" s="39">
        <v>1192.002</v>
      </c>
      <c r="Q942" s="39">
        <v>22</v>
      </c>
      <c r="R942" s="39">
        <v>14.17</v>
      </c>
    </row>
    <row r="943" spans="1:18" x14ac:dyDescent="0.25">
      <c r="A943" s="1" t="s">
        <v>427</v>
      </c>
      <c r="B943" s="2" t="s">
        <v>529</v>
      </c>
      <c r="C943" s="19">
        <v>48</v>
      </c>
      <c r="D943" s="3" t="s">
        <v>497</v>
      </c>
      <c r="E943" s="3" t="s">
        <v>483</v>
      </c>
      <c r="F943" s="23">
        <v>450000</v>
      </c>
      <c r="G943" s="35">
        <v>2006</v>
      </c>
      <c r="H943">
        <f>Table_8[[#This Row],[Listing Price (USD)]]/10000</f>
        <v>45</v>
      </c>
      <c r="I943">
        <f>Table_8[[#This Row],[Length 
(ft)]]</f>
        <v>48</v>
      </c>
      <c r="J943" s="37">
        <f>2020-Table_8[[#This Row],[Year]]</f>
        <v>14</v>
      </c>
      <c r="K943">
        <v>4200000000</v>
      </c>
      <c r="L943">
        <v>39553.199999999997</v>
      </c>
      <c r="M943">
        <v>2.5</v>
      </c>
      <c r="N943">
        <v>-2.1</v>
      </c>
      <c r="O943" s="39">
        <v>45.28</v>
      </c>
      <c r="P943" s="39">
        <v>1345.492</v>
      </c>
      <c r="Q943" s="39">
        <v>211</v>
      </c>
      <c r="R943" s="39">
        <v>27.89</v>
      </c>
    </row>
    <row r="944" spans="1:18" x14ac:dyDescent="0.25">
      <c r="A944" s="1" t="s">
        <v>472</v>
      </c>
      <c r="B944" s="2" t="s">
        <v>557</v>
      </c>
      <c r="C944" s="19">
        <v>50</v>
      </c>
      <c r="D944" s="3" t="s">
        <v>495</v>
      </c>
      <c r="E944" s="3" t="s">
        <v>333</v>
      </c>
      <c r="F944" s="23">
        <v>595000</v>
      </c>
      <c r="G944" s="35">
        <v>2010</v>
      </c>
      <c r="H944">
        <f>Table_8[[#This Row],[Listing Price (USD)]]/10000</f>
        <v>59.5</v>
      </c>
      <c r="I944">
        <f>Table_8[[#This Row],[Length 
(ft)]]</f>
        <v>50</v>
      </c>
      <c r="J944" s="37">
        <f>2020-Table_8[[#This Row],[Year]]</f>
        <v>10</v>
      </c>
      <c r="K944">
        <v>1106036000000</v>
      </c>
      <c r="L944">
        <v>51276.72</v>
      </c>
      <c r="M944">
        <v>1.23</v>
      </c>
      <c r="N944">
        <v>2.9</v>
      </c>
      <c r="O944" s="39">
        <v>44.85</v>
      </c>
      <c r="P944" s="39">
        <v>1084.002</v>
      </c>
      <c r="Q944" s="39">
        <v>132</v>
      </c>
      <c r="R944" s="39">
        <v>15.75</v>
      </c>
    </row>
    <row r="945" spans="1:18" x14ac:dyDescent="0.25">
      <c r="A945" s="1" t="s">
        <v>427</v>
      </c>
      <c r="B945" s="2" t="s">
        <v>534</v>
      </c>
      <c r="C945" s="19">
        <v>48</v>
      </c>
      <c r="D945" s="3" t="s">
        <v>496</v>
      </c>
      <c r="E945" s="4" t="s">
        <v>31</v>
      </c>
      <c r="F945" s="23">
        <v>875114</v>
      </c>
      <c r="G945" s="35">
        <v>2019</v>
      </c>
      <c r="H945">
        <f>Table_8[[#This Row],[Listing Price (USD)]]/10000</f>
        <v>87.511399999999995</v>
      </c>
      <c r="I945">
        <f>Table_8[[#This Row],[Length 
(ft)]]</f>
        <v>48</v>
      </c>
      <c r="J945" s="37">
        <f>2020-Table_8[[#This Row],[Year]]</f>
        <v>1</v>
      </c>
      <c r="K945">
        <v>57472012426.685303</v>
      </c>
      <c r="L945">
        <v>14198.753959474399</v>
      </c>
      <c r="M945">
        <v>0.15481137456202801</v>
      </c>
      <c r="N945">
        <v>-8.5803430210621805</v>
      </c>
      <c r="O945" s="39">
        <v>46.95</v>
      </c>
      <c r="P945" s="39">
        <v>1550</v>
      </c>
      <c r="Q945" s="39">
        <v>275</v>
      </c>
      <c r="R945" s="39">
        <v>26.57</v>
      </c>
    </row>
    <row r="946" spans="1:18" x14ac:dyDescent="0.25">
      <c r="A946" s="1" t="s">
        <v>427</v>
      </c>
      <c r="B946" s="2" t="s">
        <v>534</v>
      </c>
      <c r="C946" s="19">
        <v>48</v>
      </c>
      <c r="D946" s="3" t="s">
        <v>496</v>
      </c>
      <c r="E946" s="4" t="s">
        <v>31</v>
      </c>
      <c r="F946" s="23">
        <v>875796</v>
      </c>
      <c r="G946" s="35">
        <v>2019</v>
      </c>
      <c r="H946">
        <f>Table_8[[#This Row],[Listing Price (USD)]]/10000</f>
        <v>87.579599999999999</v>
      </c>
      <c r="I946">
        <f>Table_8[[#This Row],[Length 
(ft)]]</f>
        <v>48</v>
      </c>
      <c r="J946" s="37">
        <f>2020-Table_8[[#This Row],[Year]]</f>
        <v>1</v>
      </c>
      <c r="K946">
        <v>57472012426.685303</v>
      </c>
      <c r="L946">
        <v>14198.753959474399</v>
      </c>
      <c r="M946">
        <v>0.15481137456202801</v>
      </c>
      <c r="N946">
        <v>-8.5803430210621805</v>
      </c>
      <c r="O946" s="39">
        <v>46.95</v>
      </c>
      <c r="P946" s="39">
        <v>1550</v>
      </c>
      <c r="Q946" s="39">
        <v>275</v>
      </c>
      <c r="R946" s="39">
        <v>26.57</v>
      </c>
    </row>
    <row r="947" spans="1:18" x14ac:dyDescent="0.25">
      <c r="A947" s="1" t="s">
        <v>427</v>
      </c>
      <c r="B947" s="2" t="s">
        <v>534</v>
      </c>
      <c r="C947" s="19">
        <v>48</v>
      </c>
      <c r="D947" s="3" t="s">
        <v>497</v>
      </c>
      <c r="E947" s="3" t="s">
        <v>370</v>
      </c>
      <c r="F947" s="23">
        <v>1082175</v>
      </c>
      <c r="G947" s="35">
        <v>2019</v>
      </c>
      <c r="H947">
        <f>Table_8[[#This Row],[Listing Price (USD)]]/10000</f>
        <v>108.2175</v>
      </c>
      <c r="I947">
        <f>Table_8[[#This Row],[Length 
(ft)]]</f>
        <v>48</v>
      </c>
      <c r="J947" s="37">
        <f>2020-Table_8[[#This Row],[Year]]</f>
        <v>1</v>
      </c>
      <c r="K947">
        <v>681973374534.10596</v>
      </c>
      <c r="L947">
        <v>27575.495000325591</v>
      </c>
      <c r="M947">
        <v>0.8848420113691905</v>
      </c>
      <c r="N947">
        <v>-6.3525291034127971</v>
      </c>
      <c r="O947" s="39">
        <v>46.95</v>
      </c>
      <c r="P947" s="39">
        <v>1550</v>
      </c>
      <c r="Q947" s="39">
        <v>275</v>
      </c>
      <c r="R947" s="39">
        <v>26.57</v>
      </c>
    </row>
    <row r="948" spans="1:18" x14ac:dyDescent="0.25">
      <c r="A948" s="1" t="s">
        <v>441</v>
      </c>
      <c r="B948" s="2" t="s">
        <v>484</v>
      </c>
      <c r="C948" s="19">
        <v>52</v>
      </c>
      <c r="D948" s="3" t="s">
        <v>497</v>
      </c>
      <c r="E948" s="3" t="s">
        <v>498</v>
      </c>
      <c r="F948" s="23">
        <v>1075000</v>
      </c>
      <c r="G948" s="35">
        <v>2018</v>
      </c>
      <c r="H948">
        <f>Table_8[[#This Row],[Listing Price (USD)]]/10000</f>
        <v>107.5</v>
      </c>
      <c r="I948">
        <f>Table_8[[#This Row],[Length 
(ft)]]</f>
        <v>52</v>
      </c>
      <c r="J948" s="37">
        <f>2020-Table_8[[#This Row],[Year]]</f>
        <v>2</v>
      </c>
      <c r="K948">
        <v>1090515389749.41</v>
      </c>
      <c r="L948">
        <v>8655.0006820680301</v>
      </c>
      <c r="M948">
        <v>3.3968341556999899</v>
      </c>
      <c r="N948">
        <v>-7.9879123401474903</v>
      </c>
      <c r="O948" s="39">
        <v>40</v>
      </c>
      <c r="P948" s="39">
        <v>1307.002</v>
      </c>
      <c r="Q948" s="39">
        <v>262</v>
      </c>
      <c r="R948" s="39">
        <v>28.67</v>
      </c>
    </row>
    <row r="949" spans="1:18" x14ac:dyDescent="0.25">
      <c r="A949" s="1" t="s">
        <v>427</v>
      </c>
      <c r="B949" s="2" t="s">
        <v>484</v>
      </c>
      <c r="C949" s="19">
        <v>52</v>
      </c>
      <c r="D949" s="3" t="s">
        <v>497</v>
      </c>
      <c r="E949" s="3" t="s">
        <v>498</v>
      </c>
      <c r="F949" s="23">
        <v>1273178</v>
      </c>
      <c r="G949" s="35">
        <v>2018</v>
      </c>
      <c r="H949">
        <f>Table_8[[#This Row],[Listing Price (USD)]]/10000</f>
        <v>127.31780000000001</v>
      </c>
      <c r="I949">
        <f>Table_8[[#This Row],[Length 
(ft)]]</f>
        <v>52</v>
      </c>
      <c r="J949" s="37">
        <f>2020-Table_8[[#This Row],[Year]]</f>
        <v>2</v>
      </c>
      <c r="K949">
        <v>1090515389749.41</v>
      </c>
      <c r="L949">
        <v>8655.0006820680301</v>
      </c>
      <c r="M949">
        <v>3.3968341556999899</v>
      </c>
      <c r="N949">
        <v>-7.9879123401474903</v>
      </c>
      <c r="O949" s="39">
        <v>40</v>
      </c>
      <c r="P949" s="39">
        <v>1307.002</v>
      </c>
      <c r="Q949" s="39">
        <v>262</v>
      </c>
      <c r="R949" s="39">
        <v>28.67</v>
      </c>
    </row>
    <row r="950" spans="1:18" x14ac:dyDescent="0.25">
      <c r="A950" s="1" t="s">
        <v>427</v>
      </c>
      <c r="B950" s="2" t="s">
        <v>440</v>
      </c>
      <c r="C950" s="19">
        <v>52</v>
      </c>
      <c r="D950" s="3" t="s">
        <v>496</v>
      </c>
      <c r="E950" s="4" t="s">
        <v>31</v>
      </c>
      <c r="F950" s="23">
        <v>479805</v>
      </c>
      <c r="G950" s="35">
        <v>2017</v>
      </c>
      <c r="H950">
        <f>Table_8[[#This Row],[Listing Price (USD)]]/10000</f>
        <v>47.980499999999999</v>
      </c>
      <c r="I950">
        <f>Table_8[[#This Row],[Length 
(ft)]]</f>
        <v>52</v>
      </c>
      <c r="J950" s="37">
        <f>2020-Table_8[[#This Row],[Year]]</f>
        <v>3</v>
      </c>
      <c r="K950">
        <v>57472012426.685303</v>
      </c>
      <c r="L950">
        <v>14198.753959474399</v>
      </c>
      <c r="M950">
        <v>0.15481137456202801</v>
      </c>
      <c r="N950">
        <v>-8.5803430210621805</v>
      </c>
      <c r="O950" s="39">
        <v>46.95</v>
      </c>
      <c r="P950" s="39">
        <v>1679</v>
      </c>
      <c r="Q950" s="39">
        <v>262</v>
      </c>
      <c r="R950" s="39">
        <v>28.67</v>
      </c>
    </row>
    <row r="951" spans="1:18" x14ac:dyDescent="0.25">
      <c r="A951" s="1" t="s">
        <v>441</v>
      </c>
      <c r="B951" s="2" t="s">
        <v>440</v>
      </c>
      <c r="C951" s="19">
        <v>52</v>
      </c>
      <c r="D951" s="3" t="s">
        <v>496</v>
      </c>
      <c r="E951" s="4" t="s">
        <v>31</v>
      </c>
      <c r="F951" s="23">
        <v>480291</v>
      </c>
      <c r="G951" s="35">
        <v>2017</v>
      </c>
      <c r="H951">
        <f>Table_8[[#This Row],[Listing Price (USD)]]/10000</f>
        <v>48.0291</v>
      </c>
      <c r="I951">
        <f>Table_8[[#This Row],[Length 
(ft)]]</f>
        <v>52</v>
      </c>
      <c r="J951" s="37">
        <f>2020-Table_8[[#This Row],[Year]]</f>
        <v>3</v>
      </c>
      <c r="K951">
        <v>57472012426.685303</v>
      </c>
      <c r="L951">
        <v>14198.753959474399</v>
      </c>
      <c r="M951">
        <v>0.15481137456202801</v>
      </c>
      <c r="N951">
        <v>-8.5803430210621805</v>
      </c>
      <c r="O951" s="39">
        <v>46.95</v>
      </c>
      <c r="P951" s="39">
        <v>1679</v>
      </c>
      <c r="Q951" s="39">
        <v>262</v>
      </c>
      <c r="R951" s="39">
        <v>28.67</v>
      </c>
    </row>
    <row r="952" spans="1:18" x14ac:dyDescent="0.25">
      <c r="A952" s="1" t="s">
        <v>427</v>
      </c>
      <c r="B952" s="2" t="s">
        <v>440</v>
      </c>
      <c r="C952" s="19">
        <v>52</v>
      </c>
      <c r="D952" s="3" t="s">
        <v>496</v>
      </c>
      <c r="E952" s="4" t="s">
        <v>124</v>
      </c>
      <c r="F952" s="23">
        <v>547167</v>
      </c>
      <c r="G952" s="35">
        <v>2017</v>
      </c>
      <c r="H952">
        <f>Table_8[[#This Row],[Listing Price (USD)]]/10000</f>
        <v>54.716700000000003</v>
      </c>
      <c r="I952">
        <f>Table_8[[#This Row],[Length 
(ft)]]</f>
        <v>52</v>
      </c>
      <c r="J952" s="37">
        <f>2020-Table_8[[#This Row],[Year]]</f>
        <v>3</v>
      </c>
      <c r="K952">
        <v>547054174235.87598</v>
      </c>
      <c r="L952">
        <v>52837.903977814902</v>
      </c>
      <c r="M952">
        <v>0.497367318853562</v>
      </c>
      <c r="N952">
        <v>-2.1702131788587198</v>
      </c>
      <c r="O952" s="39">
        <v>46.95</v>
      </c>
      <c r="P952" s="39">
        <v>1679</v>
      </c>
      <c r="Q952" s="39">
        <v>262</v>
      </c>
      <c r="R952" s="39">
        <v>28.67</v>
      </c>
    </row>
    <row r="953" spans="1:18" x14ac:dyDescent="0.25">
      <c r="A953" s="1" t="s">
        <v>427</v>
      </c>
      <c r="B953" s="2" t="s">
        <v>440</v>
      </c>
      <c r="C953" s="19">
        <v>52</v>
      </c>
      <c r="D953" s="3" t="s">
        <v>497</v>
      </c>
      <c r="E953" s="3" t="s">
        <v>481</v>
      </c>
      <c r="F953" s="23">
        <v>690000</v>
      </c>
      <c r="G953" s="35">
        <v>2016</v>
      </c>
      <c r="H953">
        <f>Table_8[[#This Row],[Listing Price (USD)]]/10000</f>
        <v>69</v>
      </c>
      <c r="I953">
        <f>Table_8[[#This Row],[Length 
(ft)]]</f>
        <v>52</v>
      </c>
      <c r="J953" s="37">
        <f>2020-Table_8[[#This Row],[Year]]</f>
        <v>4</v>
      </c>
      <c r="K953">
        <v>53977000000</v>
      </c>
      <c r="L953">
        <v>12569.1715435651</v>
      </c>
      <c r="M953">
        <v>-1.55027540803759</v>
      </c>
      <c r="N953">
        <v>-17.944893597249301</v>
      </c>
      <c r="O953" s="39">
        <v>46.95</v>
      </c>
      <c r="P953" s="39">
        <v>1679</v>
      </c>
      <c r="Q953" s="39">
        <v>262</v>
      </c>
      <c r="R953" s="39">
        <v>28.67</v>
      </c>
    </row>
    <row r="954" spans="1:18" x14ac:dyDescent="0.25">
      <c r="A954" s="1" t="s">
        <v>427</v>
      </c>
      <c r="B954" s="2" t="s">
        <v>440</v>
      </c>
      <c r="C954" s="19">
        <v>52</v>
      </c>
      <c r="D954" s="3" t="s">
        <v>497</v>
      </c>
      <c r="E954" s="3" t="s">
        <v>377</v>
      </c>
      <c r="F954" s="23">
        <v>776032</v>
      </c>
      <c r="G954" s="35">
        <v>2015</v>
      </c>
      <c r="H954">
        <f>Table_8[[#This Row],[Listing Price (USD)]]/10000</f>
        <v>77.603200000000001</v>
      </c>
      <c r="I954">
        <f>Table_8[[#This Row],[Length 
(ft)]]</f>
        <v>52</v>
      </c>
      <c r="J954" s="37">
        <f>2020-Table_8[[#This Row],[Year]]</f>
        <v>5</v>
      </c>
      <c r="K954">
        <v>681973374534.10596</v>
      </c>
      <c r="L954">
        <v>27575.495000325591</v>
      </c>
      <c r="M954">
        <v>0.8848420113691905</v>
      </c>
      <c r="N954">
        <v>-6.3525291034127971</v>
      </c>
      <c r="O954" s="39">
        <v>46.95</v>
      </c>
      <c r="P954" s="39">
        <v>1679</v>
      </c>
      <c r="Q954" s="39">
        <v>262</v>
      </c>
      <c r="R954" s="39">
        <v>28.67</v>
      </c>
    </row>
    <row r="955" spans="1:18" x14ac:dyDescent="0.25">
      <c r="A955" s="1" t="s">
        <v>441</v>
      </c>
      <c r="B955" s="2" t="s">
        <v>440</v>
      </c>
      <c r="C955" s="19">
        <v>52</v>
      </c>
      <c r="D955" s="3" t="s">
        <v>496</v>
      </c>
      <c r="E955" s="4" t="s">
        <v>18</v>
      </c>
      <c r="F955" s="23">
        <v>789136</v>
      </c>
      <c r="G955" s="35">
        <v>2013</v>
      </c>
      <c r="H955">
        <f>Table_8[[#This Row],[Listing Price (USD)]]/10000</f>
        <v>78.913600000000002</v>
      </c>
      <c r="I955">
        <f>Table_8[[#This Row],[Length 
(ft)]]</f>
        <v>52</v>
      </c>
      <c r="J955" s="37">
        <f>2020-Table_8[[#This Row],[Year]]</f>
        <v>7</v>
      </c>
      <c r="K955">
        <v>188925995936.80701</v>
      </c>
      <c r="L955">
        <v>17658.947301119199</v>
      </c>
      <c r="M955">
        <v>-1.2479835558140799</v>
      </c>
      <c r="N955">
        <v>-9.0040436420214593</v>
      </c>
      <c r="O955" s="39">
        <v>46.95</v>
      </c>
      <c r="P955" s="39">
        <v>1679</v>
      </c>
      <c r="Q955" s="39">
        <v>262</v>
      </c>
      <c r="R955" s="39">
        <v>28.67</v>
      </c>
    </row>
    <row r="956" spans="1:18" x14ac:dyDescent="0.25">
      <c r="A956" s="1" t="s">
        <v>427</v>
      </c>
      <c r="B956" s="2" t="s">
        <v>440</v>
      </c>
      <c r="C956" s="19">
        <v>52</v>
      </c>
      <c r="D956" s="3" t="s">
        <v>497</v>
      </c>
      <c r="E956" s="3" t="s">
        <v>483</v>
      </c>
      <c r="F956" s="23">
        <v>836660</v>
      </c>
      <c r="G956" s="35">
        <v>2015</v>
      </c>
      <c r="H956">
        <f>Table_8[[#This Row],[Listing Price (USD)]]/10000</f>
        <v>83.665999999999997</v>
      </c>
      <c r="I956">
        <f>Table_8[[#This Row],[Length 
(ft)]]</f>
        <v>52</v>
      </c>
      <c r="J956" s="37">
        <f>2020-Table_8[[#This Row],[Year]]</f>
        <v>5</v>
      </c>
      <c r="K956">
        <v>4200000000</v>
      </c>
      <c r="L956">
        <v>39553.199999999997</v>
      </c>
      <c r="M956">
        <v>2.5</v>
      </c>
      <c r="N956">
        <v>-2.1</v>
      </c>
      <c r="O956" s="39">
        <v>46.95</v>
      </c>
      <c r="P956" s="39">
        <v>1679</v>
      </c>
      <c r="Q956" s="39">
        <v>262</v>
      </c>
      <c r="R956" s="39">
        <v>28.67</v>
      </c>
    </row>
    <row r="957" spans="1:18" x14ac:dyDescent="0.25">
      <c r="A957" s="1" t="s">
        <v>427</v>
      </c>
      <c r="B957" s="2" t="s">
        <v>440</v>
      </c>
      <c r="C957" s="19">
        <v>52</v>
      </c>
      <c r="D957" s="3" t="s">
        <v>496</v>
      </c>
      <c r="E957" s="4" t="s">
        <v>31</v>
      </c>
      <c r="F957" s="23">
        <v>911022</v>
      </c>
      <c r="G957" s="35">
        <v>2015</v>
      </c>
      <c r="H957">
        <f>Table_8[[#This Row],[Listing Price (USD)]]/10000</f>
        <v>91.102199999999996</v>
      </c>
      <c r="I957">
        <f>Table_8[[#This Row],[Length 
(ft)]]</f>
        <v>52</v>
      </c>
      <c r="J957" s="37">
        <f>2020-Table_8[[#This Row],[Year]]</f>
        <v>5</v>
      </c>
      <c r="K957">
        <v>57472012426.685303</v>
      </c>
      <c r="L957">
        <v>14198.753959474399</v>
      </c>
      <c r="M957">
        <v>0.15481137456202801</v>
      </c>
      <c r="N957">
        <v>-8.5803430210621805</v>
      </c>
      <c r="O957" s="39">
        <v>46.95</v>
      </c>
      <c r="P957" s="39">
        <v>1679</v>
      </c>
      <c r="Q957" s="39">
        <v>262</v>
      </c>
      <c r="R957" s="39">
        <v>28.67</v>
      </c>
    </row>
    <row r="958" spans="1:18" x14ac:dyDescent="0.25">
      <c r="A958" s="1" t="s">
        <v>441</v>
      </c>
      <c r="B958" s="2" t="s">
        <v>440</v>
      </c>
      <c r="C958" s="19">
        <v>52</v>
      </c>
      <c r="D958" s="3" t="s">
        <v>496</v>
      </c>
      <c r="E958" s="4" t="s">
        <v>31</v>
      </c>
      <c r="F958" s="23">
        <v>911945</v>
      </c>
      <c r="G958" s="35">
        <v>2015</v>
      </c>
      <c r="H958">
        <f>Table_8[[#This Row],[Listing Price (USD)]]/10000</f>
        <v>91.194500000000005</v>
      </c>
      <c r="I958">
        <f>Table_8[[#This Row],[Length 
(ft)]]</f>
        <v>52</v>
      </c>
      <c r="J958" s="37">
        <f>2020-Table_8[[#This Row],[Year]]</f>
        <v>5</v>
      </c>
      <c r="K958">
        <v>57472012426.685303</v>
      </c>
      <c r="L958">
        <v>14198.753959474399</v>
      </c>
      <c r="M958">
        <v>0.15481137456202801</v>
      </c>
      <c r="N958">
        <v>-8.5803430210621805</v>
      </c>
      <c r="O958" s="39">
        <v>46.95</v>
      </c>
      <c r="P958" s="39">
        <v>1679</v>
      </c>
      <c r="Q958" s="39">
        <v>262</v>
      </c>
      <c r="R958" s="39">
        <v>28.67</v>
      </c>
    </row>
    <row r="959" spans="1:18" x14ac:dyDescent="0.25">
      <c r="A959" s="1" t="s">
        <v>427</v>
      </c>
      <c r="B959" s="2" t="s">
        <v>440</v>
      </c>
      <c r="C959" s="19">
        <v>52</v>
      </c>
      <c r="D959" s="3" t="s">
        <v>496</v>
      </c>
      <c r="E959" s="4" t="s">
        <v>18</v>
      </c>
      <c r="F959" s="23">
        <v>946725</v>
      </c>
      <c r="G959" s="35">
        <v>2013</v>
      </c>
      <c r="H959">
        <f>Table_8[[#This Row],[Listing Price (USD)]]/10000</f>
        <v>94.672499999999999</v>
      </c>
      <c r="I959">
        <f>Table_8[[#This Row],[Length 
(ft)]]</f>
        <v>52</v>
      </c>
      <c r="J959" s="37">
        <f>2020-Table_8[[#This Row],[Year]]</f>
        <v>7</v>
      </c>
      <c r="K959">
        <v>188925995936.80701</v>
      </c>
      <c r="L959">
        <v>17658.947301119199</v>
      </c>
      <c r="M959">
        <v>-1.2479835558140799</v>
      </c>
      <c r="N959">
        <v>-9.0040436420214593</v>
      </c>
      <c r="O959" s="39">
        <v>46.95</v>
      </c>
      <c r="P959" s="39">
        <v>1679</v>
      </c>
      <c r="Q959" s="39">
        <v>262</v>
      </c>
      <c r="R959" s="39">
        <v>28.67</v>
      </c>
    </row>
    <row r="960" spans="1:18" x14ac:dyDescent="0.25">
      <c r="A960" s="1" t="s">
        <v>427</v>
      </c>
      <c r="B960" s="2" t="s">
        <v>440</v>
      </c>
      <c r="C960" s="19">
        <v>52</v>
      </c>
      <c r="D960" s="3" t="s">
        <v>496</v>
      </c>
      <c r="E960" s="4" t="s">
        <v>18</v>
      </c>
      <c r="F960" s="23">
        <v>947207</v>
      </c>
      <c r="G960" s="35">
        <v>2013</v>
      </c>
      <c r="H960">
        <f>Table_8[[#This Row],[Listing Price (USD)]]/10000</f>
        <v>94.720699999999994</v>
      </c>
      <c r="I960">
        <f>Table_8[[#This Row],[Length 
(ft)]]</f>
        <v>52</v>
      </c>
      <c r="J960" s="37">
        <f>2020-Table_8[[#This Row],[Year]]</f>
        <v>7</v>
      </c>
      <c r="K960">
        <v>188925995936.80701</v>
      </c>
      <c r="L960">
        <v>17658.947301119199</v>
      </c>
      <c r="M960">
        <v>-1.2479835558140799</v>
      </c>
      <c r="N960">
        <v>-9.0040436420214593</v>
      </c>
      <c r="O960" s="39">
        <v>46.95</v>
      </c>
      <c r="P960" s="39">
        <v>1679</v>
      </c>
      <c r="Q960" s="39">
        <v>262</v>
      </c>
      <c r="R960" s="39">
        <v>28.67</v>
      </c>
    </row>
    <row r="961" spans="1:18" x14ac:dyDescent="0.25">
      <c r="A961" s="1" t="s">
        <v>427</v>
      </c>
      <c r="B961" s="2" t="s">
        <v>440</v>
      </c>
      <c r="C961" s="19">
        <v>52</v>
      </c>
      <c r="D961" s="3" t="s">
        <v>496</v>
      </c>
      <c r="E961" s="4" t="s">
        <v>18</v>
      </c>
      <c r="F961" s="23">
        <v>1032492</v>
      </c>
      <c r="G961" s="35">
        <v>2015</v>
      </c>
      <c r="H961">
        <f>Table_8[[#This Row],[Listing Price (USD)]]/10000</f>
        <v>103.2492</v>
      </c>
      <c r="I961">
        <f>Table_8[[#This Row],[Length 
(ft)]]</f>
        <v>52</v>
      </c>
      <c r="J961" s="37">
        <f>2020-Table_8[[#This Row],[Year]]</f>
        <v>5</v>
      </c>
      <c r="K961">
        <v>188925995936.80701</v>
      </c>
      <c r="L961">
        <v>17658.947301119199</v>
      </c>
      <c r="M961">
        <v>-1.2479835558140799</v>
      </c>
      <c r="N961">
        <v>-9.0040436420214593</v>
      </c>
      <c r="O961" s="39">
        <v>46.95</v>
      </c>
      <c r="P961" s="39">
        <v>1679</v>
      </c>
      <c r="Q961" s="39">
        <v>262</v>
      </c>
      <c r="R961" s="39">
        <v>28.67</v>
      </c>
    </row>
    <row r="962" spans="1:18" x14ac:dyDescent="0.25">
      <c r="A962" s="1" t="s">
        <v>441</v>
      </c>
      <c r="B962" s="2" t="s">
        <v>440</v>
      </c>
      <c r="C962" s="19">
        <v>52</v>
      </c>
      <c r="D962" s="3" t="s">
        <v>496</v>
      </c>
      <c r="E962" s="4" t="s">
        <v>18</v>
      </c>
      <c r="F962" s="23">
        <v>1033538</v>
      </c>
      <c r="G962" s="35">
        <v>2014</v>
      </c>
      <c r="H962">
        <f>Table_8[[#This Row],[Listing Price (USD)]]/10000</f>
        <v>103.35380000000001</v>
      </c>
      <c r="I962">
        <f>Table_8[[#This Row],[Length 
(ft)]]</f>
        <v>52</v>
      </c>
      <c r="J962" s="37">
        <f>2020-Table_8[[#This Row],[Year]]</f>
        <v>6</v>
      </c>
      <c r="K962">
        <v>188925995936.80701</v>
      </c>
      <c r="L962">
        <v>17658.947301119199</v>
      </c>
      <c r="M962">
        <v>-1.2479835558140799</v>
      </c>
      <c r="N962">
        <v>-9.0040436420214593</v>
      </c>
      <c r="O962" s="39">
        <v>46.95</v>
      </c>
      <c r="P962" s="39">
        <v>1679</v>
      </c>
      <c r="Q962" s="39">
        <v>262</v>
      </c>
      <c r="R962" s="39">
        <v>28.67</v>
      </c>
    </row>
    <row r="963" spans="1:18" x14ac:dyDescent="0.25">
      <c r="A963" s="1" t="s">
        <v>441</v>
      </c>
      <c r="B963" s="2" t="s">
        <v>440</v>
      </c>
      <c r="C963" s="19">
        <v>52</v>
      </c>
      <c r="D963" s="3" t="s">
        <v>496</v>
      </c>
      <c r="E963" s="4" t="s">
        <v>18</v>
      </c>
      <c r="F963" s="23">
        <v>1033538</v>
      </c>
      <c r="G963" s="35">
        <v>2015</v>
      </c>
      <c r="H963">
        <f>Table_8[[#This Row],[Listing Price (USD)]]/10000</f>
        <v>103.35380000000001</v>
      </c>
      <c r="I963">
        <f>Table_8[[#This Row],[Length 
(ft)]]</f>
        <v>52</v>
      </c>
      <c r="J963" s="37">
        <f>2020-Table_8[[#This Row],[Year]]</f>
        <v>5</v>
      </c>
      <c r="K963">
        <v>188925995936.80701</v>
      </c>
      <c r="L963">
        <v>17658.947301119199</v>
      </c>
      <c r="M963">
        <v>-1.2479835558140799</v>
      </c>
      <c r="N963">
        <v>-9.0040436420214593</v>
      </c>
      <c r="O963" s="39">
        <v>46.95</v>
      </c>
      <c r="P963" s="39">
        <v>1679</v>
      </c>
      <c r="Q963" s="39">
        <v>262</v>
      </c>
      <c r="R963" s="39">
        <v>28.67</v>
      </c>
    </row>
    <row r="964" spans="1:18" x14ac:dyDescent="0.25">
      <c r="A964" s="1" t="s">
        <v>427</v>
      </c>
      <c r="B964" s="2" t="s">
        <v>440</v>
      </c>
      <c r="C964" s="19">
        <v>52</v>
      </c>
      <c r="D964" s="3" t="s">
        <v>497</v>
      </c>
      <c r="E964" s="3" t="s">
        <v>525</v>
      </c>
      <c r="F964" s="23">
        <v>1100000</v>
      </c>
      <c r="G964" s="35">
        <v>2017</v>
      </c>
      <c r="H964">
        <f>Table_8[[#This Row],[Listing Price (USD)]]/10000</f>
        <v>110</v>
      </c>
      <c r="I964">
        <f>Table_8[[#This Row],[Length 
(ft)]]</f>
        <v>52</v>
      </c>
      <c r="J964" s="37">
        <f>2020-Table_8[[#This Row],[Year]]</f>
        <v>3</v>
      </c>
      <c r="K964">
        <v>4200000000</v>
      </c>
      <c r="L964">
        <v>39553.199999999997</v>
      </c>
      <c r="M964">
        <v>4.0999999999999996</v>
      </c>
      <c r="N964">
        <v>-2.1</v>
      </c>
      <c r="O964" s="39">
        <v>46.95</v>
      </c>
      <c r="P964" s="39">
        <v>1679</v>
      </c>
      <c r="Q964" s="39">
        <v>262</v>
      </c>
      <c r="R964" s="39">
        <v>28.67</v>
      </c>
    </row>
    <row r="965" spans="1:18" x14ac:dyDescent="0.25">
      <c r="A965" s="1" t="s">
        <v>441</v>
      </c>
      <c r="B965" s="2" t="s">
        <v>440</v>
      </c>
      <c r="C965" s="19">
        <v>52</v>
      </c>
      <c r="D965" s="3" t="s">
        <v>496</v>
      </c>
      <c r="E965" s="4" t="s">
        <v>18</v>
      </c>
      <c r="F965" s="23">
        <v>1100414</v>
      </c>
      <c r="G965" s="35">
        <v>2015</v>
      </c>
      <c r="H965">
        <f>Table_8[[#This Row],[Listing Price (USD)]]/10000</f>
        <v>110.0414</v>
      </c>
      <c r="I965">
        <f>Table_8[[#This Row],[Length 
(ft)]]</f>
        <v>52</v>
      </c>
      <c r="J965" s="37">
        <f>2020-Table_8[[#This Row],[Year]]</f>
        <v>5</v>
      </c>
      <c r="K965">
        <v>188925995936.80701</v>
      </c>
      <c r="L965">
        <v>17658.947301119199</v>
      </c>
      <c r="M965">
        <v>-1.2479835558140799</v>
      </c>
      <c r="N965">
        <v>-9.0040436420214593</v>
      </c>
      <c r="O965" s="39">
        <v>46.95</v>
      </c>
      <c r="P965" s="39">
        <v>1679</v>
      </c>
      <c r="Q965" s="39">
        <v>262</v>
      </c>
      <c r="R965" s="39">
        <v>28.67</v>
      </c>
    </row>
    <row r="966" spans="1:18" x14ac:dyDescent="0.25">
      <c r="A966" s="1" t="s">
        <v>427</v>
      </c>
      <c r="B966" s="2" t="s">
        <v>440</v>
      </c>
      <c r="C966" s="19">
        <v>52</v>
      </c>
      <c r="D966" s="3" t="s">
        <v>497</v>
      </c>
      <c r="E966" s="3" t="s">
        <v>525</v>
      </c>
      <c r="F966" s="23">
        <v>1260030</v>
      </c>
      <c r="G966" s="35">
        <v>2018</v>
      </c>
      <c r="H966">
        <f>Table_8[[#This Row],[Listing Price (USD)]]/10000</f>
        <v>126.003</v>
      </c>
      <c r="I966">
        <f>Table_8[[#This Row],[Length 
(ft)]]</f>
        <v>52</v>
      </c>
      <c r="J966" s="37">
        <f>2020-Table_8[[#This Row],[Year]]</f>
        <v>2</v>
      </c>
      <c r="K966">
        <v>4200000000</v>
      </c>
      <c r="L966">
        <v>39553.199999999997</v>
      </c>
      <c r="M966">
        <v>4.0999999999999996</v>
      </c>
      <c r="N966">
        <v>-2.1</v>
      </c>
      <c r="O966" s="39">
        <v>46.95</v>
      </c>
      <c r="P966" s="39">
        <v>1679</v>
      </c>
      <c r="Q966" s="39">
        <v>262</v>
      </c>
      <c r="R966" s="39">
        <v>28.67</v>
      </c>
    </row>
    <row r="967" spans="1:18" x14ac:dyDescent="0.25">
      <c r="A967" s="1" t="s">
        <v>411</v>
      </c>
      <c r="B967" s="2" t="s">
        <v>416</v>
      </c>
      <c r="C967" s="19">
        <v>41</v>
      </c>
      <c r="D967" s="3" t="s">
        <v>495</v>
      </c>
      <c r="E967" s="3" t="s">
        <v>333</v>
      </c>
      <c r="F967" s="23">
        <v>499000</v>
      </c>
      <c r="G967" s="35">
        <v>2019</v>
      </c>
      <c r="H967">
        <f>Table_8[[#This Row],[Listing Price (USD)]]/10000</f>
        <v>49.9</v>
      </c>
      <c r="I967">
        <f>Table_8[[#This Row],[Length 
(ft)]]</f>
        <v>41</v>
      </c>
      <c r="J967" s="37">
        <f>2020-Table_8[[#This Row],[Year]]</f>
        <v>1</v>
      </c>
      <c r="K967">
        <v>1106036000000</v>
      </c>
      <c r="L967">
        <v>51276.72</v>
      </c>
      <c r="M967">
        <v>1.23</v>
      </c>
      <c r="N967">
        <v>2.9</v>
      </c>
      <c r="O967" s="39">
        <v>38.979999999999997</v>
      </c>
      <c r="P967" s="39">
        <v>699.00199999999995</v>
      </c>
      <c r="Q967" s="39">
        <v>124</v>
      </c>
      <c r="R967" s="39">
        <v>23.62</v>
      </c>
    </row>
    <row r="968" spans="1:18" x14ac:dyDescent="0.25">
      <c r="A968" s="1" t="s">
        <v>411</v>
      </c>
      <c r="B968" s="2" t="s">
        <v>416</v>
      </c>
      <c r="C968" s="19">
        <v>41</v>
      </c>
      <c r="D968" s="3" t="s">
        <v>495</v>
      </c>
      <c r="E968" s="3" t="s">
        <v>523</v>
      </c>
      <c r="F968" s="23">
        <v>671824</v>
      </c>
      <c r="G968" s="35">
        <v>2019</v>
      </c>
      <c r="H968">
        <f>Table_8[[#This Row],[Listing Price (USD)]]/10000</f>
        <v>67.182400000000001</v>
      </c>
      <c r="I968">
        <f>Table_8[[#This Row],[Length 
(ft)]]</f>
        <v>41</v>
      </c>
      <c r="J968" s="37">
        <f>2020-Table_8[[#This Row],[Year]]</f>
        <v>1</v>
      </c>
      <c r="K968">
        <v>1775588000000</v>
      </c>
      <c r="L968">
        <v>60771.06</v>
      </c>
      <c r="M968">
        <v>1.23</v>
      </c>
      <c r="N968">
        <v>5.0999999999999996</v>
      </c>
      <c r="O968" s="39">
        <v>38.979999999999997</v>
      </c>
      <c r="P968" s="39">
        <v>699.00199999999995</v>
      </c>
      <c r="Q968" s="39">
        <v>124</v>
      </c>
      <c r="R968" s="39">
        <v>23.62</v>
      </c>
    </row>
    <row r="969" spans="1:18" x14ac:dyDescent="0.25">
      <c r="A969" s="1" t="s">
        <v>411</v>
      </c>
      <c r="B969" s="2" t="s">
        <v>416</v>
      </c>
      <c r="C969" s="19">
        <v>41</v>
      </c>
      <c r="D969" s="3" t="s">
        <v>496</v>
      </c>
      <c r="E969" s="4" t="s">
        <v>9</v>
      </c>
      <c r="F969" s="23">
        <v>697906</v>
      </c>
      <c r="G969" s="35">
        <v>2019</v>
      </c>
      <c r="H969">
        <f>Table_8[[#This Row],[Listing Price (USD)]]/10000</f>
        <v>69.790599999999998</v>
      </c>
      <c r="I969">
        <f>Table_8[[#This Row],[Length 
(ft)]]</f>
        <v>41</v>
      </c>
      <c r="J969" s="37">
        <f>2020-Table_8[[#This Row],[Year]]</f>
        <v>1</v>
      </c>
      <c r="K969">
        <v>1276962685648.25</v>
      </c>
      <c r="L969">
        <v>26959.675436732599</v>
      </c>
      <c r="M969">
        <v>-0.32275301729970501</v>
      </c>
      <c r="N969">
        <v>-11.3254383222864</v>
      </c>
      <c r="O969" s="39">
        <v>38.979999999999997</v>
      </c>
      <c r="P969" s="39">
        <v>699.00199999999995</v>
      </c>
      <c r="Q969" s="39">
        <v>124</v>
      </c>
      <c r="R969" s="39">
        <v>23.62</v>
      </c>
    </row>
    <row r="970" spans="1:18" x14ac:dyDescent="0.25">
      <c r="A970" s="1" t="s">
        <v>411</v>
      </c>
      <c r="B970" s="2" t="s">
        <v>412</v>
      </c>
      <c r="C970" s="19">
        <v>38</v>
      </c>
      <c r="D970" s="3" t="s">
        <v>496</v>
      </c>
      <c r="E970" s="4" t="s">
        <v>31</v>
      </c>
      <c r="F970" s="23">
        <v>133138</v>
      </c>
      <c r="G970" s="35">
        <v>2006</v>
      </c>
      <c r="H970">
        <f>Table_8[[#This Row],[Listing Price (USD)]]/10000</f>
        <v>13.313800000000001</v>
      </c>
      <c r="I970">
        <f>Table_8[[#This Row],[Length 
(ft)]]</f>
        <v>38</v>
      </c>
      <c r="J970" s="37">
        <f>2020-Table_8[[#This Row],[Year]]</f>
        <v>14</v>
      </c>
      <c r="K970">
        <v>57472012426.685303</v>
      </c>
      <c r="L970">
        <v>14198.753959474399</v>
      </c>
      <c r="M970">
        <v>0.15481137456202801</v>
      </c>
      <c r="N970">
        <v>-8.5803430210621805</v>
      </c>
      <c r="O970" s="39">
        <v>38</v>
      </c>
      <c r="P970" s="39">
        <v>914.00199999999995</v>
      </c>
      <c r="Q970" s="39">
        <v>40</v>
      </c>
      <c r="R970" s="39">
        <v>20.67</v>
      </c>
    </row>
    <row r="971" spans="1:18" x14ac:dyDescent="0.25">
      <c r="A971" s="1" t="s">
        <v>411</v>
      </c>
      <c r="B971" s="2" t="s">
        <v>412</v>
      </c>
      <c r="C971" s="19">
        <v>38</v>
      </c>
      <c r="D971" s="3" t="s">
        <v>496</v>
      </c>
      <c r="E971" s="4" t="s">
        <v>31</v>
      </c>
      <c r="F971" s="23">
        <v>140188</v>
      </c>
      <c r="G971" s="35">
        <v>2006</v>
      </c>
      <c r="H971">
        <f>Table_8[[#This Row],[Listing Price (USD)]]/10000</f>
        <v>14.018800000000001</v>
      </c>
      <c r="I971">
        <f>Table_8[[#This Row],[Length 
(ft)]]</f>
        <v>38</v>
      </c>
      <c r="J971" s="37">
        <f>2020-Table_8[[#This Row],[Year]]</f>
        <v>14</v>
      </c>
      <c r="K971">
        <v>57472012426.685303</v>
      </c>
      <c r="L971">
        <v>14198.753959474399</v>
      </c>
      <c r="M971">
        <v>0.15481137456202801</v>
      </c>
      <c r="N971">
        <v>-8.5803430210621805</v>
      </c>
      <c r="O971" s="39">
        <v>38</v>
      </c>
      <c r="P971" s="39">
        <v>914.00199999999995</v>
      </c>
      <c r="Q971" s="39">
        <v>40</v>
      </c>
      <c r="R971" s="39">
        <v>20.67</v>
      </c>
    </row>
    <row r="972" spans="1:18" x14ac:dyDescent="0.25">
      <c r="A972" s="1" t="s">
        <v>411</v>
      </c>
      <c r="B972" s="2" t="s">
        <v>412</v>
      </c>
      <c r="C972" s="19">
        <v>38</v>
      </c>
      <c r="D972" s="3" t="s">
        <v>496</v>
      </c>
      <c r="E972" s="4" t="s">
        <v>31</v>
      </c>
      <c r="F972" s="23">
        <v>146719</v>
      </c>
      <c r="G972" s="35">
        <v>2006</v>
      </c>
      <c r="H972">
        <f>Table_8[[#This Row],[Listing Price (USD)]]/10000</f>
        <v>14.671900000000001</v>
      </c>
      <c r="I972">
        <f>Table_8[[#This Row],[Length 
(ft)]]</f>
        <v>38</v>
      </c>
      <c r="J972" s="37">
        <f>2020-Table_8[[#This Row],[Year]]</f>
        <v>14</v>
      </c>
      <c r="K972">
        <v>57472012426.685303</v>
      </c>
      <c r="L972">
        <v>14198.753959474399</v>
      </c>
      <c r="M972">
        <v>0.15481137456202801</v>
      </c>
      <c r="N972">
        <v>-8.5803430210621805</v>
      </c>
      <c r="O972" s="39">
        <v>38</v>
      </c>
      <c r="P972" s="39">
        <v>914.00199999999995</v>
      </c>
      <c r="Q972" s="39">
        <v>40</v>
      </c>
      <c r="R972" s="39">
        <v>20.67</v>
      </c>
    </row>
    <row r="973" spans="1:18" x14ac:dyDescent="0.25">
      <c r="A973" s="1" t="s">
        <v>411</v>
      </c>
      <c r="B973" s="2" t="s">
        <v>412</v>
      </c>
      <c r="C973" s="19">
        <v>38</v>
      </c>
      <c r="D973" s="3" t="s">
        <v>496</v>
      </c>
      <c r="E973" s="4" t="s">
        <v>31</v>
      </c>
      <c r="F973" s="23">
        <v>146864</v>
      </c>
      <c r="G973" s="35">
        <v>2006</v>
      </c>
      <c r="H973">
        <f>Table_8[[#This Row],[Listing Price (USD)]]/10000</f>
        <v>14.686400000000001</v>
      </c>
      <c r="I973">
        <f>Table_8[[#This Row],[Length 
(ft)]]</f>
        <v>38</v>
      </c>
      <c r="J973" s="37">
        <f>2020-Table_8[[#This Row],[Year]]</f>
        <v>14</v>
      </c>
      <c r="K973">
        <v>57472012426.685303</v>
      </c>
      <c r="L973">
        <v>14198.753959474399</v>
      </c>
      <c r="M973">
        <v>0.15481137456202801</v>
      </c>
      <c r="N973">
        <v>-8.5803430210621805</v>
      </c>
      <c r="O973" s="39">
        <v>38</v>
      </c>
      <c r="P973" s="39">
        <v>914.00199999999995</v>
      </c>
      <c r="Q973" s="39">
        <v>40</v>
      </c>
      <c r="R973" s="39">
        <v>20.67</v>
      </c>
    </row>
    <row r="974" spans="1:18" x14ac:dyDescent="0.25">
      <c r="A974" s="1" t="s">
        <v>411</v>
      </c>
      <c r="B974" s="2" t="s">
        <v>412</v>
      </c>
      <c r="C974" s="19">
        <v>38</v>
      </c>
      <c r="D974" s="3" t="s">
        <v>496</v>
      </c>
      <c r="E974" s="4" t="s">
        <v>31</v>
      </c>
      <c r="F974" s="23">
        <v>163694</v>
      </c>
      <c r="G974" s="35">
        <v>2006</v>
      </c>
      <c r="H974">
        <f>Table_8[[#This Row],[Listing Price (USD)]]/10000</f>
        <v>16.369399999999999</v>
      </c>
      <c r="I974">
        <f>Table_8[[#This Row],[Length 
(ft)]]</f>
        <v>38</v>
      </c>
      <c r="J974" s="37">
        <f>2020-Table_8[[#This Row],[Year]]</f>
        <v>14</v>
      </c>
      <c r="K974">
        <v>57472012426.685303</v>
      </c>
      <c r="L974">
        <v>14198.753959474399</v>
      </c>
      <c r="M974">
        <v>0.15481137456202801</v>
      </c>
      <c r="N974">
        <v>-8.5803430210621805</v>
      </c>
      <c r="O974" s="39">
        <v>38</v>
      </c>
      <c r="P974" s="39">
        <v>914.00199999999995</v>
      </c>
      <c r="Q974" s="39">
        <v>40</v>
      </c>
      <c r="R974" s="39">
        <v>20.67</v>
      </c>
    </row>
    <row r="975" spans="1:18" x14ac:dyDescent="0.25">
      <c r="A975" s="1" t="s">
        <v>456</v>
      </c>
      <c r="B975" s="2" t="s">
        <v>458</v>
      </c>
      <c r="C975" s="19">
        <v>48.7</v>
      </c>
      <c r="D975" s="3" t="s">
        <v>495</v>
      </c>
      <c r="E975" s="3" t="s">
        <v>526</v>
      </c>
      <c r="F975" s="23">
        <v>565000</v>
      </c>
      <c r="G975" s="35">
        <v>2010</v>
      </c>
      <c r="H975">
        <f>Table_8[[#This Row],[Listing Price (USD)]]/10000</f>
        <v>56.5</v>
      </c>
      <c r="I975">
        <f>Table_8[[#This Row],[Length 
(ft)]]</f>
        <v>48.7</v>
      </c>
      <c r="J975" s="37">
        <f>2020-Table_8[[#This Row],[Year]]</f>
        <v>10</v>
      </c>
      <c r="K975">
        <v>4200000000</v>
      </c>
      <c r="L975">
        <v>39553.199999999997</v>
      </c>
      <c r="M975">
        <v>4.0999999999999996</v>
      </c>
      <c r="N975">
        <v>-2.1</v>
      </c>
      <c r="O975" s="39">
        <v>46.95</v>
      </c>
      <c r="P975" s="39">
        <v>1550</v>
      </c>
      <c r="Q975" s="39">
        <v>275</v>
      </c>
      <c r="R975" s="39">
        <v>26.57</v>
      </c>
    </row>
    <row r="976" spans="1:18" x14ac:dyDescent="0.25">
      <c r="A976" s="1" t="s">
        <v>456</v>
      </c>
      <c r="B976" s="2" t="s">
        <v>459</v>
      </c>
      <c r="C976" s="19">
        <v>48.7</v>
      </c>
      <c r="D976" s="3" t="s">
        <v>495</v>
      </c>
      <c r="E976" s="3" t="s">
        <v>333</v>
      </c>
      <c r="F976" s="23">
        <v>990000</v>
      </c>
      <c r="G976" s="35">
        <v>2018</v>
      </c>
      <c r="H976">
        <f>Table_8[[#This Row],[Listing Price (USD)]]/10000</f>
        <v>99</v>
      </c>
      <c r="I976">
        <f>Table_8[[#This Row],[Length 
(ft)]]</f>
        <v>48.7</v>
      </c>
      <c r="J976" s="37">
        <f>2020-Table_8[[#This Row],[Year]]</f>
        <v>2</v>
      </c>
      <c r="K976">
        <v>1106036000000</v>
      </c>
      <c r="L976">
        <v>51276.72</v>
      </c>
      <c r="M976">
        <v>1.23</v>
      </c>
      <c r="N976">
        <v>2.9</v>
      </c>
      <c r="O976" s="39">
        <v>46.95</v>
      </c>
      <c r="P976" s="39">
        <v>1550</v>
      </c>
      <c r="Q976" s="39">
        <v>275</v>
      </c>
      <c r="R976" s="39">
        <v>26.57</v>
      </c>
    </row>
    <row r="977" spans="1:18" x14ac:dyDescent="0.25">
      <c r="A977" s="1" t="s">
        <v>411</v>
      </c>
      <c r="B977" s="2" t="s">
        <v>422</v>
      </c>
      <c r="C977" s="19">
        <v>46</v>
      </c>
      <c r="D977" s="3" t="s">
        <v>495</v>
      </c>
      <c r="E977" s="3" t="s">
        <v>333</v>
      </c>
      <c r="F977" s="23">
        <v>229000</v>
      </c>
      <c r="G977" s="35">
        <v>2005</v>
      </c>
      <c r="H977">
        <f>Table_8[[#This Row],[Listing Price (USD)]]/10000</f>
        <v>22.9</v>
      </c>
      <c r="I977">
        <f>Table_8[[#This Row],[Length 
(ft)]]</f>
        <v>46</v>
      </c>
      <c r="J977" s="37">
        <f>2020-Table_8[[#This Row],[Year]]</f>
        <v>15</v>
      </c>
      <c r="K977">
        <v>1106036000000</v>
      </c>
      <c r="L977">
        <v>51276.72</v>
      </c>
      <c r="M977">
        <v>1.23</v>
      </c>
      <c r="N977">
        <v>2.9</v>
      </c>
      <c r="O977" s="39">
        <v>45.93</v>
      </c>
      <c r="P977" s="39">
        <v>1302.002</v>
      </c>
      <c r="Q977" s="39">
        <v>106</v>
      </c>
      <c r="R977" s="39">
        <v>24.28</v>
      </c>
    </row>
    <row r="978" spans="1:18" x14ac:dyDescent="0.25">
      <c r="A978" s="1" t="s">
        <v>411</v>
      </c>
      <c r="B978" s="2" t="s">
        <v>422</v>
      </c>
      <c r="C978" s="19">
        <v>46</v>
      </c>
      <c r="D978" s="3" t="s">
        <v>496</v>
      </c>
      <c r="E978" s="4" t="s">
        <v>24</v>
      </c>
      <c r="F978" s="23">
        <v>242510</v>
      </c>
      <c r="G978" s="35">
        <v>2006</v>
      </c>
      <c r="H978">
        <f>Table_8[[#This Row],[Listing Price (USD)]]/10000</f>
        <v>24.251000000000001</v>
      </c>
      <c r="I978">
        <f>Table_8[[#This Row],[Length 
(ft)]]</f>
        <v>46</v>
      </c>
      <c r="J978" s="37">
        <f>2020-Table_8[[#This Row],[Year]]</f>
        <v>14</v>
      </c>
      <c r="K978">
        <v>1896755301518.1399</v>
      </c>
      <c r="L978">
        <v>31911.0357890017</v>
      </c>
      <c r="M978">
        <v>-0.13770757391656999</v>
      </c>
      <c r="N978">
        <v>-9.0399534112288507</v>
      </c>
      <c r="O978" s="39">
        <v>45.93</v>
      </c>
      <c r="P978" s="39">
        <v>1302.002</v>
      </c>
      <c r="Q978" s="39">
        <v>106</v>
      </c>
      <c r="R978" s="39">
        <v>24.28</v>
      </c>
    </row>
    <row r="979" spans="1:18" x14ac:dyDescent="0.25">
      <c r="A979" s="1" t="s">
        <v>411</v>
      </c>
      <c r="B979" s="2" t="s">
        <v>422</v>
      </c>
      <c r="C979" s="19">
        <v>46</v>
      </c>
      <c r="D979" s="3" t="s">
        <v>497</v>
      </c>
      <c r="E979" s="3" t="s">
        <v>483</v>
      </c>
      <c r="F979" s="23">
        <v>254636</v>
      </c>
      <c r="G979" s="35">
        <v>2005</v>
      </c>
      <c r="H979">
        <f>Table_8[[#This Row],[Listing Price (USD)]]/10000</f>
        <v>25.4636</v>
      </c>
      <c r="I979">
        <f>Table_8[[#This Row],[Length 
(ft)]]</f>
        <v>46</v>
      </c>
      <c r="J979" s="37">
        <f>2020-Table_8[[#This Row],[Year]]</f>
        <v>15</v>
      </c>
      <c r="K979">
        <v>4200000000</v>
      </c>
      <c r="L979">
        <v>39553.199999999997</v>
      </c>
      <c r="M979">
        <v>2.5</v>
      </c>
      <c r="N979">
        <v>-2.1</v>
      </c>
      <c r="O979" s="39">
        <v>45.93</v>
      </c>
      <c r="P979" s="39">
        <v>1302.002</v>
      </c>
      <c r="Q979" s="39">
        <v>106</v>
      </c>
      <c r="R979" s="39">
        <v>24.28</v>
      </c>
    </row>
    <row r="980" spans="1:18" x14ac:dyDescent="0.25">
      <c r="A980" s="1" t="s">
        <v>478</v>
      </c>
      <c r="B980" s="3" t="s">
        <v>422</v>
      </c>
      <c r="C980" s="19">
        <v>46</v>
      </c>
      <c r="D980" s="3" t="s">
        <v>497</v>
      </c>
      <c r="E980" s="3" t="s">
        <v>483</v>
      </c>
      <c r="F980" s="23">
        <v>255179</v>
      </c>
      <c r="G980" s="35">
        <v>2005</v>
      </c>
      <c r="H980">
        <f>Table_8[[#This Row],[Listing Price (USD)]]/10000</f>
        <v>25.517900000000001</v>
      </c>
      <c r="I980">
        <f>Table_8[[#This Row],[Length 
(ft)]]</f>
        <v>46</v>
      </c>
      <c r="J980" s="37">
        <f>2020-Table_8[[#This Row],[Year]]</f>
        <v>15</v>
      </c>
      <c r="K980">
        <v>4200000000</v>
      </c>
      <c r="L980">
        <v>39553.199999999997</v>
      </c>
      <c r="M980">
        <v>2.5</v>
      </c>
      <c r="N980">
        <v>-2.1</v>
      </c>
      <c r="O980" s="39">
        <v>45.93</v>
      </c>
      <c r="P980" s="39">
        <v>1302.002</v>
      </c>
      <c r="Q980" s="39">
        <v>106</v>
      </c>
      <c r="R980" s="39">
        <v>24.28</v>
      </c>
    </row>
    <row r="981" spans="1:18" x14ac:dyDescent="0.25">
      <c r="A981" s="1" t="s">
        <v>411</v>
      </c>
      <c r="B981" s="2" t="s">
        <v>422</v>
      </c>
      <c r="C981" s="19">
        <v>46</v>
      </c>
      <c r="D981" s="3" t="s">
        <v>497</v>
      </c>
      <c r="E981" s="3" t="s">
        <v>483</v>
      </c>
      <c r="F981" s="23">
        <v>345577</v>
      </c>
      <c r="G981" s="35">
        <v>2006</v>
      </c>
      <c r="H981">
        <f>Table_8[[#This Row],[Listing Price (USD)]]/10000</f>
        <v>34.557699999999997</v>
      </c>
      <c r="I981">
        <f>Table_8[[#This Row],[Length 
(ft)]]</f>
        <v>46</v>
      </c>
      <c r="J981" s="37">
        <f>2020-Table_8[[#This Row],[Year]]</f>
        <v>14</v>
      </c>
      <c r="K981">
        <v>4200000000</v>
      </c>
      <c r="L981">
        <v>39553.199999999997</v>
      </c>
      <c r="M981">
        <v>2.5</v>
      </c>
      <c r="N981">
        <v>-2.1</v>
      </c>
      <c r="O981" s="39">
        <v>45.93</v>
      </c>
      <c r="P981" s="39">
        <v>1302.002</v>
      </c>
      <c r="Q981" s="39">
        <v>106</v>
      </c>
      <c r="R981" s="39">
        <v>24.28</v>
      </c>
    </row>
    <row r="982" spans="1:18" x14ac:dyDescent="0.25">
      <c r="A982" s="1" t="s">
        <v>478</v>
      </c>
      <c r="B982" s="3" t="s">
        <v>422</v>
      </c>
      <c r="C982" s="19">
        <v>46</v>
      </c>
      <c r="D982" s="3" t="s">
        <v>497</v>
      </c>
      <c r="E982" s="3" t="s">
        <v>483</v>
      </c>
      <c r="F982" s="23">
        <v>346315</v>
      </c>
      <c r="G982" s="35">
        <v>2006</v>
      </c>
      <c r="H982">
        <f>Table_8[[#This Row],[Listing Price (USD)]]/10000</f>
        <v>34.631500000000003</v>
      </c>
      <c r="I982">
        <f>Table_8[[#This Row],[Length 
(ft)]]</f>
        <v>46</v>
      </c>
      <c r="J982" s="37">
        <f>2020-Table_8[[#This Row],[Year]]</f>
        <v>14</v>
      </c>
      <c r="K982">
        <v>4200000000</v>
      </c>
      <c r="L982">
        <v>39553.199999999997</v>
      </c>
      <c r="M982">
        <v>2.5</v>
      </c>
      <c r="N982">
        <v>-2.1</v>
      </c>
      <c r="O982" s="39">
        <v>45.93</v>
      </c>
      <c r="P982" s="39">
        <v>1302.002</v>
      </c>
      <c r="Q982" s="39">
        <v>106</v>
      </c>
      <c r="R982" s="39">
        <v>24.28</v>
      </c>
    </row>
    <row r="983" spans="1:18" x14ac:dyDescent="0.25">
      <c r="A983" s="1" t="s">
        <v>411</v>
      </c>
      <c r="B983" s="2" t="s">
        <v>461</v>
      </c>
      <c r="C983" s="19">
        <v>42.65</v>
      </c>
      <c r="D983" s="3" t="s">
        <v>495</v>
      </c>
      <c r="E983" s="3" t="s">
        <v>333</v>
      </c>
      <c r="F983" s="23">
        <v>275000</v>
      </c>
      <c r="G983" s="35">
        <v>2006</v>
      </c>
      <c r="H983">
        <f>Table_8[[#This Row],[Listing Price (USD)]]/10000</f>
        <v>27.5</v>
      </c>
      <c r="I983">
        <f>Table_8[[#This Row],[Length 
(ft)]]</f>
        <v>42.65</v>
      </c>
      <c r="J983" s="37">
        <f>2020-Table_8[[#This Row],[Year]]</f>
        <v>14</v>
      </c>
      <c r="K983">
        <v>1106036000000</v>
      </c>
      <c r="L983">
        <v>51276.72</v>
      </c>
      <c r="M983">
        <v>1.23</v>
      </c>
      <c r="N983">
        <v>2.9</v>
      </c>
      <c r="O983" s="39">
        <v>39.369999999999997</v>
      </c>
      <c r="P983" s="39">
        <v>1194.002</v>
      </c>
      <c r="Q983" s="39">
        <v>79</v>
      </c>
      <c r="R983" s="39">
        <v>22.97</v>
      </c>
    </row>
    <row r="984" spans="1:18" x14ac:dyDescent="0.25">
      <c r="A984" s="1" t="s">
        <v>407</v>
      </c>
      <c r="B984" s="2" t="s">
        <v>406</v>
      </c>
      <c r="C984" s="19">
        <v>55</v>
      </c>
      <c r="D984" s="3" t="s">
        <v>496</v>
      </c>
      <c r="E984" s="4" t="s">
        <v>237</v>
      </c>
      <c r="F984" s="23">
        <v>845069</v>
      </c>
      <c r="G984" s="35">
        <v>2016</v>
      </c>
      <c r="H984">
        <f>Table_8[[#This Row],[Listing Price (USD)]]/10000</f>
        <v>84.506900000000002</v>
      </c>
      <c r="I984">
        <f>Table_8[[#This Row],[Length 
(ft)]]</f>
        <v>55</v>
      </c>
      <c r="J984" s="37">
        <f>2020-Table_8[[#This Row],[Year]]</f>
        <v>4</v>
      </c>
      <c r="K984">
        <v>229031860520.77701</v>
      </c>
      <c r="L984">
        <v>22242.406417972001</v>
      </c>
      <c r="M984">
        <v>-1.2438329957616699E-2</v>
      </c>
      <c r="N984">
        <v>-8.3005160422115107</v>
      </c>
      <c r="O984" s="39">
        <v>55</v>
      </c>
      <c r="P984" s="39">
        <v>2110</v>
      </c>
      <c r="Q984" s="39">
        <v>370</v>
      </c>
      <c r="R984" s="39">
        <v>30.33</v>
      </c>
    </row>
    <row r="985" spans="1:18" x14ac:dyDescent="0.25">
      <c r="A985" s="1" t="s">
        <v>405</v>
      </c>
      <c r="B985" s="2" t="s">
        <v>406</v>
      </c>
      <c r="C985" s="19">
        <v>55</v>
      </c>
      <c r="D985" s="3" t="s">
        <v>496</v>
      </c>
      <c r="E985" s="4" t="s">
        <v>9</v>
      </c>
      <c r="F985" s="23">
        <v>845069</v>
      </c>
      <c r="G985" s="35">
        <v>2016</v>
      </c>
      <c r="H985">
        <f>Table_8[[#This Row],[Listing Price (USD)]]/10000</f>
        <v>84.506900000000002</v>
      </c>
      <c r="I985">
        <f>Table_8[[#This Row],[Length 
(ft)]]</f>
        <v>55</v>
      </c>
      <c r="J985" s="37">
        <f>2020-Table_8[[#This Row],[Year]]</f>
        <v>4</v>
      </c>
      <c r="K985">
        <v>1276962685648.25</v>
      </c>
      <c r="L985">
        <v>26959.675436732599</v>
      </c>
      <c r="M985">
        <v>-0.32275301729970501</v>
      </c>
      <c r="N985">
        <v>-11.3254383222864</v>
      </c>
      <c r="O985" s="39">
        <v>55</v>
      </c>
      <c r="P985" s="39">
        <v>2110</v>
      </c>
      <c r="Q985" s="39">
        <v>370</v>
      </c>
      <c r="R985" s="39">
        <v>30.33</v>
      </c>
    </row>
    <row r="986" spans="1:18" x14ac:dyDescent="0.25">
      <c r="A986" s="1" t="s">
        <v>405</v>
      </c>
      <c r="B986" s="2" t="s">
        <v>406</v>
      </c>
      <c r="C986" s="19">
        <v>55</v>
      </c>
      <c r="D986" s="3" t="s">
        <v>496</v>
      </c>
      <c r="E986" s="4" t="s">
        <v>9</v>
      </c>
      <c r="F986" s="23">
        <v>845069</v>
      </c>
      <c r="G986" s="35">
        <v>2016</v>
      </c>
      <c r="H986">
        <f>Table_8[[#This Row],[Listing Price (USD)]]/10000</f>
        <v>84.506900000000002</v>
      </c>
      <c r="I986">
        <f>Table_8[[#This Row],[Length 
(ft)]]</f>
        <v>55</v>
      </c>
      <c r="J986" s="37">
        <f>2020-Table_8[[#This Row],[Year]]</f>
        <v>4</v>
      </c>
      <c r="K986">
        <v>1276962685648.25</v>
      </c>
      <c r="L986">
        <v>26959.675436732599</v>
      </c>
      <c r="M986">
        <v>-0.32275301729970501</v>
      </c>
      <c r="N986">
        <v>-11.3254383222864</v>
      </c>
      <c r="O986" s="39">
        <v>55</v>
      </c>
      <c r="P986" s="39">
        <v>2110</v>
      </c>
      <c r="Q986" s="39">
        <v>370</v>
      </c>
      <c r="R986" s="39">
        <v>30.33</v>
      </c>
    </row>
    <row r="987" spans="1:18" x14ac:dyDescent="0.25">
      <c r="A987" s="1" t="s">
        <v>395</v>
      </c>
      <c r="B987" s="3" t="s">
        <v>396</v>
      </c>
      <c r="C987" s="19">
        <v>39</v>
      </c>
      <c r="D987" s="3" t="s">
        <v>496</v>
      </c>
      <c r="E987" s="3" t="s">
        <v>3</v>
      </c>
      <c r="F987" s="23">
        <v>218645</v>
      </c>
      <c r="G987" s="35">
        <v>2008</v>
      </c>
      <c r="H987">
        <f>Table_8[[#This Row],[Listing Price (USD)]]/10000</f>
        <v>21.8645</v>
      </c>
      <c r="I987">
        <f>Table_8[[#This Row],[Length 
(ft)]]</f>
        <v>39</v>
      </c>
      <c r="J987" s="37">
        <f>2020-Table_8[[#This Row],[Year]]</f>
        <v>12</v>
      </c>
      <c r="K987">
        <v>2639008701648.2598</v>
      </c>
      <c r="L987">
        <v>39055.282928075401</v>
      </c>
      <c r="M987">
        <v>0.47649885272508302</v>
      </c>
      <c r="N987">
        <v>-7.7845864916787102</v>
      </c>
      <c r="O987" s="39">
        <v>32.549999999999997</v>
      </c>
      <c r="P987" s="39">
        <v>861.11199999999997</v>
      </c>
      <c r="Q987" s="39">
        <v>40</v>
      </c>
      <c r="R987" s="39">
        <v>13.19</v>
      </c>
    </row>
    <row r="988" spans="1:18" x14ac:dyDescent="0.25">
      <c r="A988" s="1" t="s">
        <v>395</v>
      </c>
      <c r="B988" s="3" t="s">
        <v>396</v>
      </c>
      <c r="C988" s="19">
        <v>39</v>
      </c>
      <c r="D988" s="3" t="s">
        <v>496</v>
      </c>
      <c r="E988" s="3" t="s">
        <v>516</v>
      </c>
      <c r="F988" s="23">
        <v>229578</v>
      </c>
      <c r="G988" s="35">
        <v>2012</v>
      </c>
      <c r="H988">
        <f>Table_8[[#This Row],[Listing Price (USD)]]/10000</f>
        <v>22.957799999999999</v>
      </c>
      <c r="I988">
        <f>Table_8[[#This Row],[Length 
(ft)]]</f>
        <v>39</v>
      </c>
      <c r="J988" s="37">
        <f>2020-Table_8[[#This Row],[Year]]</f>
        <v>8</v>
      </c>
      <c r="K988">
        <v>909793466661.48096</v>
      </c>
      <c r="L988">
        <v>52162.570115040602</v>
      </c>
      <c r="M988">
        <v>1.2724603778917001</v>
      </c>
      <c r="N988">
        <v>-3.88608391819609</v>
      </c>
      <c r="O988" s="39">
        <v>32.549999999999997</v>
      </c>
      <c r="P988" s="39">
        <v>861.11199999999997</v>
      </c>
      <c r="Q988" s="39">
        <v>40</v>
      </c>
      <c r="R988" s="39">
        <v>13.19</v>
      </c>
    </row>
    <row r="989" spans="1:18" x14ac:dyDescent="0.25">
      <c r="A989" s="1" t="s">
        <v>411</v>
      </c>
      <c r="B989" s="2" t="s">
        <v>418</v>
      </c>
      <c r="C989" s="19">
        <v>43.6</v>
      </c>
      <c r="D989" s="3" t="s">
        <v>497</v>
      </c>
      <c r="E989" s="3" t="s">
        <v>483</v>
      </c>
      <c r="F989" s="23">
        <v>362911</v>
      </c>
      <c r="G989" s="35">
        <v>2013</v>
      </c>
      <c r="H989">
        <f>Table_8[[#This Row],[Listing Price (USD)]]/10000</f>
        <v>36.2911</v>
      </c>
      <c r="I989">
        <f>Table_8[[#This Row],[Length 
(ft)]]</f>
        <v>43.6</v>
      </c>
      <c r="J989" s="37">
        <f>2020-Table_8[[#This Row],[Year]]</f>
        <v>7</v>
      </c>
      <c r="K989">
        <v>4200000000</v>
      </c>
      <c r="L989">
        <v>39553.199999999997</v>
      </c>
      <c r="M989">
        <v>2.5</v>
      </c>
      <c r="N989">
        <v>-2.1</v>
      </c>
      <c r="O989" s="39">
        <v>0</v>
      </c>
      <c r="P989" s="39">
        <v>753.00199999999995</v>
      </c>
      <c r="Q989" s="39">
        <v>124</v>
      </c>
      <c r="R989" s="39">
        <v>24.28</v>
      </c>
    </row>
    <row r="990" spans="1:18" x14ac:dyDescent="0.25">
      <c r="A990" s="1" t="s">
        <v>411</v>
      </c>
      <c r="B990" s="2" t="s">
        <v>418</v>
      </c>
      <c r="C990" s="19">
        <v>43.6</v>
      </c>
      <c r="D990" s="3" t="s">
        <v>495</v>
      </c>
      <c r="E990" s="3" t="s">
        <v>333</v>
      </c>
      <c r="F990" s="23">
        <v>399000</v>
      </c>
      <c r="G990" s="35">
        <v>2016</v>
      </c>
      <c r="H990">
        <f>Table_8[[#This Row],[Listing Price (USD)]]/10000</f>
        <v>39.9</v>
      </c>
      <c r="I990">
        <f>Table_8[[#This Row],[Length 
(ft)]]</f>
        <v>43.6</v>
      </c>
      <c r="J990" s="37">
        <f>2020-Table_8[[#This Row],[Year]]</f>
        <v>4</v>
      </c>
      <c r="K990">
        <v>1106036000000</v>
      </c>
      <c r="L990">
        <v>51276.72</v>
      </c>
      <c r="M990">
        <v>1.23</v>
      </c>
      <c r="N990">
        <v>2.9</v>
      </c>
      <c r="O990" s="39">
        <v>0</v>
      </c>
      <c r="P990" s="39">
        <v>753.00199999999995</v>
      </c>
      <c r="Q990" s="39">
        <v>124</v>
      </c>
      <c r="R990" s="39">
        <v>24.28</v>
      </c>
    </row>
    <row r="991" spans="1:18" x14ac:dyDescent="0.25">
      <c r="A991" s="1" t="s">
        <v>411</v>
      </c>
      <c r="B991" s="2" t="s">
        <v>418</v>
      </c>
      <c r="C991" s="19">
        <v>43.6</v>
      </c>
      <c r="D991" s="3" t="s">
        <v>495</v>
      </c>
      <c r="E991" s="3" t="s">
        <v>333</v>
      </c>
      <c r="F991" s="23">
        <v>399000</v>
      </c>
      <c r="G991" s="35">
        <v>2016</v>
      </c>
      <c r="H991">
        <f>Table_8[[#This Row],[Listing Price (USD)]]/10000</f>
        <v>39.9</v>
      </c>
      <c r="I991">
        <f>Table_8[[#This Row],[Length 
(ft)]]</f>
        <v>43.6</v>
      </c>
      <c r="J991" s="37">
        <f>2020-Table_8[[#This Row],[Year]]</f>
        <v>4</v>
      </c>
      <c r="K991">
        <v>1106036000000</v>
      </c>
      <c r="L991">
        <v>51276.72</v>
      </c>
      <c r="M991">
        <v>1.23</v>
      </c>
      <c r="N991">
        <v>2.9</v>
      </c>
      <c r="O991" s="39">
        <v>0</v>
      </c>
      <c r="P991" s="39">
        <v>753.00199999999995</v>
      </c>
      <c r="Q991" s="39">
        <v>124</v>
      </c>
      <c r="R991" s="39">
        <v>24.28</v>
      </c>
    </row>
    <row r="992" spans="1:18" x14ac:dyDescent="0.25">
      <c r="A992" s="1" t="s">
        <v>411</v>
      </c>
      <c r="B992" s="2" t="s">
        <v>418</v>
      </c>
      <c r="C992" s="19">
        <v>43.6</v>
      </c>
      <c r="D992" s="3" t="s">
        <v>496</v>
      </c>
      <c r="E992" s="4" t="s">
        <v>18</v>
      </c>
      <c r="F992" s="23">
        <v>443019</v>
      </c>
      <c r="G992" s="35">
        <v>2013</v>
      </c>
      <c r="H992">
        <f>Table_8[[#This Row],[Listing Price (USD)]]/10000</f>
        <v>44.301900000000003</v>
      </c>
      <c r="I992">
        <f>Table_8[[#This Row],[Length 
(ft)]]</f>
        <v>43.6</v>
      </c>
      <c r="J992" s="37">
        <f>2020-Table_8[[#This Row],[Year]]</f>
        <v>7</v>
      </c>
      <c r="K992">
        <v>188925995936.80701</v>
      </c>
      <c r="L992">
        <v>17658.947301119199</v>
      </c>
      <c r="M992">
        <v>-1.2479835558140799</v>
      </c>
      <c r="N992">
        <v>-9.0040436420214593</v>
      </c>
      <c r="O992" s="39">
        <v>0</v>
      </c>
      <c r="P992" s="39">
        <v>753.00199999999995</v>
      </c>
      <c r="Q992" s="39">
        <v>124</v>
      </c>
      <c r="R992" s="39">
        <v>24.28</v>
      </c>
    </row>
    <row r="993" spans="1:18" x14ac:dyDescent="0.25">
      <c r="A993" s="1" t="s">
        <v>411</v>
      </c>
      <c r="B993" s="2" t="s">
        <v>418</v>
      </c>
      <c r="C993" s="19">
        <v>43.6</v>
      </c>
      <c r="D993" s="3" t="s">
        <v>497</v>
      </c>
      <c r="E993" s="3" t="s">
        <v>483</v>
      </c>
      <c r="F993" s="23">
        <v>443019</v>
      </c>
      <c r="G993" s="35">
        <v>2015</v>
      </c>
      <c r="H993">
        <f>Table_8[[#This Row],[Listing Price (USD)]]/10000</f>
        <v>44.301900000000003</v>
      </c>
      <c r="I993">
        <f>Table_8[[#This Row],[Length 
(ft)]]</f>
        <v>43.6</v>
      </c>
      <c r="J993" s="37">
        <f>2020-Table_8[[#This Row],[Year]]</f>
        <v>5</v>
      </c>
      <c r="K993">
        <v>4200000000</v>
      </c>
      <c r="L993">
        <v>39553.199999999997</v>
      </c>
      <c r="M993">
        <v>2.5</v>
      </c>
      <c r="N993">
        <v>-2.1</v>
      </c>
      <c r="O993" s="39">
        <v>0</v>
      </c>
      <c r="P993" s="39">
        <v>753.00199999999995</v>
      </c>
      <c r="Q993" s="39">
        <v>124</v>
      </c>
      <c r="R993" s="39">
        <v>24.28</v>
      </c>
    </row>
    <row r="994" spans="1:18" x14ac:dyDescent="0.25">
      <c r="A994" s="1" t="s">
        <v>411</v>
      </c>
      <c r="B994" s="2" t="s">
        <v>418</v>
      </c>
      <c r="C994" s="19">
        <v>43.6</v>
      </c>
      <c r="D994" s="3" t="s">
        <v>496</v>
      </c>
      <c r="E994" s="4" t="s">
        <v>18</v>
      </c>
      <c r="F994" s="23">
        <v>443382</v>
      </c>
      <c r="G994" s="35">
        <v>2013</v>
      </c>
      <c r="H994">
        <f>Table_8[[#This Row],[Listing Price (USD)]]/10000</f>
        <v>44.338200000000001</v>
      </c>
      <c r="I994">
        <f>Table_8[[#This Row],[Length 
(ft)]]</f>
        <v>43.6</v>
      </c>
      <c r="J994" s="37">
        <f>2020-Table_8[[#This Row],[Year]]</f>
        <v>7</v>
      </c>
      <c r="K994">
        <v>188925995936.80701</v>
      </c>
      <c r="L994">
        <v>17658.947301119199</v>
      </c>
      <c r="M994">
        <v>-1.2479835558140799</v>
      </c>
      <c r="N994">
        <v>-9.0040436420214593</v>
      </c>
      <c r="O994" s="39">
        <v>0</v>
      </c>
      <c r="P994" s="39">
        <v>753.00199999999995</v>
      </c>
      <c r="Q994" s="39">
        <v>124</v>
      </c>
      <c r="R994" s="39">
        <v>24.28</v>
      </c>
    </row>
    <row r="995" spans="1:18" x14ac:dyDescent="0.25">
      <c r="A995" s="1" t="s">
        <v>411</v>
      </c>
      <c r="B995" s="3" t="s">
        <v>418</v>
      </c>
      <c r="C995" s="19">
        <v>43.6</v>
      </c>
      <c r="D995" s="3" t="s">
        <v>497</v>
      </c>
      <c r="E995" s="3" t="s">
        <v>483</v>
      </c>
      <c r="F995" s="23">
        <v>443526</v>
      </c>
      <c r="G995" s="35">
        <v>2015</v>
      </c>
      <c r="H995">
        <f>Table_8[[#This Row],[Listing Price (USD)]]/10000</f>
        <v>44.352600000000002</v>
      </c>
      <c r="I995">
        <f>Table_8[[#This Row],[Length 
(ft)]]</f>
        <v>43.6</v>
      </c>
      <c r="J995" s="37">
        <f>2020-Table_8[[#This Row],[Year]]</f>
        <v>5</v>
      </c>
      <c r="K995">
        <v>4200000000</v>
      </c>
      <c r="L995">
        <v>39553.199999999997</v>
      </c>
      <c r="M995">
        <v>2.5</v>
      </c>
      <c r="N995">
        <v>-2.1</v>
      </c>
      <c r="O995" s="39">
        <v>0</v>
      </c>
      <c r="P995" s="39">
        <v>753.00199999999995</v>
      </c>
      <c r="Q995" s="39">
        <v>124</v>
      </c>
      <c r="R995" s="39">
        <v>24.28</v>
      </c>
    </row>
    <row r="996" spans="1:18" x14ac:dyDescent="0.25">
      <c r="A996" s="1" t="s">
        <v>411</v>
      </c>
      <c r="B996" s="2" t="s">
        <v>418</v>
      </c>
      <c r="C996" s="19">
        <v>43.6</v>
      </c>
      <c r="D996" s="3" t="s">
        <v>496</v>
      </c>
      <c r="E996" s="4" t="s">
        <v>18</v>
      </c>
      <c r="F996" s="23">
        <v>449438</v>
      </c>
      <c r="G996" s="35">
        <v>2012</v>
      </c>
      <c r="H996">
        <f>Table_8[[#This Row],[Listing Price (USD)]]/10000</f>
        <v>44.943800000000003</v>
      </c>
      <c r="I996">
        <f>Table_8[[#This Row],[Length 
(ft)]]</f>
        <v>43.6</v>
      </c>
      <c r="J996" s="37">
        <f>2020-Table_8[[#This Row],[Year]]</f>
        <v>8</v>
      </c>
      <c r="K996">
        <v>188925995936.80701</v>
      </c>
      <c r="L996">
        <v>17658.947301119199</v>
      </c>
      <c r="M996">
        <v>-1.2479835558140799</v>
      </c>
      <c r="N996">
        <v>-9.0040436420214593</v>
      </c>
      <c r="O996" s="39">
        <v>0</v>
      </c>
      <c r="P996" s="39">
        <v>753.00199999999995</v>
      </c>
      <c r="Q996" s="39">
        <v>124</v>
      </c>
      <c r="R996" s="39">
        <v>24.28</v>
      </c>
    </row>
    <row r="997" spans="1:18" x14ac:dyDescent="0.25">
      <c r="A997" s="1" t="s">
        <v>411</v>
      </c>
      <c r="B997" s="2" t="s">
        <v>418</v>
      </c>
      <c r="C997" s="19">
        <v>43.6</v>
      </c>
      <c r="D997" s="3" t="s">
        <v>496</v>
      </c>
      <c r="E997" s="4" t="s">
        <v>18</v>
      </c>
      <c r="F997" s="23">
        <v>449893</v>
      </c>
      <c r="G997" s="35">
        <v>2012</v>
      </c>
      <c r="H997">
        <f>Table_8[[#This Row],[Listing Price (USD)]]/10000</f>
        <v>44.9893</v>
      </c>
      <c r="I997">
        <f>Table_8[[#This Row],[Length 
(ft)]]</f>
        <v>43.6</v>
      </c>
      <c r="J997" s="37">
        <f>2020-Table_8[[#This Row],[Year]]</f>
        <v>8</v>
      </c>
      <c r="K997">
        <v>188925995936.80701</v>
      </c>
      <c r="L997">
        <v>17658.947301119199</v>
      </c>
      <c r="M997">
        <v>-1.2479835558140799</v>
      </c>
      <c r="N997">
        <v>-9.0040436420214593</v>
      </c>
      <c r="O997" s="39">
        <v>0</v>
      </c>
      <c r="P997" s="39">
        <v>753.00199999999995</v>
      </c>
      <c r="Q997" s="39">
        <v>124</v>
      </c>
      <c r="R997" s="39">
        <v>24.28</v>
      </c>
    </row>
    <row r="998" spans="1:18" x14ac:dyDescent="0.25">
      <c r="A998" s="1" t="s">
        <v>411</v>
      </c>
      <c r="B998" s="2" t="s">
        <v>418</v>
      </c>
      <c r="C998" s="19">
        <v>43.6</v>
      </c>
      <c r="D998" s="3" t="s">
        <v>495</v>
      </c>
      <c r="E998" s="3" t="s">
        <v>333</v>
      </c>
      <c r="F998" s="23">
        <v>450000</v>
      </c>
      <c r="G998" s="35">
        <v>2017</v>
      </c>
      <c r="H998">
        <f>Table_8[[#This Row],[Listing Price (USD)]]/10000</f>
        <v>45</v>
      </c>
      <c r="I998">
        <f>Table_8[[#This Row],[Length 
(ft)]]</f>
        <v>43.6</v>
      </c>
      <c r="J998" s="37">
        <f>2020-Table_8[[#This Row],[Year]]</f>
        <v>3</v>
      </c>
      <c r="K998">
        <v>1106036000000</v>
      </c>
      <c r="L998">
        <v>51276.72</v>
      </c>
      <c r="M998">
        <v>1.23</v>
      </c>
      <c r="N998">
        <v>2.9</v>
      </c>
      <c r="O998" s="39">
        <v>0</v>
      </c>
      <c r="P998" s="39">
        <v>753.00199999999995</v>
      </c>
      <c r="Q998" s="39">
        <v>124</v>
      </c>
      <c r="R998" s="39">
        <v>24.28</v>
      </c>
    </row>
    <row r="999" spans="1:18" x14ac:dyDescent="0.25">
      <c r="A999" s="1" t="s">
        <v>411</v>
      </c>
      <c r="B999" s="2" t="s">
        <v>418</v>
      </c>
      <c r="C999" s="19">
        <v>43.6</v>
      </c>
      <c r="D999" s="3" t="s">
        <v>497</v>
      </c>
      <c r="E999" s="3" t="s">
        <v>483</v>
      </c>
      <c r="F999" s="23">
        <v>473362</v>
      </c>
      <c r="G999" s="35">
        <v>2015</v>
      </c>
      <c r="H999">
        <f>Table_8[[#This Row],[Listing Price (USD)]]/10000</f>
        <v>47.336199999999998</v>
      </c>
      <c r="I999">
        <f>Table_8[[#This Row],[Length 
(ft)]]</f>
        <v>43.6</v>
      </c>
      <c r="J999" s="37">
        <f>2020-Table_8[[#This Row],[Year]]</f>
        <v>5</v>
      </c>
      <c r="K999">
        <v>4200000000</v>
      </c>
      <c r="L999">
        <v>39553.199999999997</v>
      </c>
      <c r="M999">
        <v>2.5</v>
      </c>
      <c r="N999">
        <v>-2.1</v>
      </c>
      <c r="O999" s="39">
        <v>0</v>
      </c>
      <c r="P999" s="39">
        <v>753.00199999999995</v>
      </c>
      <c r="Q999" s="39">
        <v>124</v>
      </c>
      <c r="R999" s="39">
        <v>24.28</v>
      </c>
    </row>
    <row r="1000" spans="1:18" x14ac:dyDescent="0.25">
      <c r="A1000" s="1" t="s">
        <v>411</v>
      </c>
      <c r="B1000" s="2" t="s">
        <v>418</v>
      </c>
      <c r="C1000" s="19">
        <v>43.6</v>
      </c>
      <c r="D1000" s="3" t="s">
        <v>496</v>
      </c>
      <c r="E1000" s="4" t="s">
        <v>9</v>
      </c>
      <c r="F1000" s="23">
        <v>479310</v>
      </c>
      <c r="G1000" s="35">
        <v>2015</v>
      </c>
      <c r="H1000">
        <f>Table_8[[#This Row],[Listing Price (USD)]]/10000</f>
        <v>47.930999999999997</v>
      </c>
      <c r="I1000">
        <f>Table_8[[#This Row],[Length 
(ft)]]</f>
        <v>43.6</v>
      </c>
      <c r="J1000" s="37">
        <f>2020-Table_8[[#This Row],[Year]]</f>
        <v>5</v>
      </c>
      <c r="K1000">
        <v>1276962685648.25</v>
      </c>
      <c r="L1000">
        <v>26959.675436732599</v>
      </c>
      <c r="M1000">
        <v>-0.32275301729970501</v>
      </c>
      <c r="N1000">
        <v>-11.3254383222864</v>
      </c>
      <c r="O1000" s="39">
        <v>0</v>
      </c>
      <c r="P1000" s="39">
        <v>753.00199999999995</v>
      </c>
      <c r="Q1000" s="39">
        <v>124</v>
      </c>
      <c r="R1000" s="39">
        <v>24.28</v>
      </c>
    </row>
    <row r="1001" spans="1:18" x14ac:dyDescent="0.25">
      <c r="A1001" s="1" t="s">
        <v>411</v>
      </c>
      <c r="B1001" s="2" t="s">
        <v>418</v>
      </c>
      <c r="C1001" s="19">
        <v>43.6</v>
      </c>
      <c r="D1001" s="3" t="s">
        <v>496</v>
      </c>
      <c r="E1001" s="4" t="s">
        <v>18</v>
      </c>
      <c r="F1001" s="23">
        <v>479824</v>
      </c>
      <c r="G1001" s="35">
        <v>2013</v>
      </c>
      <c r="H1001">
        <f>Table_8[[#This Row],[Listing Price (USD)]]/10000</f>
        <v>47.982399999999998</v>
      </c>
      <c r="I1001">
        <f>Table_8[[#This Row],[Length 
(ft)]]</f>
        <v>43.6</v>
      </c>
      <c r="J1001" s="37">
        <f>2020-Table_8[[#This Row],[Year]]</f>
        <v>7</v>
      </c>
      <c r="K1001">
        <v>188925995936.80701</v>
      </c>
      <c r="L1001">
        <v>17658.947301119199</v>
      </c>
      <c r="M1001">
        <v>-1.2479835558140799</v>
      </c>
      <c r="N1001">
        <v>-9.0040436420214593</v>
      </c>
      <c r="O1001" s="39">
        <v>0</v>
      </c>
      <c r="P1001" s="39">
        <v>753.00199999999995</v>
      </c>
      <c r="Q1001" s="39">
        <v>124</v>
      </c>
      <c r="R1001" s="39">
        <v>24.28</v>
      </c>
    </row>
    <row r="1002" spans="1:18" x14ac:dyDescent="0.25">
      <c r="A1002" s="1" t="s">
        <v>411</v>
      </c>
      <c r="B1002" s="2" t="s">
        <v>418</v>
      </c>
      <c r="C1002" s="19">
        <v>43.6</v>
      </c>
      <c r="D1002" s="3" t="s">
        <v>496</v>
      </c>
      <c r="E1002" s="4" t="s">
        <v>9</v>
      </c>
      <c r="F1002" s="23">
        <v>480291</v>
      </c>
      <c r="G1002" s="35">
        <v>2015</v>
      </c>
      <c r="H1002">
        <f>Table_8[[#This Row],[Listing Price (USD)]]/10000</f>
        <v>48.0291</v>
      </c>
      <c r="I1002">
        <f>Table_8[[#This Row],[Length 
(ft)]]</f>
        <v>43.6</v>
      </c>
      <c r="J1002" s="37">
        <f>2020-Table_8[[#This Row],[Year]]</f>
        <v>5</v>
      </c>
      <c r="K1002">
        <v>1276962685648.25</v>
      </c>
      <c r="L1002">
        <v>26959.675436732599</v>
      </c>
      <c r="M1002">
        <v>-0.32275301729970501</v>
      </c>
      <c r="N1002">
        <v>-11.3254383222864</v>
      </c>
      <c r="O1002" s="39">
        <v>0</v>
      </c>
      <c r="P1002" s="39">
        <v>753.00199999999995</v>
      </c>
      <c r="Q1002" s="39">
        <v>124</v>
      </c>
      <c r="R1002" s="39">
        <v>24.28</v>
      </c>
    </row>
    <row r="1003" spans="1:18" x14ac:dyDescent="0.25">
      <c r="A1003" s="1" t="s">
        <v>411</v>
      </c>
      <c r="B1003" s="2" t="s">
        <v>418</v>
      </c>
      <c r="C1003" s="19">
        <v>43.6</v>
      </c>
      <c r="D1003" s="3" t="s">
        <v>496</v>
      </c>
      <c r="E1003" s="4" t="s">
        <v>419</v>
      </c>
      <c r="F1003" s="23">
        <v>484286</v>
      </c>
      <c r="G1003" s="35">
        <v>2015</v>
      </c>
      <c r="H1003">
        <f>Table_8[[#This Row],[Listing Price (USD)]]/10000</f>
        <v>48.428600000000003</v>
      </c>
      <c r="I1003">
        <f>Table_8[[#This Row],[Length 
(ft)]]</f>
        <v>43.6</v>
      </c>
      <c r="J1003" s="37">
        <f>2020-Table_8[[#This Row],[Year]]</f>
        <v>5</v>
      </c>
      <c r="K1003">
        <v>681973374534.10596</v>
      </c>
      <c r="L1003">
        <v>27575.495000325591</v>
      </c>
      <c r="M1003">
        <v>0.8848420113691905</v>
      </c>
      <c r="N1003">
        <v>-6.3525291034127971</v>
      </c>
      <c r="O1003" s="39">
        <v>0</v>
      </c>
      <c r="P1003" s="39">
        <v>753.00199999999995</v>
      </c>
      <c r="Q1003" s="39">
        <v>124</v>
      </c>
      <c r="R1003" s="39">
        <v>24.28</v>
      </c>
    </row>
    <row r="1004" spans="1:18" x14ac:dyDescent="0.25">
      <c r="A1004" s="1" t="s">
        <v>411</v>
      </c>
      <c r="B1004" s="2" t="s">
        <v>418</v>
      </c>
      <c r="C1004" s="19">
        <v>43.6</v>
      </c>
      <c r="D1004" s="3" t="s">
        <v>496</v>
      </c>
      <c r="E1004" s="4" t="s">
        <v>24</v>
      </c>
      <c r="F1004" s="23">
        <v>509775</v>
      </c>
      <c r="G1004" s="35">
        <v>2015</v>
      </c>
      <c r="H1004">
        <f>Table_8[[#This Row],[Listing Price (USD)]]/10000</f>
        <v>50.977499999999999</v>
      </c>
      <c r="I1004">
        <f>Table_8[[#This Row],[Length 
(ft)]]</f>
        <v>43.6</v>
      </c>
      <c r="J1004" s="37">
        <f>2020-Table_8[[#This Row],[Year]]</f>
        <v>5</v>
      </c>
      <c r="K1004">
        <v>1896755301518.1399</v>
      </c>
      <c r="L1004">
        <v>31911.0357890017</v>
      </c>
      <c r="M1004">
        <v>-0.13770757391656999</v>
      </c>
      <c r="N1004">
        <v>-9.0399534112288507</v>
      </c>
      <c r="O1004" s="39">
        <v>0</v>
      </c>
      <c r="P1004" s="39">
        <v>753.00199999999995</v>
      </c>
      <c r="Q1004" s="39">
        <v>124</v>
      </c>
      <c r="R1004" s="39">
        <v>24.28</v>
      </c>
    </row>
    <row r="1005" spans="1:18" x14ac:dyDescent="0.25">
      <c r="A1005" s="1" t="s">
        <v>411</v>
      </c>
      <c r="B1005" s="2" t="s">
        <v>418</v>
      </c>
      <c r="C1005" s="19">
        <v>43.6</v>
      </c>
      <c r="D1005" s="3" t="s">
        <v>496</v>
      </c>
      <c r="E1005" s="4" t="s">
        <v>3</v>
      </c>
      <c r="F1005" s="23">
        <v>510689</v>
      </c>
      <c r="G1005" s="35">
        <v>2015</v>
      </c>
      <c r="H1005">
        <f>Table_8[[#This Row],[Listing Price (USD)]]/10000</f>
        <v>51.068899999999999</v>
      </c>
      <c r="I1005">
        <f>Table_8[[#This Row],[Length 
(ft)]]</f>
        <v>43.6</v>
      </c>
      <c r="J1005" s="37">
        <f>2020-Table_8[[#This Row],[Year]]</f>
        <v>5</v>
      </c>
      <c r="K1005">
        <v>2639008701648.2598</v>
      </c>
      <c r="L1005">
        <v>39055.282928075401</v>
      </c>
      <c r="M1005">
        <v>0.47649885272508302</v>
      </c>
      <c r="N1005">
        <v>-7.7845864916787102</v>
      </c>
      <c r="O1005" s="39">
        <v>0</v>
      </c>
      <c r="P1005" s="39">
        <v>753.00199999999995</v>
      </c>
      <c r="Q1005" s="39">
        <v>124</v>
      </c>
      <c r="R1005" s="39">
        <v>24.28</v>
      </c>
    </row>
    <row r="1006" spans="1:18" x14ac:dyDescent="0.25">
      <c r="A1006" s="1" t="s">
        <v>411</v>
      </c>
      <c r="B1006" s="2" t="s">
        <v>418</v>
      </c>
      <c r="C1006" s="19">
        <v>43.6</v>
      </c>
      <c r="D1006" s="3" t="s">
        <v>496</v>
      </c>
      <c r="E1006" s="4" t="s">
        <v>24</v>
      </c>
      <c r="F1006" s="23">
        <v>510689</v>
      </c>
      <c r="G1006" s="35">
        <v>2015</v>
      </c>
      <c r="H1006">
        <f>Table_8[[#This Row],[Listing Price (USD)]]/10000</f>
        <v>51.068899999999999</v>
      </c>
      <c r="I1006">
        <f>Table_8[[#This Row],[Length 
(ft)]]</f>
        <v>43.6</v>
      </c>
      <c r="J1006" s="37">
        <f>2020-Table_8[[#This Row],[Year]]</f>
        <v>5</v>
      </c>
      <c r="K1006">
        <v>1896755301518.1399</v>
      </c>
      <c r="L1006">
        <v>31911.0357890017</v>
      </c>
      <c r="M1006">
        <v>-0.13770757391656999</v>
      </c>
      <c r="N1006">
        <v>-9.0399534112288507</v>
      </c>
      <c r="O1006" s="39">
        <v>0</v>
      </c>
      <c r="P1006" s="39">
        <v>753.00199999999995</v>
      </c>
      <c r="Q1006" s="39">
        <v>124</v>
      </c>
      <c r="R1006" s="39">
        <v>24.28</v>
      </c>
    </row>
    <row r="1007" spans="1:18" x14ac:dyDescent="0.25">
      <c r="A1007" s="1" t="s">
        <v>411</v>
      </c>
      <c r="B1007" s="2" t="s">
        <v>418</v>
      </c>
      <c r="C1007" s="19">
        <v>43.6</v>
      </c>
      <c r="D1007" s="3" t="s">
        <v>496</v>
      </c>
      <c r="E1007" s="4" t="s">
        <v>3</v>
      </c>
      <c r="F1007" s="23">
        <v>520699</v>
      </c>
      <c r="G1007" s="35">
        <v>2012</v>
      </c>
      <c r="H1007">
        <f>Table_8[[#This Row],[Listing Price (USD)]]/10000</f>
        <v>52.069899999999997</v>
      </c>
      <c r="I1007">
        <f>Table_8[[#This Row],[Length 
(ft)]]</f>
        <v>43.6</v>
      </c>
      <c r="J1007" s="37">
        <f>2020-Table_8[[#This Row],[Year]]</f>
        <v>8</v>
      </c>
      <c r="K1007">
        <v>2639008701648.2598</v>
      </c>
      <c r="L1007">
        <v>39055.282928075401</v>
      </c>
      <c r="M1007">
        <v>0.47649885272508302</v>
      </c>
      <c r="N1007">
        <v>-7.7845864916787102</v>
      </c>
      <c r="O1007" s="39">
        <v>0</v>
      </c>
      <c r="P1007" s="39">
        <v>753.00199999999995</v>
      </c>
      <c r="Q1007" s="39">
        <v>124</v>
      </c>
      <c r="R1007" s="39">
        <v>24.28</v>
      </c>
    </row>
    <row r="1008" spans="1:18" x14ac:dyDescent="0.25">
      <c r="A1008" s="1" t="s">
        <v>411</v>
      </c>
      <c r="B1008" s="2" t="s">
        <v>418</v>
      </c>
      <c r="C1008" s="19">
        <v>43.6</v>
      </c>
      <c r="D1008" s="3" t="s">
        <v>497</v>
      </c>
      <c r="E1008" s="3" t="s">
        <v>370</v>
      </c>
      <c r="F1008" s="23">
        <v>529000</v>
      </c>
      <c r="G1008" s="35">
        <v>2017</v>
      </c>
      <c r="H1008">
        <f>Table_8[[#This Row],[Listing Price (USD)]]/10000</f>
        <v>52.9</v>
      </c>
      <c r="I1008">
        <f>Table_8[[#This Row],[Length 
(ft)]]</f>
        <v>43.6</v>
      </c>
      <c r="J1008" s="37">
        <f>2020-Table_8[[#This Row],[Year]]</f>
        <v>3</v>
      </c>
      <c r="K1008">
        <v>500000000</v>
      </c>
      <c r="L1008">
        <v>34200</v>
      </c>
      <c r="M1008">
        <v>1.1000000000000001</v>
      </c>
      <c r="N1008">
        <v>2</v>
      </c>
      <c r="O1008" s="39">
        <v>0</v>
      </c>
      <c r="P1008" s="39">
        <v>753.00199999999995</v>
      </c>
      <c r="Q1008" s="39">
        <v>124</v>
      </c>
      <c r="R1008" s="39">
        <v>24.28</v>
      </c>
    </row>
    <row r="1009" spans="1:18" x14ac:dyDescent="0.25">
      <c r="A1009" s="1" t="s">
        <v>411</v>
      </c>
      <c r="B1009" s="2" t="s">
        <v>418</v>
      </c>
      <c r="C1009" s="19">
        <v>43.6</v>
      </c>
      <c r="D1009" s="3" t="s">
        <v>496</v>
      </c>
      <c r="E1009" s="4" t="s">
        <v>24</v>
      </c>
      <c r="F1009" s="23">
        <v>534050</v>
      </c>
      <c r="G1009" s="35">
        <v>2013</v>
      </c>
      <c r="H1009">
        <f>Table_8[[#This Row],[Listing Price (USD)]]/10000</f>
        <v>53.405000000000001</v>
      </c>
      <c r="I1009">
        <f>Table_8[[#This Row],[Length 
(ft)]]</f>
        <v>43.6</v>
      </c>
      <c r="J1009" s="37">
        <f>2020-Table_8[[#This Row],[Year]]</f>
        <v>7</v>
      </c>
      <c r="K1009">
        <v>1896755301518.1399</v>
      </c>
      <c r="L1009">
        <v>31911.0357890017</v>
      </c>
      <c r="M1009">
        <v>-0.13770757391656999</v>
      </c>
      <c r="N1009">
        <v>-9.0399534112288507</v>
      </c>
      <c r="O1009" s="39">
        <v>0</v>
      </c>
      <c r="P1009" s="39">
        <v>753.00199999999995</v>
      </c>
      <c r="Q1009" s="39">
        <v>124</v>
      </c>
      <c r="R1009" s="39">
        <v>24.28</v>
      </c>
    </row>
    <row r="1010" spans="1:18" x14ac:dyDescent="0.25">
      <c r="A1010" s="1" t="s">
        <v>411</v>
      </c>
      <c r="B1010" s="2" t="s">
        <v>418</v>
      </c>
      <c r="C1010" s="19">
        <v>43.6</v>
      </c>
      <c r="D1010" s="3" t="s">
        <v>495</v>
      </c>
      <c r="E1010" s="3" t="s">
        <v>333</v>
      </c>
      <c r="F1010" s="23">
        <v>535000</v>
      </c>
      <c r="G1010" s="35">
        <v>2014</v>
      </c>
      <c r="H1010">
        <f>Table_8[[#This Row],[Listing Price (USD)]]/10000</f>
        <v>53.5</v>
      </c>
      <c r="I1010">
        <f>Table_8[[#This Row],[Length 
(ft)]]</f>
        <v>43.6</v>
      </c>
      <c r="J1010" s="37">
        <f>2020-Table_8[[#This Row],[Year]]</f>
        <v>6</v>
      </c>
      <c r="K1010">
        <v>1106036000000</v>
      </c>
      <c r="L1010">
        <v>51276.72</v>
      </c>
      <c r="M1010">
        <v>1.23</v>
      </c>
      <c r="N1010">
        <v>2.9</v>
      </c>
      <c r="O1010" s="39">
        <v>0</v>
      </c>
      <c r="P1010" s="39">
        <v>753.00199999999995</v>
      </c>
      <c r="Q1010" s="39">
        <v>124</v>
      </c>
      <c r="R1010" s="39">
        <v>24.28</v>
      </c>
    </row>
    <row r="1011" spans="1:18" x14ac:dyDescent="0.25">
      <c r="A1011" s="1" t="s">
        <v>411</v>
      </c>
      <c r="B1011" s="2" t="s">
        <v>418</v>
      </c>
      <c r="C1011" s="19">
        <v>43.6</v>
      </c>
      <c r="D1011" s="3" t="s">
        <v>497</v>
      </c>
      <c r="E1011" s="3" t="s">
        <v>370</v>
      </c>
      <c r="F1011" s="23">
        <v>540000</v>
      </c>
      <c r="G1011" s="35">
        <v>2017</v>
      </c>
      <c r="H1011">
        <f>Table_8[[#This Row],[Listing Price (USD)]]/10000</f>
        <v>54</v>
      </c>
      <c r="I1011">
        <f>Table_8[[#This Row],[Length 
(ft)]]</f>
        <v>43.6</v>
      </c>
      <c r="J1011" s="37">
        <f>2020-Table_8[[#This Row],[Year]]</f>
        <v>3</v>
      </c>
      <c r="K1011">
        <v>500000000</v>
      </c>
      <c r="L1011">
        <v>34200</v>
      </c>
      <c r="M1011">
        <v>1.1000000000000001</v>
      </c>
      <c r="N1011">
        <v>2</v>
      </c>
      <c r="O1011" s="39">
        <v>0</v>
      </c>
      <c r="P1011" s="39">
        <v>753.00199999999995</v>
      </c>
      <c r="Q1011" s="39">
        <v>124</v>
      </c>
      <c r="R1011" s="39">
        <v>24.28</v>
      </c>
    </row>
    <row r="1012" spans="1:18" x14ac:dyDescent="0.25">
      <c r="A1012" s="1" t="s">
        <v>411</v>
      </c>
      <c r="B1012" s="2" t="s">
        <v>418</v>
      </c>
      <c r="C1012" s="19">
        <v>43.6</v>
      </c>
      <c r="D1012" s="3" t="s">
        <v>497</v>
      </c>
      <c r="E1012" s="3" t="s">
        <v>392</v>
      </c>
      <c r="F1012" s="23">
        <v>559900</v>
      </c>
      <c r="G1012" s="35">
        <v>2015</v>
      </c>
      <c r="H1012">
        <f>Table_8[[#This Row],[Listing Price (USD)]]/10000</f>
        <v>55.99</v>
      </c>
      <c r="I1012">
        <f>Table_8[[#This Row],[Length 
(ft)]]</f>
        <v>43.6</v>
      </c>
      <c r="J1012" s="37">
        <f>2020-Table_8[[#This Row],[Year]]</f>
        <v>5</v>
      </c>
      <c r="K1012">
        <v>1043414814.81481</v>
      </c>
      <c r="L1012">
        <v>8437.5667322870595</v>
      </c>
      <c r="M1012">
        <v>-0.74073259704550098</v>
      </c>
      <c r="N1012">
        <v>-13.7559294530644</v>
      </c>
      <c r="O1012" s="39">
        <v>0</v>
      </c>
      <c r="P1012" s="39">
        <v>753.00199999999995</v>
      </c>
      <c r="Q1012" s="39">
        <v>124</v>
      </c>
      <c r="R1012" s="39">
        <v>24.28</v>
      </c>
    </row>
    <row r="1013" spans="1:18" x14ac:dyDescent="0.25">
      <c r="A1013" s="1" t="s">
        <v>411</v>
      </c>
      <c r="B1013" s="2" t="s">
        <v>418</v>
      </c>
      <c r="C1013" s="19">
        <v>43.6</v>
      </c>
      <c r="D1013" s="3" t="s">
        <v>497</v>
      </c>
      <c r="E1013" s="3" t="s">
        <v>525</v>
      </c>
      <c r="F1013" s="23">
        <v>582000</v>
      </c>
      <c r="G1013" s="35">
        <v>2016</v>
      </c>
      <c r="H1013">
        <f>Table_8[[#This Row],[Listing Price (USD)]]/10000</f>
        <v>58.2</v>
      </c>
      <c r="I1013">
        <f>Table_8[[#This Row],[Length 
(ft)]]</f>
        <v>43.6</v>
      </c>
      <c r="J1013" s="37">
        <f>2020-Table_8[[#This Row],[Year]]</f>
        <v>4</v>
      </c>
      <c r="K1013">
        <v>4200000000</v>
      </c>
      <c r="L1013">
        <v>39553.199999999997</v>
      </c>
      <c r="M1013">
        <v>4.0999999999999996</v>
      </c>
      <c r="N1013">
        <v>-2.1</v>
      </c>
      <c r="O1013" s="39">
        <v>0</v>
      </c>
      <c r="P1013" s="39">
        <v>753.00199999999995</v>
      </c>
      <c r="Q1013" s="39">
        <v>124</v>
      </c>
      <c r="R1013" s="39">
        <v>24.28</v>
      </c>
    </row>
    <row r="1014" spans="1:18" x14ac:dyDescent="0.25">
      <c r="A1014" s="1" t="s">
        <v>411</v>
      </c>
      <c r="B1014" s="2" t="s">
        <v>418</v>
      </c>
      <c r="C1014" s="19">
        <v>43.6</v>
      </c>
      <c r="D1014" s="3" t="s">
        <v>495</v>
      </c>
      <c r="E1014" s="3" t="s">
        <v>515</v>
      </c>
      <c r="F1014" s="23">
        <v>589000</v>
      </c>
      <c r="G1014" s="35">
        <v>2016</v>
      </c>
      <c r="H1014">
        <f>Table_8[[#This Row],[Listing Price (USD)]]/10000</f>
        <v>58.9</v>
      </c>
      <c r="I1014">
        <f>Table_8[[#This Row],[Length 
(ft)]]</f>
        <v>43.6</v>
      </c>
      <c r="J1014" s="37">
        <f>2020-Table_8[[#This Row],[Year]]</f>
        <v>4</v>
      </c>
      <c r="K1014">
        <v>410675000000</v>
      </c>
      <c r="L1014">
        <v>66531.03</v>
      </c>
      <c r="M1014">
        <v>1.23</v>
      </c>
      <c r="N1014">
        <v>1.8</v>
      </c>
      <c r="O1014" s="39">
        <v>0</v>
      </c>
      <c r="P1014" s="39">
        <v>753.00199999999995</v>
      </c>
      <c r="Q1014" s="39">
        <v>124</v>
      </c>
      <c r="R1014" s="39">
        <v>24.28</v>
      </c>
    </row>
    <row r="1015" spans="1:18" x14ac:dyDescent="0.25">
      <c r="A1015" s="1" t="s">
        <v>411</v>
      </c>
      <c r="B1015" s="2" t="s">
        <v>418</v>
      </c>
      <c r="C1015" s="19">
        <v>43.6</v>
      </c>
      <c r="D1015" s="3" t="s">
        <v>496</v>
      </c>
      <c r="E1015" s="4" t="s">
        <v>510</v>
      </c>
      <c r="F1015" s="23">
        <v>595804</v>
      </c>
      <c r="G1015" s="35">
        <v>2016</v>
      </c>
      <c r="H1015">
        <f>Table_8[[#This Row],[Listing Price (USD)]]/10000</f>
        <v>59.580399999999997</v>
      </c>
      <c r="I1015">
        <f>Table_8[[#This Row],[Length 
(ft)]]</f>
        <v>43.6</v>
      </c>
      <c r="J1015" s="37">
        <f>2020-Table_8[[#This Row],[Year]]</f>
        <v>4</v>
      </c>
      <c r="K1015">
        <v>525211810652.60797</v>
      </c>
      <c r="L1015">
        <v>45517.794930184697</v>
      </c>
      <c r="M1015">
        <v>0.74079181222038504</v>
      </c>
      <c r="N1015">
        <v>-5.3613866333485598</v>
      </c>
      <c r="O1015" s="39">
        <v>0</v>
      </c>
      <c r="P1015" s="39">
        <v>753.00199999999995</v>
      </c>
      <c r="Q1015" s="39">
        <v>124</v>
      </c>
      <c r="R1015" s="39">
        <v>24.28</v>
      </c>
    </row>
    <row r="1016" spans="1:18" x14ac:dyDescent="0.25">
      <c r="A1016" s="1" t="s">
        <v>411</v>
      </c>
      <c r="B1016" s="2" t="s">
        <v>418</v>
      </c>
      <c r="C1016" s="19">
        <v>43.6</v>
      </c>
      <c r="D1016" s="3" t="s">
        <v>496</v>
      </c>
      <c r="E1016" s="4" t="s">
        <v>3</v>
      </c>
      <c r="F1016" s="23">
        <v>625569</v>
      </c>
      <c r="G1016" s="35">
        <v>2016</v>
      </c>
      <c r="H1016">
        <f>Table_8[[#This Row],[Listing Price (USD)]]/10000</f>
        <v>62.556899999999999</v>
      </c>
      <c r="I1016">
        <f>Table_8[[#This Row],[Length 
(ft)]]</f>
        <v>43.6</v>
      </c>
      <c r="J1016" s="37">
        <f>2020-Table_8[[#This Row],[Year]]</f>
        <v>4</v>
      </c>
      <c r="K1016">
        <v>2639008701648.2598</v>
      </c>
      <c r="L1016">
        <v>39055.282928075401</v>
      </c>
      <c r="M1016">
        <v>0.47649885272508302</v>
      </c>
      <c r="N1016">
        <v>-7.7845864916787102</v>
      </c>
      <c r="O1016" s="39">
        <v>0</v>
      </c>
      <c r="P1016" s="39">
        <v>753.00199999999995</v>
      </c>
      <c r="Q1016" s="39">
        <v>124</v>
      </c>
      <c r="R1016" s="39">
        <v>24.28</v>
      </c>
    </row>
    <row r="1017" spans="1:18" x14ac:dyDescent="0.25">
      <c r="A1017" s="1" t="s">
        <v>411</v>
      </c>
      <c r="B1017" s="3" t="s">
        <v>477</v>
      </c>
      <c r="C1017" s="19">
        <v>43.6</v>
      </c>
      <c r="D1017" s="3" t="s">
        <v>497</v>
      </c>
      <c r="E1017" s="3" t="s">
        <v>525</v>
      </c>
      <c r="F1017" s="23">
        <v>582000</v>
      </c>
      <c r="G1017" s="35">
        <v>2016</v>
      </c>
      <c r="H1017">
        <f>Table_8[[#This Row],[Listing Price (USD)]]/10000</f>
        <v>58.2</v>
      </c>
      <c r="I1017">
        <f>Table_8[[#This Row],[Length 
(ft)]]</f>
        <v>43.6</v>
      </c>
      <c r="J1017" s="37">
        <f>2020-Table_8[[#This Row],[Year]]</f>
        <v>4</v>
      </c>
      <c r="K1017">
        <v>4200000000</v>
      </c>
      <c r="L1017">
        <v>39553.199999999997</v>
      </c>
      <c r="M1017">
        <v>4.0999999999999996</v>
      </c>
      <c r="N1017">
        <v>-2.1</v>
      </c>
      <c r="O1017" s="39">
        <v>0</v>
      </c>
      <c r="P1017" s="39">
        <v>753.00199999999995</v>
      </c>
      <c r="Q1017" s="39">
        <v>124</v>
      </c>
      <c r="R1017" s="39">
        <v>24.28</v>
      </c>
    </row>
    <row r="1018" spans="1:18" x14ac:dyDescent="0.25">
      <c r="A1018" s="1" t="s">
        <v>411</v>
      </c>
      <c r="B1018" s="2" t="s">
        <v>420</v>
      </c>
      <c r="C1018" s="19">
        <v>43.6</v>
      </c>
      <c r="D1018" s="3" t="s">
        <v>496</v>
      </c>
      <c r="E1018" s="4" t="s">
        <v>516</v>
      </c>
      <c r="F1018" s="23">
        <v>544974</v>
      </c>
      <c r="G1018" s="35">
        <v>2015</v>
      </c>
      <c r="H1018">
        <f>Table_8[[#This Row],[Listing Price (USD)]]/10000</f>
        <v>54.497399999999999</v>
      </c>
      <c r="I1018">
        <f>Table_8[[#This Row],[Length 
(ft)]]</f>
        <v>43.6</v>
      </c>
      <c r="J1018" s="37">
        <f>2020-Table_8[[#This Row],[Year]]</f>
        <v>5</v>
      </c>
      <c r="K1018">
        <v>909793466661.48096</v>
      </c>
      <c r="L1018">
        <v>52162.570115040602</v>
      </c>
      <c r="M1018">
        <v>1.2724603778917001</v>
      </c>
      <c r="N1018">
        <v>-3.88608391819609</v>
      </c>
      <c r="O1018" s="39">
        <v>41.83</v>
      </c>
      <c r="P1018" s="39">
        <v>860</v>
      </c>
      <c r="Q1018" s="39">
        <v>172</v>
      </c>
      <c r="R1018" s="39">
        <v>25.26</v>
      </c>
    </row>
    <row r="1019" spans="1:18" x14ac:dyDescent="0.25">
      <c r="A1019" s="1" t="s">
        <v>462</v>
      </c>
      <c r="B1019" s="2" t="s">
        <v>463</v>
      </c>
      <c r="C1019" s="19">
        <v>55</v>
      </c>
      <c r="D1019" s="3" t="s">
        <v>495</v>
      </c>
      <c r="E1019" s="3" t="s">
        <v>521</v>
      </c>
      <c r="F1019" s="23">
        <v>2890000</v>
      </c>
      <c r="G1019" s="35">
        <v>2018</v>
      </c>
      <c r="H1019">
        <f>Table_8[[#This Row],[Listing Price (USD)]]/10000</f>
        <v>289</v>
      </c>
      <c r="I1019">
        <f>Table_8[[#This Row],[Length 
(ft)]]</f>
        <v>55</v>
      </c>
      <c r="J1019" s="37">
        <f>2020-Table_8[[#This Row],[Year]]</f>
        <v>2</v>
      </c>
      <c r="K1019">
        <v>60556000000</v>
      </c>
      <c r="L1019">
        <v>55240.56</v>
      </c>
      <c r="M1019">
        <v>3</v>
      </c>
      <c r="N1019">
        <v>2.2000000000000002</v>
      </c>
      <c r="O1019" s="39">
        <v>53.18</v>
      </c>
      <c r="P1019" s="39">
        <v>2063.002</v>
      </c>
      <c r="Q1019" s="39">
        <v>158</v>
      </c>
      <c r="R1019" s="39">
        <v>26.57</v>
      </c>
    </row>
    <row r="1020" spans="1:18" x14ac:dyDescent="0.25">
      <c r="A1020" s="1" t="s">
        <v>411</v>
      </c>
      <c r="B1020" s="2" t="s">
        <v>414</v>
      </c>
      <c r="C1020" s="19">
        <v>39</v>
      </c>
      <c r="D1020" s="3" t="s">
        <v>497</v>
      </c>
      <c r="E1020" s="3" t="s">
        <v>476</v>
      </c>
      <c r="F1020" s="23">
        <v>186733</v>
      </c>
      <c r="G1020" s="35">
        <v>2008</v>
      </c>
      <c r="H1020">
        <f>Table_8[[#This Row],[Listing Price (USD)]]/10000</f>
        <v>18.673300000000001</v>
      </c>
      <c r="I1020">
        <f>Table_8[[#This Row],[Length 
(ft)]]</f>
        <v>39</v>
      </c>
      <c r="J1020" s="37">
        <f>2020-Table_8[[#This Row],[Year]]</f>
        <v>12</v>
      </c>
      <c r="K1020">
        <v>681973374534.10596</v>
      </c>
      <c r="L1020">
        <v>27575.495000325591</v>
      </c>
      <c r="M1020">
        <v>0.8848420113691905</v>
      </c>
      <c r="N1020">
        <v>-6.3525291034127971</v>
      </c>
      <c r="O1020" s="39">
        <v>39.1</v>
      </c>
      <c r="P1020" s="39">
        <v>969.00199999999995</v>
      </c>
      <c r="Q1020" s="39">
        <v>66</v>
      </c>
      <c r="R1020" s="39">
        <v>21.4</v>
      </c>
    </row>
    <row r="1021" spans="1:18" x14ac:dyDescent="0.25">
      <c r="A1021" s="1" t="s">
        <v>411</v>
      </c>
      <c r="B1021" s="2" t="s">
        <v>414</v>
      </c>
      <c r="C1021" s="19">
        <v>39</v>
      </c>
      <c r="D1021" s="3" t="s">
        <v>496</v>
      </c>
      <c r="E1021" s="4" t="s">
        <v>18</v>
      </c>
      <c r="F1021" s="23">
        <v>187945</v>
      </c>
      <c r="G1021" s="35">
        <v>2008</v>
      </c>
      <c r="H1021">
        <f>Table_8[[#This Row],[Listing Price (USD)]]/10000</f>
        <v>18.794499999999999</v>
      </c>
      <c r="I1021">
        <f>Table_8[[#This Row],[Length 
(ft)]]</f>
        <v>39</v>
      </c>
      <c r="J1021" s="37">
        <f>2020-Table_8[[#This Row],[Year]]</f>
        <v>12</v>
      </c>
      <c r="K1021">
        <v>188925995936.80701</v>
      </c>
      <c r="L1021">
        <v>17658.947301119199</v>
      </c>
      <c r="M1021">
        <v>-1.2479835558140799</v>
      </c>
      <c r="N1021">
        <v>-9.0040436420214593</v>
      </c>
      <c r="O1021" s="39">
        <v>39.1</v>
      </c>
      <c r="P1021" s="39">
        <v>969.00199999999995</v>
      </c>
      <c r="Q1021" s="39">
        <v>66</v>
      </c>
      <c r="R1021" s="39">
        <v>21.4</v>
      </c>
    </row>
    <row r="1022" spans="1:18" x14ac:dyDescent="0.25">
      <c r="A1022" s="1" t="s">
        <v>411</v>
      </c>
      <c r="B1022" s="2" t="s">
        <v>414</v>
      </c>
      <c r="C1022" s="19">
        <v>39</v>
      </c>
      <c r="D1022" s="3" t="s">
        <v>496</v>
      </c>
      <c r="E1022" s="3" t="s">
        <v>18</v>
      </c>
      <c r="F1022" s="23">
        <v>188278</v>
      </c>
      <c r="G1022" s="35">
        <v>2008</v>
      </c>
      <c r="H1022">
        <f>Table_8[[#This Row],[Listing Price (USD)]]/10000</f>
        <v>18.8278</v>
      </c>
      <c r="I1022">
        <f>Table_8[[#This Row],[Length 
(ft)]]</f>
        <v>39</v>
      </c>
      <c r="J1022" s="37">
        <f>2020-Table_8[[#This Row],[Year]]</f>
        <v>12</v>
      </c>
      <c r="K1022">
        <v>188925995936.80701</v>
      </c>
      <c r="L1022">
        <v>17658.947301119199</v>
      </c>
      <c r="M1022">
        <v>-1.2479835558140799</v>
      </c>
      <c r="N1022">
        <v>-9.0040436420214593</v>
      </c>
      <c r="O1022" s="39">
        <v>39.1</v>
      </c>
      <c r="P1022" s="39">
        <v>969.00199999999995</v>
      </c>
      <c r="Q1022" s="39">
        <v>66</v>
      </c>
      <c r="R1022" s="39">
        <v>21.4</v>
      </c>
    </row>
    <row r="1023" spans="1:18" x14ac:dyDescent="0.25">
      <c r="A1023" s="1" t="s">
        <v>411</v>
      </c>
      <c r="B1023" s="2" t="s">
        <v>414</v>
      </c>
      <c r="C1023" s="19">
        <v>39</v>
      </c>
      <c r="D1023" s="3" t="s">
        <v>496</v>
      </c>
      <c r="E1023" s="4" t="s">
        <v>24</v>
      </c>
      <c r="F1023" s="23">
        <v>188482</v>
      </c>
      <c r="G1023" s="35">
        <v>2006</v>
      </c>
      <c r="H1023">
        <f>Table_8[[#This Row],[Listing Price (USD)]]/10000</f>
        <v>18.848199999999999</v>
      </c>
      <c r="I1023">
        <f>Table_8[[#This Row],[Length 
(ft)]]</f>
        <v>39</v>
      </c>
      <c r="J1023" s="37">
        <f>2020-Table_8[[#This Row],[Year]]</f>
        <v>14</v>
      </c>
      <c r="K1023">
        <v>1896755301518.1399</v>
      </c>
      <c r="L1023">
        <v>31911.0357890017</v>
      </c>
      <c r="M1023">
        <v>-0.13770757391656999</v>
      </c>
      <c r="N1023">
        <v>-9.0399534112288507</v>
      </c>
      <c r="O1023" s="39">
        <v>39.1</v>
      </c>
      <c r="P1023" s="39">
        <v>969.00199999999995</v>
      </c>
      <c r="Q1023" s="39">
        <v>66</v>
      </c>
      <c r="R1023" s="39">
        <v>21.4</v>
      </c>
    </row>
    <row r="1024" spans="1:18" x14ac:dyDescent="0.25">
      <c r="A1024" s="1" t="s">
        <v>411</v>
      </c>
      <c r="B1024" s="2" t="s">
        <v>414</v>
      </c>
      <c r="C1024" s="19">
        <v>39</v>
      </c>
      <c r="D1024" s="3" t="s">
        <v>496</v>
      </c>
      <c r="E1024" s="4" t="s">
        <v>3</v>
      </c>
      <c r="F1024" s="23">
        <v>194401</v>
      </c>
      <c r="G1024" s="35">
        <v>2008</v>
      </c>
      <c r="H1024">
        <f>Table_8[[#This Row],[Listing Price (USD)]]/10000</f>
        <v>19.440100000000001</v>
      </c>
      <c r="I1024">
        <f>Table_8[[#This Row],[Length 
(ft)]]</f>
        <v>39</v>
      </c>
      <c r="J1024" s="37">
        <f>2020-Table_8[[#This Row],[Year]]</f>
        <v>12</v>
      </c>
      <c r="K1024">
        <v>2639008701648.2598</v>
      </c>
      <c r="L1024">
        <v>39055.282928075401</v>
      </c>
      <c r="M1024">
        <v>0.47649885272508302</v>
      </c>
      <c r="N1024">
        <v>-7.7845864916787102</v>
      </c>
      <c r="O1024" s="39">
        <v>39.1</v>
      </c>
      <c r="P1024" s="39">
        <v>969.00199999999995</v>
      </c>
      <c r="Q1024" s="39">
        <v>66</v>
      </c>
      <c r="R1024" s="39">
        <v>21.4</v>
      </c>
    </row>
    <row r="1025" spans="1:18" x14ac:dyDescent="0.25">
      <c r="A1025" s="1" t="s">
        <v>411</v>
      </c>
      <c r="B1025" s="2" t="s">
        <v>414</v>
      </c>
      <c r="C1025" s="19">
        <v>39</v>
      </c>
      <c r="D1025" s="3" t="s">
        <v>496</v>
      </c>
      <c r="E1025" s="4" t="s">
        <v>3</v>
      </c>
      <c r="F1025" s="23">
        <v>194562</v>
      </c>
      <c r="G1025" s="35">
        <v>2008</v>
      </c>
      <c r="H1025">
        <f>Table_8[[#This Row],[Listing Price (USD)]]/10000</f>
        <v>19.456199999999999</v>
      </c>
      <c r="I1025">
        <f>Table_8[[#This Row],[Length 
(ft)]]</f>
        <v>39</v>
      </c>
      <c r="J1025" s="37">
        <f>2020-Table_8[[#This Row],[Year]]</f>
        <v>12</v>
      </c>
      <c r="K1025">
        <v>2639008701648.2598</v>
      </c>
      <c r="L1025">
        <v>39055.282928075401</v>
      </c>
      <c r="M1025">
        <v>0.47649885272508302</v>
      </c>
      <c r="N1025">
        <v>-7.7845864916787102</v>
      </c>
      <c r="O1025" s="39">
        <v>39.1</v>
      </c>
      <c r="P1025" s="39">
        <v>969.00199999999995</v>
      </c>
      <c r="Q1025" s="39">
        <v>66</v>
      </c>
      <c r="R1025" s="39">
        <v>21.4</v>
      </c>
    </row>
    <row r="1026" spans="1:18" x14ac:dyDescent="0.25">
      <c r="A1026" s="1" t="s">
        <v>411</v>
      </c>
      <c r="B1026" s="2" t="s">
        <v>414</v>
      </c>
      <c r="C1026" s="19">
        <v>39</v>
      </c>
      <c r="D1026" s="3" t="s">
        <v>496</v>
      </c>
      <c r="E1026" s="4" t="s">
        <v>18</v>
      </c>
      <c r="F1026" s="23">
        <v>200642</v>
      </c>
      <c r="G1026" s="35">
        <v>2006</v>
      </c>
      <c r="H1026">
        <f>Table_8[[#This Row],[Listing Price (USD)]]/10000</f>
        <v>20.0642</v>
      </c>
      <c r="I1026">
        <f>Table_8[[#This Row],[Length 
(ft)]]</f>
        <v>39</v>
      </c>
      <c r="J1026" s="37">
        <f>2020-Table_8[[#This Row],[Year]]</f>
        <v>14</v>
      </c>
      <c r="K1026">
        <v>188925995936.80701</v>
      </c>
      <c r="L1026">
        <v>17658.947301119199</v>
      </c>
      <c r="M1026">
        <v>-1.2479835558140799</v>
      </c>
      <c r="N1026">
        <v>-9.0040436420214593</v>
      </c>
      <c r="O1026" s="39">
        <v>39.1</v>
      </c>
      <c r="P1026" s="39">
        <v>969.00199999999995</v>
      </c>
      <c r="Q1026" s="39">
        <v>66</v>
      </c>
      <c r="R1026" s="39">
        <v>21.4</v>
      </c>
    </row>
    <row r="1027" spans="1:18" x14ac:dyDescent="0.25">
      <c r="A1027" s="1" t="s">
        <v>411</v>
      </c>
      <c r="B1027" s="2" t="s">
        <v>414</v>
      </c>
      <c r="C1027" s="19">
        <v>39</v>
      </c>
      <c r="D1027" s="3" t="s">
        <v>497</v>
      </c>
      <c r="E1027" s="3" t="s">
        <v>377</v>
      </c>
      <c r="F1027" s="23">
        <v>205124</v>
      </c>
      <c r="G1027" s="35">
        <v>2009</v>
      </c>
      <c r="H1027">
        <f>Table_8[[#This Row],[Listing Price (USD)]]/10000</f>
        <v>20.5124</v>
      </c>
      <c r="I1027">
        <f>Table_8[[#This Row],[Length 
(ft)]]</f>
        <v>39</v>
      </c>
      <c r="J1027" s="37">
        <f>2020-Table_8[[#This Row],[Year]]</f>
        <v>11</v>
      </c>
      <c r="K1027">
        <v>681973374534.10596</v>
      </c>
      <c r="L1027">
        <v>27575.495000325591</v>
      </c>
      <c r="M1027">
        <v>0.8848420113691905</v>
      </c>
      <c r="N1027">
        <v>-6.3525291034127971</v>
      </c>
      <c r="O1027" s="39">
        <v>39.1</v>
      </c>
      <c r="P1027" s="39">
        <v>969.00199999999995</v>
      </c>
      <c r="Q1027" s="39">
        <v>66</v>
      </c>
      <c r="R1027" s="39">
        <v>21.4</v>
      </c>
    </row>
    <row r="1028" spans="1:18" x14ac:dyDescent="0.25">
      <c r="A1028" s="1" t="s">
        <v>411</v>
      </c>
      <c r="B1028" s="2" t="s">
        <v>414</v>
      </c>
      <c r="C1028" s="19">
        <v>39</v>
      </c>
      <c r="D1028" s="3" t="s">
        <v>496</v>
      </c>
      <c r="E1028" s="4" t="s">
        <v>3</v>
      </c>
      <c r="F1028" s="23">
        <v>205284</v>
      </c>
      <c r="G1028" s="35">
        <v>2010</v>
      </c>
      <c r="H1028">
        <f>Table_8[[#This Row],[Listing Price (USD)]]/10000</f>
        <v>20.528400000000001</v>
      </c>
      <c r="I1028">
        <f>Table_8[[#This Row],[Length 
(ft)]]</f>
        <v>39</v>
      </c>
      <c r="J1028" s="37">
        <f>2020-Table_8[[#This Row],[Year]]</f>
        <v>10</v>
      </c>
      <c r="K1028">
        <v>2639008701648.2598</v>
      </c>
      <c r="L1028">
        <v>39055.282928075401</v>
      </c>
      <c r="M1028">
        <v>0.47649885272508302</v>
      </c>
      <c r="N1028">
        <v>-7.7845864916787102</v>
      </c>
      <c r="O1028" s="39">
        <v>39.1</v>
      </c>
      <c r="P1028" s="39">
        <v>969.00199999999995</v>
      </c>
      <c r="Q1028" s="39">
        <v>66</v>
      </c>
      <c r="R1028" s="39">
        <v>21.4</v>
      </c>
    </row>
    <row r="1029" spans="1:18" x14ac:dyDescent="0.25">
      <c r="A1029" s="1" t="s">
        <v>411</v>
      </c>
      <c r="B1029" s="2" t="s">
        <v>414</v>
      </c>
      <c r="C1029" s="19">
        <v>39</v>
      </c>
      <c r="D1029" s="3" t="s">
        <v>496</v>
      </c>
      <c r="E1029" s="4" t="s">
        <v>3</v>
      </c>
      <c r="F1029" s="23">
        <v>205506</v>
      </c>
      <c r="G1029" s="35">
        <v>2010</v>
      </c>
      <c r="H1029">
        <f>Table_8[[#This Row],[Listing Price (USD)]]/10000</f>
        <v>20.550599999999999</v>
      </c>
      <c r="I1029">
        <f>Table_8[[#This Row],[Length 
(ft)]]</f>
        <v>39</v>
      </c>
      <c r="J1029" s="37">
        <f>2020-Table_8[[#This Row],[Year]]</f>
        <v>10</v>
      </c>
      <c r="K1029">
        <v>2639008701648.2598</v>
      </c>
      <c r="L1029">
        <v>39055.282928075401</v>
      </c>
      <c r="M1029">
        <v>0.47649885272508302</v>
      </c>
      <c r="N1029">
        <v>-7.7845864916787102</v>
      </c>
      <c r="O1029" s="39">
        <v>39.1</v>
      </c>
      <c r="P1029" s="39">
        <v>969.00199999999995</v>
      </c>
      <c r="Q1029" s="39">
        <v>66</v>
      </c>
      <c r="R1029" s="39">
        <v>21.4</v>
      </c>
    </row>
    <row r="1030" spans="1:18" x14ac:dyDescent="0.25">
      <c r="A1030" s="1" t="s">
        <v>411</v>
      </c>
      <c r="B1030" s="3" t="s">
        <v>414</v>
      </c>
      <c r="C1030" s="19">
        <v>39</v>
      </c>
      <c r="D1030" s="3" t="s">
        <v>497</v>
      </c>
      <c r="E1030" s="3" t="s">
        <v>498</v>
      </c>
      <c r="F1030" s="23">
        <v>210000</v>
      </c>
      <c r="G1030" s="35">
        <v>2005</v>
      </c>
      <c r="H1030">
        <f>Table_8[[#This Row],[Listing Price (USD)]]/10000</f>
        <v>21</v>
      </c>
      <c r="I1030">
        <f>Table_8[[#This Row],[Length 
(ft)]]</f>
        <v>39</v>
      </c>
      <c r="J1030" s="37">
        <f>2020-Table_8[[#This Row],[Year]]</f>
        <v>15</v>
      </c>
      <c r="K1030">
        <v>1090515389749.41</v>
      </c>
      <c r="L1030">
        <v>8655.0006820680301</v>
      </c>
      <c r="M1030">
        <v>3.3968341556999899</v>
      </c>
      <c r="N1030">
        <v>-7.9879123401474903</v>
      </c>
      <c r="O1030" s="39">
        <v>39.1</v>
      </c>
      <c r="P1030" s="39">
        <v>969.00199999999995</v>
      </c>
      <c r="Q1030" s="39">
        <v>66</v>
      </c>
      <c r="R1030" s="39">
        <v>21.4</v>
      </c>
    </row>
    <row r="1031" spans="1:18" x14ac:dyDescent="0.25">
      <c r="A1031" s="1" t="s">
        <v>411</v>
      </c>
      <c r="B1031" s="2" t="s">
        <v>414</v>
      </c>
      <c r="C1031" s="19">
        <v>39</v>
      </c>
      <c r="D1031" s="3" t="s">
        <v>495</v>
      </c>
      <c r="E1031" s="3" t="s">
        <v>523</v>
      </c>
      <c r="F1031" s="23">
        <v>219000</v>
      </c>
      <c r="G1031" s="35">
        <v>2006</v>
      </c>
      <c r="H1031">
        <f>Table_8[[#This Row],[Listing Price (USD)]]/10000</f>
        <v>21.9</v>
      </c>
      <c r="I1031">
        <f>Table_8[[#This Row],[Length 
(ft)]]</f>
        <v>39</v>
      </c>
      <c r="J1031" s="37">
        <f>2020-Table_8[[#This Row],[Year]]</f>
        <v>14</v>
      </c>
      <c r="K1031">
        <v>1775588000000</v>
      </c>
      <c r="L1031">
        <v>60771.06</v>
      </c>
      <c r="M1031">
        <v>1.23</v>
      </c>
      <c r="N1031">
        <v>5.0999999999999996</v>
      </c>
      <c r="O1031" s="39">
        <v>39.1</v>
      </c>
      <c r="P1031" s="39">
        <v>969.00199999999995</v>
      </c>
      <c r="Q1031" s="39">
        <v>66</v>
      </c>
      <c r="R1031" s="39">
        <v>21.4</v>
      </c>
    </row>
    <row r="1032" spans="1:18" x14ac:dyDescent="0.25">
      <c r="A1032" s="1" t="s">
        <v>411</v>
      </c>
      <c r="B1032" s="2" t="s">
        <v>413</v>
      </c>
      <c r="C1032" s="19">
        <v>39</v>
      </c>
      <c r="D1032" s="3" t="s">
        <v>496</v>
      </c>
      <c r="E1032" s="4" t="s">
        <v>31</v>
      </c>
      <c r="F1032" s="23">
        <v>169026</v>
      </c>
      <c r="G1032" s="35">
        <v>2011</v>
      </c>
      <c r="H1032">
        <f>Table_8[[#This Row],[Listing Price (USD)]]/10000</f>
        <v>16.9026</v>
      </c>
      <c r="I1032">
        <f>Table_8[[#This Row],[Length 
(ft)]]</f>
        <v>39</v>
      </c>
      <c r="J1032" s="37">
        <f>2020-Table_8[[#This Row],[Year]]</f>
        <v>9</v>
      </c>
      <c r="K1032">
        <v>57472012426.685303</v>
      </c>
      <c r="L1032">
        <v>14198.753959474399</v>
      </c>
      <c r="M1032">
        <v>0.15481137456202801</v>
      </c>
      <c r="N1032">
        <v>-8.5803430210621805</v>
      </c>
      <c r="O1032" s="39">
        <v>38.78</v>
      </c>
      <c r="P1032" s="39">
        <v>726.00199999999995</v>
      </c>
      <c r="Q1032" s="39">
        <v>300</v>
      </c>
      <c r="R1032" s="39">
        <v>22.15</v>
      </c>
    </row>
    <row r="1033" spans="1:18" x14ac:dyDescent="0.25">
      <c r="A1033" s="1" t="s">
        <v>411</v>
      </c>
      <c r="B1033" s="2" t="s">
        <v>413</v>
      </c>
      <c r="C1033" s="19">
        <v>40</v>
      </c>
      <c r="D1033" s="3" t="s">
        <v>497</v>
      </c>
      <c r="E1033" s="3" t="s">
        <v>511</v>
      </c>
      <c r="F1033" s="23">
        <v>194008</v>
      </c>
      <c r="G1033" s="35">
        <v>2009</v>
      </c>
      <c r="H1033">
        <f>Table_8[[#This Row],[Listing Price (USD)]]/10000</f>
        <v>19.4008</v>
      </c>
      <c r="I1033">
        <f>Table_8[[#This Row],[Length 
(ft)]]</f>
        <v>40</v>
      </c>
      <c r="J1033" s="37">
        <f>2020-Table_8[[#This Row],[Year]]</f>
        <v>11</v>
      </c>
      <c r="K1033">
        <v>2080000000</v>
      </c>
      <c r="L1033">
        <v>5266.8761600421303</v>
      </c>
      <c r="M1033">
        <v>0.12143464461495999</v>
      </c>
      <c r="N1033">
        <v>-13.4029590948651</v>
      </c>
      <c r="O1033" s="39">
        <v>38.78</v>
      </c>
      <c r="P1033" s="39">
        <v>726.00199999999995</v>
      </c>
      <c r="Q1033" s="39">
        <v>300</v>
      </c>
      <c r="R1033" s="39">
        <v>22.15</v>
      </c>
    </row>
    <row r="1034" spans="1:18" x14ac:dyDescent="0.25">
      <c r="A1034" s="1" t="s">
        <v>411</v>
      </c>
      <c r="B1034" s="2" t="s">
        <v>413</v>
      </c>
      <c r="C1034" s="19">
        <v>39</v>
      </c>
      <c r="D1034" s="3" t="s">
        <v>496</v>
      </c>
      <c r="E1034" s="4" t="s">
        <v>31</v>
      </c>
      <c r="F1034" s="23">
        <v>194562</v>
      </c>
      <c r="G1034" s="35">
        <v>2011</v>
      </c>
      <c r="H1034">
        <f>Table_8[[#This Row],[Listing Price (USD)]]/10000</f>
        <v>19.456199999999999</v>
      </c>
      <c r="I1034">
        <f>Table_8[[#This Row],[Length 
(ft)]]</f>
        <v>39</v>
      </c>
      <c r="J1034" s="37">
        <f>2020-Table_8[[#This Row],[Year]]</f>
        <v>9</v>
      </c>
      <c r="K1034">
        <v>57472012426.685303</v>
      </c>
      <c r="L1034">
        <v>14198.753959474399</v>
      </c>
      <c r="M1034">
        <v>0.15481137456202801</v>
      </c>
      <c r="N1034">
        <v>-8.5803430210621805</v>
      </c>
      <c r="O1034" s="39">
        <v>38.78</v>
      </c>
      <c r="P1034" s="39">
        <v>726.00199999999995</v>
      </c>
      <c r="Q1034" s="39">
        <v>300</v>
      </c>
      <c r="R1034" s="39">
        <v>22.15</v>
      </c>
    </row>
    <row r="1035" spans="1:18" x14ac:dyDescent="0.25">
      <c r="A1035" s="1" t="s">
        <v>411</v>
      </c>
      <c r="B1035" s="3" t="s">
        <v>413</v>
      </c>
      <c r="C1035" s="19">
        <v>39</v>
      </c>
      <c r="D1035" s="3" t="s">
        <v>497</v>
      </c>
      <c r="E1035" s="3" t="s">
        <v>483</v>
      </c>
      <c r="F1035" s="23">
        <v>218725</v>
      </c>
      <c r="G1035" s="35">
        <v>2011</v>
      </c>
      <c r="H1035">
        <f>Table_8[[#This Row],[Listing Price (USD)]]/10000</f>
        <v>21.872499999999999</v>
      </c>
      <c r="I1035">
        <f>Table_8[[#This Row],[Length 
(ft)]]</f>
        <v>39</v>
      </c>
      <c r="J1035" s="37">
        <f>2020-Table_8[[#This Row],[Year]]</f>
        <v>9</v>
      </c>
      <c r="K1035">
        <v>4200000000</v>
      </c>
      <c r="L1035">
        <v>39553.199999999997</v>
      </c>
      <c r="M1035">
        <v>2.5</v>
      </c>
      <c r="N1035">
        <v>-2.1</v>
      </c>
      <c r="O1035" s="39">
        <v>38.78</v>
      </c>
      <c r="P1035" s="39">
        <v>726.00199999999995</v>
      </c>
      <c r="Q1035" s="39">
        <v>300</v>
      </c>
      <c r="R1035" s="39">
        <v>22.15</v>
      </c>
    </row>
    <row r="1036" spans="1:18" x14ac:dyDescent="0.25">
      <c r="A1036" s="1" t="s">
        <v>411</v>
      </c>
      <c r="B1036" s="2" t="s">
        <v>413</v>
      </c>
      <c r="C1036" s="19">
        <v>39</v>
      </c>
      <c r="D1036" s="3" t="s">
        <v>496</v>
      </c>
      <c r="E1036" s="4" t="s">
        <v>3</v>
      </c>
      <c r="F1036" s="23">
        <v>218882</v>
      </c>
      <c r="G1036" s="35">
        <v>2010</v>
      </c>
      <c r="H1036">
        <f>Table_8[[#This Row],[Listing Price (USD)]]/10000</f>
        <v>21.888200000000001</v>
      </c>
      <c r="I1036">
        <f>Table_8[[#This Row],[Length 
(ft)]]</f>
        <v>39</v>
      </c>
      <c r="J1036" s="37">
        <f>2020-Table_8[[#This Row],[Year]]</f>
        <v>10</v>
      </c>
      <c r="K1036">
        <v>2639008701648.2598</v>
      </c>
      <c r="L1036">
        <v>39055.282928075401</v>
      </c>
      <c r="M1036">
        <v>0.47649885272508302</v>
      </c>
      <c r="N1036">
        <v>-7.7845864916787102</v>
      </c>
      <c r="O1036" s="39">
        <v>38.78</v>
      </c>
      <c r="P1036" s="39">
        <v>726.00199999999995</v>
      </c>
      <c r="Q1036" s="39">
        <v>300</v>
      </c>
      <c r="R1036" s="39">
        <v>22.15</v>
      </c>
    </row>
    <row r="1037" spans="1:18" x14ac:dyDescent="0.25">
      <c r="A1037" s="1" t="s">
        <v>411</v>
      </c>
      <c r="B1037" s="2" t="s">
        <v>413</v>
      </c>
      <c r="C1037" s="19">
        <v>39</v>
      </c>
      <c r="D1037" s="3" t="s">
        <v>497</v>
      </c>
      <c r="E1037" s="3" t="s">
        <v>483</v>
      </c>
      <c r="F1037" s="23">
        <v>234982</v>
      </c>
      <c r="G1037" s="35">
        <v>2014</v>
      </c>
      <c r="H1037">
        <f>Table_8[[#This Row],[Listing Price (USD)]]/10000</f>
        <v>23.498200000000001</v>
      </c>
      <c r="I1037">
        <f>Table_8[[#This Row],[Length 
(ft)]]</f>
        <v>39</v>
      </c>
      <c r="J1037" s="37">
        <f>2020-Table_8[[#This Row],[Year]]</f>
        <v>6</v>
      </c>
      <c r="K1037">
        <v>4200000000</v>
      </c>
      <c r="L1037">
        <v>39553.199999999997</v>
      </c>
      <c r="M1037">
        <v>2.5</v>
      </c>
      <c r="N1037">
        <v>-2.1</v>
      </c>
      <c r="O1037" s="39">
        <v>38.78</v>
      </c>
      <c r="P1037" s="39">
        <v>726.00199999999995</v>
      </c>
      <c r="Q1037" s="39">
        <v>300</v>
      </c>
      <c r="R1037" s="39">
        <v>22.15</v>
      </c>
    </row>
    <row r="1038" spans="1:18" x14ac:dyDescent="0.25">
      <c r="A1038" s="1" t="s">
        <v>411</v>
      </c>
      <c r="B1038" s="3" t="s">
        <v>413</v>
      </c>
      <c r="C1038" s="19">
        <v>39</v>
      </c>
      <c r="D1038" s="3" t="s">
        <v>497</v>
      </c>
      <c r="E1038" s="3" t="s">
        <v>483</v>
      </c>
      <c r="F1038" s="23">
        <v>235251</v>
      </c>
      <c r="G1038" s="35">
        <v>2014</v>
      </c>
      <c r="H1038">
        <f>Table_8[[#This Row],[Listing Price (USD)]]/10000</f>
        <v>23.525099999999998</v>
      </c>
      <c r="I1038">
        <f>Table_8[[#This Row],[Length 
(ft)]]</f>
        <v>39</v>
      </c>
      <c r="J1038" s="37">
        <f>2020-Table_8[[#This Row],[Year]]</f>
        <v>6</v>
      </c>
      <c r="K1038">
        <v>4200000000</v>
      </c>
      <c r="L1038">
        <v>39553.199999999997</v>
      </c>
      <c r="M1038">
        <v>2.5</v>
      </c>
      <c r="N1038">
        <v>-2.1</v>
      </c>
      <c r="O1038" s="39">
        <v>38.78</v>
      </c>
      <c r="P1038" s="39">
        <v>726.00199999999995</v>
      </c>
      <c r="Q1038" s="39">
        <v>300</v>
      </c>
      <c r="R1038" s="39">
        <v>22.15</v>
      </c>
    </row>
    <row r="1039" spans="1:18" x14ac:dyDescent="0.25">
      <c r="A1039" s="1" t="s">
        <v>411</v>
      </c>
      <c r="B1039" s="2" t="s">
        <v>413</v>
      </c>
      <c r="C1039" s="19">
        <v>39</v>
      </c>
      <c r="D1039" s="3" t="s">
        <v>496</v>
      </c>
      <c r="E1039" s="4" t="s">
        <v>31</v>
      </c>
      <c r="F1039" s="23">
        <v>265811</v>
      </c>
      <c r="G1039" s="35">
        <v>2013</v>
      </c>
      <c r="H1039">
        <f>Table_8[[#This Row],[Listing Price (USD)]]/10000</f>
        <v>26.581099999999999</v>
      </c>
      <c r="I1039">
        <f>Table_8[[#This Row],[Length 
(ft)]]</f>
        <v>39</v>
      </c>
      <c r="J1039" s="37">
        <f>2020-Table_8[[#This Row],[Year]]</f>
        <v>7</v>
      </c>
      <c r="K1039">
        <v>57472012426.685303</v>
      </c>
      <c r="L1039">
        <v>14198.753959474399</v>
      </c>
      <c r="M1039">
        <v>0.15481137456202801</v>
      </c>
      <c r="N1039">
        <v>-8.5803430210621805</v>
      </c>
      <c r="O1039" s="39">
        <v>38.78</v>
      </c>
      <c r="P1039" s="39">
        <v>726.00199999999995</v>
      </c>
      <c r="Q1039" s="39">
        <v>300</v>
      </c>
      <c r="R1039" s="39">
        <v>22.15</v>
      </c>
    </row>
    <row r="1040" spans="1:18" x14ac:dyDescent="0.25">
      <c r="A1040" s="1" t="s">
        <v>411</v>
      </c>
      <c r="B1040" s="2" t="s">
        <v>413</v>
      </c>
      <c r="C1040" s="19">
        <v>39</v>
      </c>
      <c r="D1040" s="3" t="s">
        <v>496</v>
      </c>
      <c r="E1040" s="4" t="s">
        <v>63</v>
      </c>
      <c r="F1040" s="23">
        <v>266761</v>
      </c>
      <c r="G1040" s="35">
        <v>2011</v>
      </c>
      <c r="H1040">
        <f>Table_8[[#This Row],[Listing Price (USD)]]/10000</f>
        <v>26.676100000000002</v>
      </c>
      <c r="I1040">
        <f>Table_8[[#This Row],[Length 
(ft)]]</f>
        <v>39</v>
      </c>
      <c r="J1040" s="37">
        <f>2020-Table_8[[#This Row],[Year]]</f>
        <v>9</v>
      </c>
      <c r="K1040">
        <v>720290000000</v>
      </c>
      <c r="L1040">
        <v>13341.6</v>
      </c>
      <c r="M1040">
        <v>13</v>
      </c>
      <c r="N1040">
        <v>-3</v>
      </c>
      <c r="O1040" s="39">
        <v>38.78</v>
      </c>
      <c r="P1040" s="39">
        <v>726.00199999999995</v>
      </c>
      <c r="Q1040" s="39">
        <v>300</v>
      </c>
      <c r="R1040" s="39">
        <v>22.15</v>
      </c>
    </row>
    <row r="1041" spans="1:18" x14ac:dyDescent="0.25">
      <c r="A1041" s="1" t="s">
        <v>411</v>
      </c>
      <c r="B1041" s="2" t="s">
        <v>413</v>
      </c>
      <c r="C1041" s="19">
        <v>39</v>
      </c>
      <c r="D1041" s="3" t="s">
        <v>496</v>
      </c>
      <c r="E1041" s="4" t="s">
        <v>63</v>
      </c>
      <c r="F1041" s="23">
        <v>266761</v>
      </c>
      <c r="G1041" s="35">
        <v>2011</v>
      </c>
      <c r="H1041">
        <f>Table_8[[#This Row],[Listing Price (USD)]]/10000</f>
        <v>26.676100000000002</v>
      </c>
      <c r="I1041">
        <f>Table_8[[#This Row],[Length 
(ft)]]</f>
        <v>39</v>
      </c>
      <c r="J1041" s="37">
        <f>2020-Table_8[[#This Row],[Year]]</f>
        <v>9</v>
      </c>
      <c r="K1041">
        <v>720290000000</v>
      </c>
      <c r="L1041">
        <v>13341.6</v>
      </c>
      <c r="M1041">
        <v>13</v>
      </c>
      <c r="N1041">
        <v>-3</v>
      </c>
      <c r="O1041" s="39">
        <v>38.78</v>
      </c>
      <c r="P1041" s="39">
        <v>726.00199999999995</v>
      </c>
      <c r="Q1041" s="39">
        <v>300</v>
      </c>
      <c r="R1041" s="39">
        <v>22.15</v>
      </c>
    </row>
    <row r="1042" spans="1:18" x14ac:dyDescent="0.25">
      <c r="A1042" s="1" t="s">
        <v>411</v>
      </c>
      <c r="B1042" s="2" t="s">
        <v>413</v>
      </c>
      <c r="C1042" s="19">
        <v>39</v>
      </c>
      <c r="D1042" s="3" t="s">
        <v>497</v>
      </c>
      <c r="E1042" s="3" t="s">
        <v>483</v>
      </c>
      <c r="F1042" s="23">
        <v>267025</v>
      </c>
      <c r="G1042" s="35">
        <v>2015</v>
      </c>
      <c r="H1042">
        <f>Table_8[[#This Row],[Listing Price (USD)]]/10000</f>
        <v>26.702500000000001</v>
      </c>
      <c r="I1042">
        <f>Table_8[[#This Row],[Length 
(ft)]]</f>
        <v>39</v>
      </c>
      <c r="J1042" s="37">
        <f>2020-Table_8[[#This Row],[Year]]</f>
        <v>5</v>
      </c>
      <c r="K1042">
        <v>4200000000</v>
      </c>
      <c r="L1042">
        <v>39553.199999999997</v>
      </c>
      <c r="M1042">
        <v>2.5</v>
      </c>
      <c r="N1042">
        <v>-2.1</v>
      </c>
      <c r="O1042" s="39">
        <v>38.78</v>
      </c>
      <c r="P1042" s="39">
        <v>726.00199999999995</v>
      </c>
      <c r="Q1042" s="39">
        <v>300</v>
      </c>
      <c r="R1042" s="39">
        <v>22.15</v>
      </c>
    </row>
    <row r="1043" spans="1:18" x14ac:dyDescent="0.25">
      <c r="A1043" s="1" t="s">
        <v>411</v>
      </c>
      <c r="B1043" s="2" t="s">
        <v>413</v>
      </c>
      <c r="C1043" s="19">
        <v>39</v>
      </c>
      <c r="D1043" s="3" t="s">
        <v>496</v>
      </c>
      <c r="E1043" s="4" t="s">
        <v>63</v>
      </c>
      <c r="F1043" s="23">
        <v>267522</v>
      </c>
      <c r="G1043" s="35">
        <v>2011</v>
      </c>
      <c r="H1043">
        <f>Table_8[[#This Row],[Listing Price (USD)]]/10000</f>
        <v>26.752199999999998</v>
      </c>
      <c r="I1043">
        <f>Table_8[[#This Row],[Length 
(ft)]]</f>
        <v>39</v>
      </c>
      <c r="J1043" s="37">
        <f>2020-Table_8[[#This Row],[Year]]</f>
        <v>9</v>
      </c>
      <c r="K1043">
        <v>720290000000</v>
      </c>
      <c r="L1043">
        <v>13341.6</v>
      </c>
      <c r="M1043">
        <v>13</v>
      </c>
      <c r="N1043">
        <v>-3</v>
      </c>
      <c r="O1043" s="39">
        <v>38.78</v>
      </c>
      <c r="P1043" s="39">
        <v>726.00199999999995</v>
      </c>
      <c r="Q1043" s="39">
        <v>300</v>
      </c>
      <c r="R1043" s="39">
        <v>22.15</v>
      </c>
    </row>
    <row r="1044" spans="1:18" x14ac:dyDescent="0.25">
      <c r="A1044" s="1" t="s">
        <v>411</v>
      </c>
      <c r="B1044" s="2" t="s">
        <v>413</v>
      </c>
      <c r="C1044" s="19">
        <v>39</v>
      </c>
      <c r="D1044" s="3" t="s">
        <v>496</v>
      </c>
      <c r="E1044" s="4" t="s">
        <v>24</v>
      </c>
      <c r="F1044" s="23">
        <v>267522</v>
      </c>
      <c r="G1044" s="35">
        <v>2014</v>
      </c>
      <c r="H1044">
        <f>Table_8[[#This Row],[Listing Price (USD)]]/10000</f>
        <v>26.752199999999998</v>
      </c>
      <c r="I1044">
        <f>Table_8[[#This Row],[Length 
(ft)]]</f>
        <v>39</v>
      </c>
      <c r="J1044" s="37">
        <f>2020-Table_8[[#This Row],[Year]]</f>
        <v>6</v>
      </c>
      <c r="K1044">
        <v>1896755301518.1399</v>
      </c>
      <c r="L1044">
        <v>31911.0357890017</v>
      </c>
      <c r="M1044">
        <v>-0.13770757391656999</v>
      </c>
      <c r="N1044">
        <v>-9.0399534112288507</v>
      </c>
      <c r="O1044" s="39">
        <v>38.78</v>
      </c>
      <c r="P1044" s="39">
        <v>726.00199999999995</v>
      </c>
      <c r="Q1044" s="39">
        <v>300</v>
      </c>
      <c r="R1044" s="39">
        <v>22.15</v>
      </c>
    </row>
    <row r="1045" spans="1:18" x14ac:dyDescent="0.25">
      <c r="A1045" s="1" t="s">
        <v>411</v>
      </c>
      <c r="B1045" s="2" t="s">
        <v>413</v>
      </c>
      <c r="C1045" s="19">
        <v>39</v>
      </c>
      <c r="D1045" s="3" t="s">
        <v>496</v>
      </c>
      <c r="E1045" s="4" t="s">
        <v>237</v>
      </c>
      <c r="F1045" s="23">
        <v>278887</v>
      </c>
      <c r="G1045" s="35">
        <v>2010</v>
      </c>
      <c r="H1045">
        <f>Table_8[[#This Row],[Listing Price (USD)]]/10000</f>
        <v>27.8887</v>
      </c>
      <c r="I1045">
        <f>Table_8[[#This Row],[Length 
(ft)]]</f>
        <v>39</v>
      </c>
      <c r="J1045" s="37">
        <f>2020-Table_8[[#This Row],[Year]]</f>
        <v>10</v>
      </c>
      <c r="K1045">
        <v>229031860520.77701</v>
      </c>
      <c r="L1045">
        <v>22242.406417972001</v>
      </c>
      <c r="M1045">
        <v>-1.2438329957616699E-2</v>
      </c>
      <c r="N1045">
        <v>-8.3005160422115107</v>
      </c>
      <c r="O1045" s="39">
        <v>38.78</v>
      </c>
      <c r="P1045" s="39">
        <v>726.00199999999995</v>
      </c>
      <c r="Q1045" s="39">
        <v>300</v>
      </c>
      <c r="R1045" s="39">
        <v>22.15</v>
      </c>
    </row>
    <row r="1046" spans="1:18" x14ac:dyDescent="0.25">
      <c r="A1046" s="1" t="s">
        <v>411</v>
      </c>
      <c r="B1046" s="2" t="s">
        <v>413</v>
      </c>
      <c r="C1046" s="19">
        <v>39</v>
      </c>
      <c r="D1046" s="3" t="s">
        <v>497</v>
      </c>
      <c r="E1046" s="3" t="s">
        <v>483</v>
      </c>
      <c r="F1046" s="23">
        <v>297369</v>
      </c>
      <c r="G1046" s="35">
        <v>2010</v>
      </c>
      <c r="H1046">
        <f>Table_8[[#This Row],[Listing Price (USD)]]/10000</f>
        <v>29.736899999999999</v>
      </c>
      <c r="I1046">
        <f>Table_8[[#This Row],[Length 
(ft)]]</f>
        <v>39</v>
      </c>
      <c r="J1046" s="37">
        <f>2020-Table_8[[#This Row],[Year]]</f>
        <v>10</v>
      </c>
      <c r="K1046">
        <v>4200000000</v>
      </c>
      <c r="L1046">
        <v>39553.199999999997</v>
      </c>
      <c r="M1046">
        <v>2.5</v>
      </c>
      <c r="N1046">
        <v>-2.1</v>
      </c>
      <c r="O1046" s="39">
        <v>38.78</v>
      </c>
      <c r="P1046" s="39">
        <v>726.00199999999995</v>
      </c>
      <c r="Q1046" s="39">
        <v>300</v>
      </c>
      <c r="R1046" s="39">
        <v>22.15</v>
      </c>
    </row>
    <row r="1047" spans="1:18" x14ac:dyDescent="0.25">
      <c r="A1047" s="1" t="s">
        <v>411</v>
      </c>
      <c r="B1047" s="3" t="s">
        <v>413</v>
      </c>
      <c r="C1047" s="19">
        <v>39</v>
      </c>
      <c r="D1047" s="3" t="s">
        <v>497</v>
      </c>
      <c r="E1047" s="3" t="s">
        <v>483</v>
      </c>
      <c r="F1047" s="23">
        <v>297709</v>
      </c>
      <c r="G1047" s="35">
        <v>2010</v>
      </c>
      <c r="H1047">
        <f>Table_8[[#This Row],[Listing Price (USD)]]/10000</f>
        <v>29.770900000000001</v>
      </c>
      <c r="I1047">
        <f>Table_8[[#This Row],[Length 
(ft)]]</f>
        <v>39</v>
      </c>
      <c r="J1047" s="37">
        <f>2020-Table_8[[#This Row],[Year]]</f>
        <v>10</v>
      </c>
      <c r="K1047">
        <v>4200000000</v>
      </c>
      <c r="L1047">
        <v>39553.199999999997</v>
      </c>
      <c r="M1047">
        <v>2.5</v>
      </c>
      <c r="N1047">
        <v>-2.1</v>
      </c>
      <c r="O1047" s="39">
        <v>38.78</v>
      </c>
      <c r="P1047" s="39">
        <v>726.00199999999995</v>
      </c>
      <c r="Q1047" s="39">
        <v>300</v>
      </c>
      <c r="R1047" s="39">
        <v>22.15</v>
      </c>
    </row>
    <row r="1048" spans="1:18" x14ac:dyDescent="0.25">
      <c r="A1048" s="1" t="s">
        <v>411</v>
      </c>
      <c r="B1048" s="2" t="s">
        <v>413</v>
      </c>
      <c r="C1048" s="19">
        <v>39</v>
      </c>
      <c r="D1048" s="3" t="s">
        <v>496</v>
      </c>
      <c r="E1048" s="3" t="s">
        <v>56</v>
      </c>
      <c r="F1048" s="23">
        <v>302787</v>
      </c>
      <c r="G1048" s="35">
        <v>2011</v>
      </c>
      <c r="H1048">
        <f>Table_8[[#This Row],[Listing Price (USD)]]/10000</f>
        <v>30.278700000000001</v>
      </c>
      <c r="I1048">
        <f>Table_8[[#This Row],[Length 
(ft)]]</f>
        <v>39</v>
      </c>
      <c r="J1048" s="37">
        <f>2020-Table_8[[#This Row],[Year]]</f>
        <v>9</v>
      </c>
      <c r="K1048">
        <v>14933066818.9606</v>
      </c>
      <c r="L1048">
        <v>28977.565567363599</v>
      </c>
      <c r="M1048">
        <v>0.63854495677665302</v>
      </c>
      <c r="N1048">
        <v>-8.3242832319722009</v>
      </c>
      <c r="O1048" s="39">
        <v>38.78</v>
      </c>
      <c r="P1048" s="39">
        <v>726.00199999999995</v>
      </c>
      <c r="Q1048" s="39">
        <v>300</v>
      </c>
      <c r="R1048" s="39">
        <v>22.15</v>
      </c>
    </row>
    <row r="1049" spans="1:18" x14ac:dyDescent="0.25">
      <c r="A1049" s="1" t="s">
        <v>411</v>
      </c>
      <c r="B1049" s="2" t="s">
        <v>413</v>
      </c>
      <c r="C1049" s="19">
        <v>39</v>
      </c>
      <c r="D1049" s="3" t="s">
        <v>497</v>
      </c>
      <c r="E1049" s="3" t="s">
        <v>513</v>
      </c>
      <c r="F1049" s="23">
        <v>315000</v>
      </c>
      <c r="G1049" s="35">
        <v>2012</v>
      </c>
      <c r="H1049">
        <f>Table_8[[#This Row],[Listing Price (USD)]]/10000</f>
        <v>31.5</v>
      </c>
      <c r="I1049">
        <f>Table_8[[#This Row],[Length 
(ft)]]</f>
        <v>39</v>
      </c>
      <c r="J1049" s="37">
        <f>2020-Table_8[[#This Row],[Year]]</f>
        <v>8</v>
      </c>
      <c r="K1049">
        <v>77625486978.256104</v>
      </c>
      <c r="L1049">
        <v>4604.5766789786403</v>
      </c>
      <c r="M1049">
        <v>3.21444062197346</v>
      </c>
      <c r="N1049">
        <v>-1.76408292563957</v>
      </c>
      <c r="O1049" s="39">
        <v>38.78</v>
      </c>
      <c r="P1049" s="39">
        <v>726.00199999999995</v>
      </c>
      <c r="Q1049" s="39">
        <v>300</v>
      </c>
      <c r="R1049" s="39">
        <v>22.15</v>
      </c>
    </row>
    <row r="1050" spans="1:18" x14ac:dyDescent="0.25">
      <c r="A1050" s="1" t="s">
        <v>411</v>
      </c>
      <c r="B1050" s="2" t="s">
        <v>413</v>
      </c>
      <c r="C1050" s="19">
        <v>39</v>
      </c>
      <c r="D1050" s="3" t="s">
        <v>496</v>
      </c>
      <c r="E1050" s="4" t="s">
        <v>3</v>
      </c>
      <c r="F1050" s="23">
        <v>328323</v>
      </c>
      <c r="G1050" s="35">
        <v>2013</v>
      </c>
      <c r="H1050">
        <f>Table_8[[#This Row],[Listing Price (USD)]]/10000</f>
        <v>32.832299999999996</v>
      </c>
      <c r="I1050">
        <f>Table_8[[#This Row],[Length 
(ft)]]</f>
        <v>39</v>
      </c>
      <c r="J1050" s="37">
        <f>2020-Table_8[[#This Row],[Year]]</f>
        <v>7</v>
      </c>
      <c r="K1050">
        <v>2639008701648.2598</v>
      </c>
      <c r="L1050">
        <v>39055.282928075401</v>
      </c>
      <c r="M1050">
        <v>0.47649885272508302</v>
      </c>
      <c r="N1050">
        <v>-7.7845864916787102</v>
      </c>
      <c r="O1050" s="39">
        <v>38.78</v>
      </c>
      <c r="P1050" s="39">
        <v>726.00199999999995</v>
      </c>
      <c r="Q1050" s="39">
        <v>300</v>
      </c>
      <c r="R1050" s="39">
        <v>22.15</v>
      </c>
    </row>
    <row r="1051" spans="1:18" x14ac:dyDescent="0.25">
      <c r="A1051" s="1" t="s">
        <v>411</v>
      </c>
      <c r="B1051" s="2" t="s">
        <v>413</v>
      </c>
      <c r="C1051" s="19">
        <v>39</v>
      </c>
      <c r="D1051" s="3" t="s">
        <v>496</v>
      </c>
      <c r="E1051" s="4" t="s">
        <v>31</v>
      </c>
      <c r="F1051" s="23">
        <v>342763</v>
      </c>
      <c r="G1051" s="35">
        <v>2013</v>
      </c>
      <c r="H1051">
        <f>Table_8[[#This Row],[Listing Price (USD)]]/10000</f>
        <v>34.276299999999999</v>
      </c>
      <c r="I1051">
        <f>Table_8[[#This Row],[Length 
(ft)]]</f>
        <v>39</v>
      </c>
      <c r="J1051" s="37">
        <f>2020-Table_8[[#This Row],[Year]]</f>
        <v>7</v>
      </c>
      <c r="K1051">
        <v>57472012426.685303</v>
      </c>
      <c r="L1051">
        <v>14198.753959474399</v>
      </c>
      <c r="M1051">
        <v>0.15481137456202801</v>
      </c>
      <c r="N1051">
        <v>-8.5803430210621805</v>
      </c>
      <c r="O1051" s="39">
        <v>38.78</v>
      </c>
      <c r="P1051" s="39">
        <v>726.00199999999995</v>
      </c>
      <c r="Q1051" s="39">
        <v>300</v>
      </c>
      <c r="R1051" s="39">
        <v>22.15</v>
      </c>
    </row>
    <row r="1052" spans="1:18" x14ac:dyDescent="0.25">
      <c r="A1052" s="1" t="s">
        <v>411</v>
      </c>
      <c r="B1052" s="2" t="s">
        <v>413</v>
      </c>
      <c r="C1052" s="19">
        <v>39</v>
      </c>
      <c r="D1052" s="3" t="s">
        <v>497</v>
      </c>
      <c r="E1052" s="3" t="s">
        <v>392</v>
      </c>
      <c r="F1052" s="23">
        <v>345000</v>
      </c>
      <c r="G1052" s="35">
        <v>2014</v>
      </c>
      <c r="H1052">
        <f>Table_8[[#This Row],[Listing Price (USD)]]/10000</f>
        <v>34.5</v>
      </c>
      <c r="I1052">
        <f>Table_8[[#This Row],[Length 
(ft)]]</f>
        <v>39</v>
      </c>
      <c r="J1052" s="37">
        <f>2020-Table_8[[#This Row],[Year]]</f>
        <v>6</v>
      </c>
      <c r="K1052">
        <v>1043414814.81481</v>
      </c>
      <c r="L1052">
        <v>8437.5667322870595</v>
      </c>
      <c r="M1052">
        <v>-0.74073259704550098</v>
      </c>
      <c r="N1052">
        <v>-13.7559294530644</v>
      </c>
      <c r="O1052" s="39">
        <v>38.78</v>
      </c>
      <c r="P1052" s="39">
        <v>726.00199999999995</v>
      </c>
      <c r="Q1052" s="39">
        <v>300</v>
      </c>
      <c r="R1052" s="39">
        <v>22.15</v>
      </c>
    </row>
    <row r="1053" spans="1:18" x14ac:dyDescent="0.25">
      <c r="A1053" s="1" t="s">
        <v>411</v>
      </c>
      <c r="B1053" s="2" t="s">
        <v>413</v>
      </c>
      <c r="C1053" s="19">
        <v>39</v>
      </c>
      <c r="D1053" s="3" t="s">
        <v>496</v>
      </c>
      <c r="E1053" s="4" t="s">
        <v>24</v>
      </c>
      <c r="F1053" s="23">
        <v>346563</v>
      </c>
      <c r="G1053" s="35">
        <v>2011</v>
      </c>
      <c r="H1053">
        <f>Table_8[[#This Row],[Listing Price (USD)]]/10000</f>
        <v>34.656300000000002</v>
      </c>
      <c r="I1053">
        <f>Table_8[[#This Row],[Length 
(ft)]]</f>
        <v>39</v>
      </c>
      <c r="J1053" s="37">
        <f>2020-Table_8[[#This Row],[Year]]</f>
        <v>9</v>
      </c>
      <c r="K1053">
        <v>1896755301518.1399</v>
      </c>
      <c r="L1053">
        <v>31911.0357890017</v>
      </c>
      <c r="M1053">
        <v>-0.13770757391656999</v>
      </c>
      <c r="N1053">
        <v>-9.0399534112288507</v>
      </c>
      <c r="O1053" s="39">
        <v>38.78</v>
      </c>
      <c r="P1053" s="39">
        <v>726.00199999999995</v>
      </c>
      <c r="Q1053" s="39">
        <v>300</v>
      </c>
      <c r="R1053" s="39">
        <v>22.15</v>
      </c>
    </row>
    <row r="1054" spans="1:18" x14ac:dyDescent="0.25">
      <c r="A1054" s="1" t="s">
        <v>411</v>
      </c>
      <c r="B1054" s="2" t="s">
        <v>415</v>
      </c>
      <c r="C1054" s="19">
        <v>39</v>
      </c>
      <c r="D1054" s="3" t="s">
        <v>496</v>
      </c>
      <c r="E1054" s="4" t="s">
        <v>31</v>
      </c>
      <c r="F1054" s="23">
        <v>363765</v>
      </c>
      <c r="G1054" s="35">
        <v>2016</v>
      </c>
      <c r="H1054">
        <f>Table_8[[#This Row],[Listing Price (USD)]]/10000</f>
        <v>36.3765</v>
      </c>
      <c r="I1054">
        <f>Table_8[[#This Row],[Length 
(ft)]]</f>
        <v>39</v>
      </c>
      <c r="J1054" s="37">
        <f>2020-Table_8[[#This Row],[Year]]</f>
        <v>4</v>
      </c>
      <c r="K1054">
        <v>57472012426.685303</v>
      </c>
      <c r="L1054">
        <v>14198.753959474399</v>
      </c>
      <c r="M1054">
        <v>0.15481137456202801</v>
      </c>
      <c r="N1054">
        <v>-8.5803430210621805</v>
      </c>
      <c r="O1054" s="39">
        <v>38.479999999999997</v>
      </c>
      <c r="P1054" s="39">
        <v>624.00199999999995</v>
      </c>
      <c r="Q1054" s="39">
        <v>79</v>
      </c>
      <c r="R1054" s="39">
        <v>21.69</v>
      </c>
    </row>
    <row r="1055" spans="1:18" x14ac:dyDescent="0.25">
      <c r="A1055" s="1" t="s">
        <v>411</v>
      </c>
      <c r="B1055" s="2" t="s">
        <v>415</v>
      </c>
      <c r="C1055" s="19">
        <v>39</v>
      </c>
      <c r="D1055" s="3" t="s">
        <v>496</v>
      </c>
      <c r="E1055" s="4" t="s">
        <v>31</v>
      </c>
      <c r="F1055" s="23">
        <v>363765</v>
      </c>
      <c r="G1055" s="35">
        <v>2017</v>
      </c>
      <c r="H1055">
        <f>Table_8[[#This Row],[Listing Price (USD)]]/10000</f>
        <v>36.3765</v>
      </c>
      <c r="I1055">
        <f>Table_8[[#This Row],[Length 
(ft)]]</f>
        <v>39</v>
      </c>
      <c r="J1055" s="37">
        <f>2020-Table_8[[#This Row],[Year]]</f>
        <v>3</v>
      </c>
      <c r="K1055">
        <v>57472012426.685303</v>
      </c>
      <c r="L1055">
        <v>14198.753959474399</v>
      </c>
      <c r="M1055">
        <v>0.15481137456202801</v>
      </c>
      <c r="N1055">
        <v>-8.5803430210621805</v>
      </c>
      <c r="O1055" s="39">
        <v>38.479999999999997</v>
      </c>
      <c r="P1055" s="39">
        <v>624.00199999999995</v>
      </c>
      <c r="Q1055" s="39">
        <v>79</v>
      </c>
      <c r="R1055" s="39">
        <v>21.69</v>
      </c>
    </row>
    <row r="1056" spans="1:18" x14ac:dyDescent="0.25">
      <c r="A1056" s="1" t="s">
        <v>411</v>
      </c>
      <c r="B1056" s="2" t="s">
        <v>415</v>
      </c>
      <c r="C1056" s="19">
        <v>39</v>
      </c>
      <c r="D1056" s="3" t="s">
        <v>496</v>
      </c>
      <c r="E1056" s="4" t="s">
        <v>31</v>
      </c>
      <c r="F1056" s="23">
        <v>363765</v>
      </c>
      <c r="G1056" s="35">
        <v>2017</v>
      </c>
      <c r="H1056">
        <f>Table_8[[#This Row],[Listing Price (USD)]]/10000</f>
        <v>36.3765</v>
      </c>
      <c r="I1056">
        <f>Table_8[[#This Row],[Length 
(ft)]]</f>
        <v>39</v>
      </c>
      <c r="J1056" s="37">
        <f>2020-Table_8[[#This Row],[Year]]</f>
        <v>3</v>
      </c>
      <c r="K1056">
        <v>57472012426.685303</v>
      </c>
      <c r="L1056">
        <v>14198.753959474399</v>
      </c>
      <c r="M1056">
        <v>0.15481137456202801</v>
      </c>
      <c r="N1056">
        <v>-8.5803430210621805</v>
      </c>
      <c r="O1056" s="39">
        <v>38.479999999999997</v>
      </c>
      <c r="P1056" s="39">
        <v>624.00199999999995</v>
      </c>
      <c r="Q1056" s="39">
        <v>79</v>
      </c>
      <c r="R1056" s="39">
        <v>21.69</v>
      </c>
    </row>
    <row r="1057" spans="1:18" x14ac:dyDescent="0.25">
      <c r="A1057" s="1" t="s">
        <v>411</v>
      </c>
      <c r="B1057" s="2" t="s">
        <v>415</v>
      </c>
      <c r="C1057" s="19">
        <v>39</v>
      </c>
      <c r="D1057" s="3" t="s">
        <v>495</v>
      </c>
      <c r="E1057" s="3" t="s">
        <v>527</v>
      </c>
      <c r="F1057" s="23">
        <v>395000</v>
      </c>
      <c r="G1057" s="35">
        <v>2016</v>
      </c>
      <c r="H1057">
        <f>Table_8[[#This Row],[Listing Price (USD)]]/10000</f>
        <v>39.5</v>
      </c>
      <c r="I1057">
        <f>Table_8[[#This Row],[Length 
(ft)]]</f>
        <v>39</v>
      </c>
      <c r="J1057" s="37">
        <f>2020-Table_8[[#This Row],[Year]]</f>
        <v>4</v>
      </c>
      <c r="K1057">
        <v>582477000000</v>
      </c>
      <c r="L1057">
        <v>82947.67</v>
      </c>
      <c r="M1057">
        <v>1.23</v>
      </c>
      <c r="N1057">
        <v>2.7</v>
      </c>
      <c r="O1057" s="39">
        <v>38.479999999999997</v>
      </c>
      <c r="P1057" s="39">
        <v>624.00199999999995</v>
      </c>
      <c r="Q1057" s="39">
        <v>79</v>
      </c>
      <c r="R1057" s="39">
        <v>21.69</v>
      </c>
    </row>
    <row r="1058" spans="1:18" x14ac:dyDescent="0.25">
      <c r="A1058" s="1" t="s">
        <v>411</v>
      </c>
      <c r="B1058" s="2" t="s">
        <v>415</v>
      </c>
      <c r="C1058" s="19">
        <v>39</v>
      </c>
      <c r="D1058" s="3" t="s">
        <v>496</v>
      </c>
      <c r="E1058" s="4" t="s">
        <v>18</v>
      </c>
      <c r="F1058" s="23">
        <v>398929</v>
      </c>
      <c r="G1058" s="35">
        <v>2018</v>
      </c>
      <c r="H1058">
        <f>Table_8[[#This Row],[Listing Price (USD)]]/10000</f>
        <v>39.892899999999997</v>
      </c>
      <c r="I1058">
        <f>Table_8[[#This Row],[Length 
(ft)]]</f>
        <v>39</v>
      </c>
      <c r="J1058" s="37">
        <f>2020-Table_8[[#This Row],[Year]]</f>
        <v>2</v>
      </c>
      <c r="K1058">
        <v>188925995936.80701</v>
      </c>
      <c r="L1058">
        <v>17658.947301119199</v>
      </c>
      <c r="M1058">
        <v>-1.2479835558140799</v>
      </c>
      <c r="N1058">
        <v>-9.0040436420214593</v>
      </c>
      <c r="O1058" s="39">
        <v>38.479999999999997</v>
      </c>
      <c r="P1058" s="39">
        <v>624.00199999999995</v>
      </c>
      <c r="Q1058" s="39">
        <v>79</v>
      </c>
      <c r="R1058" s="39">
        <v>21.69</v>
      </c>
    </row>
    <row r="1059" spans="1:18" x14ac:dyDescent="0.25">
      <c r="A1059" s="1" t="s">
        <v>411</v>
      </c>
      <c r="B1059" s="2" t="s">
        <v>415</v>
      </c>
      <c r="C1059" s="19">
        <v>39</v>
      </c>
      <c r="D1059" s="3" t="s">
        <v>496</v>
      </c>
      <c r="E1059" s="4" t="s">
        <v>9</v>
      </c>
      <c r="F1059" s="23">
        <v>449087</v>
      </c>
      <c r="G1059" s="35">
        <v>2018</v>
      </c>
      <c r="H1059">
        <f>Table_8[[#This Row],[Listing Price (USD)]]/10000</f>
        <v>44.908700000000003</v>
      </c>
      <c r="I1059">
        <f>Table_8[[#This Row],[Length 
(ft)]]</f>
        <v>39</v>
      </c>
      <c r="J1059" s="37">
        <f>2020-Table_8[[#This Row],[Year]]</f>
        <v>2</v>
      </c>
      <c r="K1059">
        <v>1276962685648.25</v>
      </c>
      <c r="L1059">
        <v>26959.675436732599</v>
      </c>
      <c r="M1059">
        <v>-0.32275301729970501</v>
      </c>
      <c r="N1059">
        <v>-11.3254383222864</v>
      </c>
      <c r="O1059" s="39">
        <v>38.479999999999997</v>
      </c>
      <c r="P1059" s="39">
        <v>624.00199999999995</v>
      </c>
      <c r="Q1059" s="39">
        <v>79</v>
      </c>
      <c r="R1059" s="39">
        <v>21.69</v>
      </c>
    </row>
    <row r="1060" spans="1:18" x14ac:dyDescent="0.25">
      <c r="A1060" s="1" t="s">
        <v>411</v>
      </c>
      <c r="B1060" s="2" t="s">
        <v>415</v>
      </c>
      <c r="C1060" s="19">
        <v>39</v>
      </c>
      <c r="D1060" s="3" t="s">
        <v>496</v>
      </c>
      <c r="E1060" s="3" t="s">
        <v>3</v>
      </c>
      <c r="F1060" s="23">
        <v>455511</v>
      </c>
      <c r="G1060" s="35">
        <v>2019</v>
      </c>
      <c r="H1060">
        <f>Table_8[[#This Row],[Listing Price (USD)]]/10000</f>
        <v>45.551099999999998</v>
      </c>
      <c r="I1060">
        <f>Table_8[[#This Row],[Length 
(ft)]]</f>
        <v>39</v>
      </c>
      <c r="J1060" s="37">
        <f>2020-Table_8[[#This Row],[Year]]</f>
        <v>1</v>
      </c>
      <c r="K1060">
        <v>2639008701648.2598</v>
      </c>
      <c r="L1060">
        <v>39055.282928075401</v>
      </c>
      <c r="M1060">
        <v>0.47649885272508302</v>
      </c>
      <c r="N1060">
        <v>-7.7845864916787102</v>
      </c>
      <c r="O1060" s="39">
        <v>38.479999999999997</v>
      </c>
      <c r="P1060" s="39">
        <v>624.00199999999995</v>
      </c>
      <c r="Q1060" s="39">
        <v>79</v>
      </c>
      <c r="R1060" s="39">
        <v>21.69</v>
      </c>
    </row>
    <row r="1061" spans="1:18" x14ac:dyDescent="0.25">
      <c r="A1061" s="1" t="s">
        <v>411</v>
      </c>
      <c r="B1061" s="2" t="s">
        <v>415</v>
      </c>
      <c r="C1061" s="19">
        <v>39</v>
      </c>
      <c r="D1061" s="3" t="s">
        <v>496</v>
      </c>
      <c r="E1061" s="4" t="s">
        <v>9</v>
      </c>
      <c r="F1061" s="23">
        <v>457738</v>
      </c>
      <c r="G1061" s="35">
        <v>2018</v>
      </c>
      <c r="H1061">
        <f>Table_8[[#This Row],[Listing Price (USD)]]/10000</f>
        <v>45.773800000000001</v>
      </c>
      <c r="I1061">
        <f>Table_8[[#This Row],[Length 
(ft)]]</f>
        <v>39</v>
      </c>
      <c r="J1061" s="37">
        <f>2020-Table_8[[#This Row],[Year]]</f>
        <v>2</v>
      </c>
      <c r="K1061">
        <v>1276962685648.25</v>
      </c>
      <c r="L1061">
        <v>26959.675436732599</v>
      </c>
      <c r="M1061">
        <v>-0.32275301729970501</v>
      </c>
      <c r="N1061">
        <v>-11.3254383222864</v>
      </c>
      <c r="O1061" s="39">
        <v>38.479999999999997</v>
      </c>
      <c r="P1061" s="39">
        <v>624.00199999999995</v>
      </c>
      <c r="Q1061" s="39">
        <v>79</v>
      </c>
      <c r="R1061" s="39">
        <v>21.69</v>
      </c>
    </row>
    <row r="1062" spans="1:18" x14ac:dyDescent="0.25">
      <c r="A1062" s="1" t="s">
        <v>411</v>
      </c>
      <c r="B1062" s="2" t="s">
        <v>415</v>
      </c>
      <c r="C1062" s="19">
        <v>39</v>
      </c>
      <c r="D1062" s="3" t="s">
        <v>496</v>
      </c>
      <c r="E1062" s="4" t="s">
        <v>18</v>
      </c>
      <c r="F1062" s="23">
        <v>473362</v>
      </c>
      <c r="G1062" s="35">
        <v>2017</v>
      </c>
      <c r="H1062">
        <f>Table_8[[#This Row],[Listing Price (USD)]]/10000</f>
        <v>47.336199999999998</v>
      </c>
      <c r="I1062">
        <f>Table_8[[#This Row],[Length 
(ft)]]</f>
        <v>39</v>
      </c>
      <c r="J1062" s="37">
        <f>2020-Table_8[[#This Row],[Year]]</f>
        <v>3</v>
      </c>
      <c r="K1062">
        <v>188925995936.80701</v>
      </c>
      <c r="L1062">
        <v>17658.947301119199</v>
      </c>
      <c r="M1062">
        <v>-1.2479835558140799</v>
      </c>
      <c r="N1062">
        <v>-9.0040436420214593</v>
      </c>
      <c r="O1062" s="39">
        <v>38.479999999999997</v>
      </c>
      <c r="P1062" s="39">
        <v>624.00199999999995</v>
      </c>
      <c r="Q1062" s="39">
        <v>79</v>
      </c>
      <c r="R1062" s="39">
        <v>21.69</v>
      </c>
    </row>
    <row r="1063" spans="1:18" x14ac:dyDescent="0.25">
      <c r="A1063" s="1" t="s">
        <v>411</v>
      </c>
      <c r="B1063" s="2" t="s">
        <v>415</v>
      </c>
      <c r="C1063" s="19">
        <v>39</v>
      </c>
      <c r="D1063" s="3" t="s">
        <v>496</v>
      </c>
      <c r="E1063" s="4" t="s">
        <v>18</v>
      </c>
      <c r="F1063" s="23">
        <v>473732</v>
      </c>
      <c r="G1063" s="35">
        <v>2017</v>
      </c>
      <c r="H1063">
        <f>Table_8[[#This Row],[Listing Price (USD)]]/10000</f>
        <v>47.373199999999997</v>
      </c>
      <c r="I1063">
        <f>Table_8[[#This Row],[Length 
(ft)]]</f>
        <v>39</v>
      </c>
      <c r="J1063" s="37">
        <f>2020-Table_8[[#This Row],[Year]]</f>
        <v>3</v>
      </c>
      <c r="K1063">
        <v>188925995936.80701</v>
      </c>
      <c r="L1063">
        <v>17658.947301119199</v>
      </c>
      <c r="M1063">
        <v>-1.2479835558140799</v>
      </c>
      <c r="N1063">
        <v>-9.0040436420214593</v>
      </c>
      <c r="O1063" s="39">
        <v>38.479999999999997</v>
      </c>
      <c r="P1063" s="39">
        <v>624.00199999999995</v>
      </c>
      <c r="Q1063" s="39">
        <v>79</v>
      </c>
      <c r="R1063" s="39">
        <v>21.69</v>
      </c>
    </row>
    <row r="1064" spans="1:18" x14ac:dyDescent="0.25">
      <c r="A1064" s="1" t="s">
        <v>411</v>
      </c>
      <c r="B1064" s="2" t="s">
        <v>415</v>
      </c>
      <c r="C1064" s="19">
        <v>39</v>
      </c>
      <c r="D1064" s="3" t="s">
        <v>496</v>
      </c>
      <c r="E1064" s="4" t="s">
        <v>3</v>
      </c>
      <c r="F1064" s="23">
        <v>497637</v>
      </c>
      <c r="G1064" s="35">
        <v>2017</v>
      </c>
      <c r="H1064">
        <f>Table_8[[#This Row],[Listing Price (USD)]]/10000</f>
        <v>49.7637</v>
      </c>
      <c r="I1064">
        <f>Table_8[[#This Row],[Length 
(ft)]]</f>
        <v>39</v>
      </c>
      <c r="J1064" s="37">
        <f>2020-Table_8[[#This Row],[Year]]</f>
        <v>3</v>
      </c>
      <c r="K1064">
        <v>2639008701648.2598</v>
      </c>
      <c r="L1064">
        <v>39055.282928075401</v>
      </c>
      <c r="M1064">
        <v>0.47649885272508302</v>
      </c>
      <c r="N1064">
        <v>-7.7845864916787102</v>
      </c>
      <c r="O1064" s="39">
        <v>38.479999999999997</v>
      </c>
      <c r="P1064" s="39">
        <v>624.00199999999995</v>
      </c>
      <c r="Q1064" s="39">
        <v>79</v>
      </c>
      <c r="R1064" s="39">
        <v>21.69</v>
      </c>
    </row>
    <row r="1065" spans="1:18" x14ac:dyDescent="0.25">
      <c r="A1065" s="1" t="s">
        <v>411</v>
      </c>
      <c r="B1065" s="2" t="s">
        <v>460</v>
      </c>
      <c r="C1065" s="19">
        <v>39</v>
      </c>
      <c r="D1065" s="3" t="s">
        <v>495</v>
      </c>
      <c r="E1065" s="3" t="s">
        <v>333</v>
      </c>
      <c r="F1065" s="23">
        <v>495000</v>
      </c>
      <c r="G1065" s="35">
        <v>2017</v>
      </c>
      <c r="H1065">
        <f>Table_8[[#This Row],[Listing Price (USD)]]/10000</f>
        <v>49.5</v>
      </c>
      <c r="I1065">
        <f>Table_8[[#This Row],[Length 
(ft)]]</f>
        <v>39</v>
      </c>
      <c r="J1065" s="37">
        <f>2020-Table_8[[#This Row],[Year]]</f>
        <v>3</v>
      </c>
      <c r="K1065">
        <v>1106036000000</v>
      </c>
      <c r="L1065">
        <v>51276.72</v>
      </c>
      <c r="M1065">
        <v>1.23</v>
      </c>
      <c r="N1065">
        <v>2.9</v>
      </c>
      <c r="O1065" s="39">
        <v>38.479999999999997</v>
      </c>
      <c r="P1065" s="39">
        <v>624.00199999999995</v>
      </c>
      <c r="Q1065" s="39">
        <v>79</v>
      </c>
      <c r="R1065" s="39">
        <v>21.69</v>
      </c>
    </row>
    <row r="1066" spans="1:18" x14ac:dyDescent="0.25">
      <c r="A1066" s="1" t="s">
        <v>456</v>
      </c>
      <c r="B1066" s="2" t="s">
        <v>457</v>
      </c>
      <c r="C1066" s="19">
        <v>40</v>
      </c>
      <c r="D1066" s="3" t="s">
        <v>495</v>
      </c>
      <c r="E1066" s="3" t="s">
        <v>333</v>
      </c>
      <c r="F1066" s="23">
        <v>295000</v>
      </c>
      <c r="G1066" s="35">
        <v>2016</v>
      </c>
      <c r="H1066">
        <f>Table_8[[#This Row],[Listing Price (USD)]]/10000</f>
        <v>29.5</v>
      </c>
      <c r="I1066">
        <f>Table_8[[#This Row],[Length 
(ft)]]</f>
        <v>40</v>
      </c>
      <c r="J1066" s="37">
        <f>2020-Table_8[[#This Row],[Year]]</f>
        <v>4</v>
      </c>
      <c r="K1066">
        <v>1106036000000</v>
      </c>
      <c r="L1066">
        <v>51276.72</v>
      </c>
      <c r="M1066">
        <v>1.23</v>
      </c>
      <c r="N1066">
        <v>2.9</v>
      </c>
      <c r="O1066" s="39">
        <v>41.83</v>
      </c>
      <c r="P1066" s="39">
        <v>860</v>
      </c>
      <c r="Q1066" s="39">
        <v>172</v>
      </c>
      <c r="R1066" s="39">
        <v>25.26</v>
      </c>
    </row>
    <row r="1067" spans="1:18" x14ac:dyDescent="0.25">
      <c r="A1067" s="1" t="s">
        <v>408</v>
      </c>
      <c r="B1067" s="2" t="s">
        <v>409</v>
      </c>
      <c r="C1067" s="19">
        <v>42</v>
      </c>
      <c r="D1067" s="3" t="s">
        <v>496</v>
      </c>
      <c r="E1067" s="4" t="s">
        <v>237</v>
      </c>
      <c r="F1067" s="23">
        <v>229900</v>
      </c>
      <c r="G1067" s="35">
        <v>2013</v>
      </c>
      <c r="H1067">
        <f>Table_8[[#This Row],[Listing Price (USD)]]/10000</f>
        <v>22.99</v>
      </c>
      <c r="I1067">
        <f>Table_8[[#This Row],[Length 
(ft)]]</f>
        <v>42</v>
      </c>
      <c r="J1067" s="37">
        <f>2020-Table_8[[#This Row],[Year]]</f>
        <v>7</v>
      </c>
      <c r="K1067">
        <v>229031860520.77701</v>
      </c>
      <c r="L1067">
        <v>22242.406417972001</v>
      </c>
      <c r="M1067">
        <v>-1.2438329957616699E-2</v>
      </c>
      <c r="N1067">
        <v>-8.3005160422115107</v>
      </c>
      <c r="O1067" s="39">
        <v>41.83</v>
      </c>
      <c r="P1067" s="39">
        <v>860</v>
      </c>
      <c r="Q1067" s="39">
        <v>172</v>
      </c>
      <c r="R1067" s="39">
        <v>25.26</v>
      </c>
    </row>
    <row r="1068" spans="1:18" x14ac:dyDescent="0.25">
      <c r="A1068" s="1" t="s">
        <v>410</v>
      </c>
      <c r="B1068" s="2" t="s">
        <v>409</v>
      </c>
      <c r="C1068" s="19">
        <v>41</v>
      </c>
      <c r="D1068" s="3" t="s">
        <v>496</v>
      </c>
      <c r="E1068" s="4" t="s">
        <v>237</v>
      </c>
      <c r="F1068" s="23">
        <v>273584</v>
      </c>
      <c r="G1068" s="35">
        <v>2013</v>
      </c>
      <c r="H1068">
        <f>Table_8[[#This Row],[Listing Price (USD)]]/10000</f>
        <v>27.3584</v>
      </c>
      <c r="I1068">
        <f>Table_8[[#This Row],[Length 
(ft)]]</f>
        <v>41</v>
      </c>
      <c r="J1068" s="37">
        <f>2020-Table_8[[#This Row],[Year]]</f>
        <v>7</v>
      </c>
      <c r="K1068">
        <v>229031860520.77701</v>
      </c>
      <c r="L1068">
        <v>22242.406417972001</v>
      </c>
      <c r="M1068">
        <v>-1.2438329957616699E-2</v>
      </c>
      <c r="N1068">
        <v>-8.3005160422115107</v>
      </c>
      <c r="O1068" s="39">
        <v>41.83</v>
      </c>
      <c r="P1068" s="39">
        <v>860</v>
      </c>
      <c r="Q1068" s="39">
        <v>172</v>
      </c>
      <c r="R1068" s="39">
        <v>25.26</v>
      </c>
    </row>
    <row r="1069" spans="1:18" x14ac:dyDescent="0.25">
      <c r="A1069" s="1" t="s">
        <v>444</v>
      </c>
      <c r="B1069" s="2" t="s">
        <v>446</v>
      </c>
      <c r="C1069" s="19">
        <v>39.5</v>
      </c>
      <c r="D1069" s="3" t="s">
        <v>496</v>
      </c>
      <c r="E1069" s="4" t="s">
        <v>9</v>
      </c>
      <c r="F1069" s="23">
        <v>364424</v>
      </c>
      <c r="G1069" s="35">
        <v>2015</v>
      </c>
      <c r="H1069">
        <f>Table_8[[#This Row],[Listing Price (USD)]]/10000</f>
        <v>36.442399999999999</v>
      </c>
      <c r="I1069">
        <f>Table_8[[#This Row],[Length 
(ft)]]</f>
        <v>39.5</v>
      </c>
      <c r="J1069" s="37">
        <f>2020-Table_8[[#This Row],[Year]]</f>
        <v>5</v>
      </c>
      <c r="K1069">
        <v>1276962685648.25</v>
      </c>
      <c r="L1069">
        <v>26959.675436732599</v>
      </c>
      <c r="M1069">
        <v>-0.32275301729970501</v>
      </c>
      <c r="N1069">
        <v>-11.3254383222864</v>
      </c>
      <c r="O1069" s="39">
        <v>39.17</v>
      </c>
      <c r="P1069" s="39">
        <v>979.00199999999995</v>
      </c>
      <c r="Q1069" s="39">
        <v>114</v>
      </c>
      <c r="R1069" s="39">
        <v>22.67</v>
      </c>
    </row>
    <row r="1070" spans="1:18" x14ac:dyDescent="0.25">
      <c r="A1070" s="1" t="s">
        <v>411</v>
      </c>
      <c r="B1070" s="2" t="s">
        <v>417</v>
      </c>
      <c r="C1070" s="19">
        <v>43</v>
      </c>
      <c r="D1070" s="3" t="s">
        <v>496</v>
      </c>
      <c r="E1070" s="4" t="s">
        <v>63</v>
      </c>
      <c r="F1070" s="23">
        <v>261424</v>
      </c>
      <c r="G1070" s="35">
        <v>2008</v>
      </c>
      <c r="H1070">
        <f>Table_8[[#This Row],[Listing Price (USD)]]/10000</f>
        <v>26.142399999999999</v>
      </c>
      <c r="I1070">
        <f>Table_8[[#This Row],[Length 
(ft)]]</f>
        <v>43</v>
      </c>
      <c r="J1070" s="37">
        <f>2020-Table_8[[#This Row],[Year]]</f>
        <v>12</v>
      </c>
      <c r="K1070">
        <v>720290000000</v>
      </c>
      <c r="L1070">
        <v>13341.6</v>
      </c>
      <c r="M1070">
        <v>13</v>
      </c>
      <c r="N1070">
        <v>-3</v>
      </c>
      <c r="O1070" s="39">
        <v>42.98</v>
      </c>
      <c r="P1070" s="39">
        <v>1183.002</v>
      </c>
      <c r="Q1070" s="39">
        <v>106</v>
      </c>
      <c r="R1070" s="39">
        <v>24.11</v>
      </c>
    </row>
    <row r="1071" spans="1:18" x14ac:dyDescent="0.25">
      <c r="A1071" s="1" t="s">
        <v>411</v>
      </c>
      <c r="B1071" s="2" t="s">
        <v>417</v>
      </c>
      <c r="C1071" s="19">
        <v>43</v>
      </c>
      <c r="D1071" s="3" t="s">
        <v>496</v>
      </c>
      <c r="E1071" s="4" t="s">
        <v>63</v>
      </c>
      <c r="F1071" s="23">
        <v>285231</v>
      </c>
      <c r="G1071" s="35">
        <v>2008</v>
      </c>
      <c r="H1071">
        <f>Table_8[[#This Row],[Listing Price (USD)]]/10000</f>
        <v>28.523099999999999</v>
      </c>
      <c r="I1071">
        <f>Table_8[[#This Row],[Length 
(ft)]]</f>
        <v>43</v>
      </c>
      <c r="J1071" s="37">
        <f>2020-Table_8[[#This Row],[Year]]</f>
        <v>12</v>
      </c>
      <c r="K1071">
        <v>720290000000</v>
      </c>
      <c r="L1071">
        <v>13341.6</v>
      </c>
      <c r="M1071">
        <v>13</v>
      </c>
      <c r="N1071">
        <v>-3</v>
      </c>
      <c r="O1071" s="39">
        <v>42.98</v>
      </c>
      <c r="P1071" s="39">
        <v>1183.002</v>
      </c>
      <c r="Q1071" s="39">
        <v>106</v>
      </c>
      <c r="R1071" s="39">
        <v>24.11</v>
      </c>
    </row>
    <row r="1072" spans="1:18" x14ac:dyDescent="0.25">
      <c r="A1072" s="1" t="s">
        <v>411</v>
      </c>
      <c r="B1072" s="2" t="s">
        <v>417</v>
      </c>
      <c r="C1072" s="19">
        <v>43</v>
      </c>
      <c r="D1072" s="3" t="s">
        <v>495</v>
      </c>
      <c r="E1072" s="3" t="s">
        <v>333</v>
      </c>
      <c r="F1072" s="23">
        <v>300000</v>
      </c>
      <c r="G1072" s="35">
        <v>2009</v>
      </c>
      <c r="H1072">
        <f>Table_8[[#This Row],[Listing Price (USD)]]/10000</f>
        <v>30</v>
      </c>
      <c r="I1072">
        <f>Table_8[[#This Row],[Length 
(ft)]]</f>
        <v>43</v>
      </c>
      <c r="J1072" s="37">
        <f>2020-Table_8[[#This Row],[Year]]</f>
        <v>11</v>
      </c>
      <c r="K1072">
        <v>1106036000000</v>
      </c>
      <c r="L1072">
        <v>51276.72</v>
      </c>
      <c r="M1072">
        <v>1.23</v>
      </c>
      <c r="N1072">
        <v>2.9</v>
      </c>
      <c r="O1072" s="39">
        <v>42.98</v>
      </c>
      <c r="P1072" s="39">
        <v>1183.002</v>
      </c>
      <c r="Q1072" s="39">
        <v>106</v>
      </c>
      <c r="R1072" s="39">
        <v>24.11</v>
      </c>
    </row>
    <row r="1073" spans="1:18" x14ac:dyDescent="0.25">
      <c r="A1073" s="1" t="s">
        <v>411</v>
      </c>
      <c r="B1073" s="2" t="s">
        <v>417</v>
      </c>
      <c r="C1073" s="19">
        <v>43</v>
      </c>
      <c r="D1073" s="3" t="s">
        <v>497</v>
      </c>
      <c r="E1073" s="3" t="s">
        <v>483</v>
      </c>
      <c r="F1073" s="23">
        <v>309506</v>
      </c>
      <c r="G1073" s="35">
        <v>2008</v>
      </c>
      <c r="H1073">
        <f>Table_8[[#This Row],[Listing Price (USD)]]/10000</f>
        <v>30.950600000000001</v>
      </c>
      <c r="I1073">
        <f>Table_8[[#This Row],[Length 
(ft)]]</f>
        <v>43</v>
      </c>
      <c r="J1073" s="37">
        <f>2020-Table_8[[#This Row],[Year]]</f>
        <v>12</v>
      </c>
      <c r="K1073">
        <v>4200000000</v>
      </c>
      <c r="L1073">
        <v>39553.199999999997</v>
      </c>
      <c r="M1073">
        <v>2.5</v>
      </c>
      <c r="N1073">
        <v>-2.1</v>
      </c>
      <c r="O1073" s="39">
        <v>42.98</v>
      </c>
      <c r="P1073" s="39">
        <v>1183.002</v>
      </c>
      <c r="Q1073" s="39">
        <v>106</v>
      </c>
      <c r="R1073" s="39">
        <v>24.11</v>
      </c>
    </row>
    <row r="1074" spans="1:18" x14ac:dyDescent="0.25">
      <c r="A1074" s="1" t="s">
        <v>411</v>
      </c>
      <c r="B1074" s="3" t="s">
        <v>417</v>
      </c>
      <c r="C1074" s="19">
        <v>43</v>
      </c>
      <c r="D1074" s="3" t="s">
        <v>497</v>
      </c>
      <c r="E1074" s="3" t="s">
        <v>483</v>
      </c>
      <c r="F1074" s="23">
        <v>309860</v>
      </c>
      <c r="G1074" s="35">
        <v>2008</v>
      </c>
      <c r="H1074">
        <f>Table_8[[#This Row],[Listing Price (USD)]]/10000</f>
        <v>30.986000000000001</v>
      </c>
      <c r="I1074">
        <f>Table_8[[#This Row],[Length 
(ft)]]</f>
        <v>43</v>
      </c>
      <c r="J1074" s="37">
        <f>2020-Table_8[[#This Row],[Year]]</f>
        <v>12</v>
      </c>
      <c r="K1074">
        <v>4200000000</v>
      </c>
      <c r="L1074">
        <v>39553.199999999997</v>
      </c>
      <c r="M1074">
        <v>2.5</v>
      </c>
      <c r="N1074">
        <v>-2.1</v>
      </c>
      <c r="O1074" s="39">
        <v>42.98</v>
      </c>
      <c r="P1074" s="39">
        <v>1183.002</v>
      </c>
      <c r="Q1074" s="39">
        <v>106</v>
      </c>
      <c r="R1074" s="39">
        <v>24.11</v>
      </c>
    </row>
    <row r="1075" spans="1:18" x14ac:dyDescent="0.25">
      <c r="A1075" s="1" t="s">
        <v>411</v>
      </c>
      <c r="B1075" s="2" t="s">
        <v>417</v>
      </c>
      <c r="C1075" s="19">
        <v>43</v>
      </c>
      <c r="D1075" s="3" t="s">
        <v>497</v>
      </c>
      <c r="E1075" s="3" t="s">
        <v>520</v>
      </c>
      <c r="F1075" s="23">
        <v>315000</v>
      </c>
      <c r="G1075" s="35">
        <v>2007</v>
      </c>
      <c r="H1075">
        <f>Table_8[[#This Row],[Listing Price (USD)]]/10000</f>
        <v>31.5</v>
      </c>
      <c r="I1075">
        <f>Table_8[[#This Row],[Length 
(ft)]]</f>
        <v>43</v>
      </c>
      <c r="J1075" s="37">
        <f>2020-Table_8[[#This Row],[Year]]</f>
        <v>13</v>
      </c>
      <c r="K1075">
        <v>103020300000</v>
      </c>
      <c r="L1075">
        <v>31393.907369044598</v>
      </c>
      <c r="M1075">
        <v>3</v>
      </c>
      <c r="N1075">
        <v>-4.3534263366192603</v>
      </c>
      <c r="O1075" s="39">
        <v>42.98</v>
      </c>
      <c r="P1075" s="39">
        <v>1183.002</v>
      </c>
      <c r="Q1075" s="39">
        <v>106</v>
      </c>
      <c r="R1075" s="39">
        <v>24.11</v>
      </c>
    </row>
    <row r="1076" spans="1:18" x14ac:dyDescent="0.25">
      <c r="A1076" s="1" t="s">
        <v>411</v>
      </c>
      <c r="B1076" s="2" t="s">
        <v>417</v>
      </c>
      <c r="C1076" s="19">
        <v>43</v>
      </c>
      <c r="D1076" s="3" t="s">
        <v>495</v>
      </c>
      <c r="E1076" s="3" t="s">
        <v>515</v>
      </c>
      <c r="F1076" s="23">
        <v>320000</v>
      </c>
      <c r="G1076" s="35">
        <v>2007</v>
      </c>
      <c r="H1076">
        <f>Table_8[[#This Row],[Listing Price (USD)]]/10000</f>
        <v>32</v>
      </c>
      <c r="I1076">
        <f>Table_8[[#This Row],[Length 
(ft)]]</f>
        <v>43</v>
      </c>
      <c r="J1076" s="37">
        <f>2020-Table_8[[#This Row],[Year]]</f>
        <v>13</v>
      </c>
      <c r="K1076">
        <v>410675000000</v>
      </c>
      <c r="L1076">
        <v>66531.03</v>
      </c>
      <c r="M1076">
        <v>1.23</v>
      </c>
      <c r="N1076">
        <v>1.8</v>
      </c>
      <c r="O1076" s="39">
        <v>42.98</v>
      </c>
      <c r="P1076" s="39">
        <v>1183.002</v>
      </c>
      <c r="Q1076" s="39">
        <v>106</v>
      </c>
      <c r="R1076" s="39">
        <v>24.11</v>
      </c>
    </row>
    <row r="1077" spans="1:18" x14ac:dyDescent="0.25">
      <c r="A1077" s="1" t="s">
        <v>411</v>
      </c>
      <c r="B1077" s="2" t="s">
        <v>417</v>
      </c>
      <c r="C1077" s="19">
        <v>43</v>
      </c>
      <c r="D1077" s="3" t="s">
        <v>497</v>
      </c>
      <c r="E1077" s="3" t="s">
        <v>506</v>
      </c>
      <c r="F1077" s="23">
        <v>327712</v>
      </c>
      <c r="G1077" s="35">
        <v>2009</v>
      </c>
      <c r="H1077">
        <f>Table_8[[#This Row],[Listing Price (USD)]]/10000</f>
        <v>32.7712</v>
      </c>
      <c r="I1077">
        <f>Table_8[[#This Row],[Length 
(ft)]]</f>
        <v>43</v>
      </c>
      <c r="J1077" s="37">
        <f>2020-Table_8[[#This Row],[Year]]</f>
        <v>11</v>
      </c>
      <c r="K1077">
        <v>1370281481.4814799</v>
      </c>
      <c r="L1077">
        <v>14787.6357752901</v>
      </c>
      <c r="M1077">
        <v>0.62598970704669799</v>
      </c>
      <c r="N1077">
        <v>-20.1923705722071</v>
      </c>
      <c r="O1077" s="39">
        <v>42.98</v>
      </c>
      <c r="P1077" s="39">
        <v>1183.002</v>
      </c>
      <c r="Q1077" s="39">
        <v>106</v>
      </c>
      <c r="R1077" s="39">
        <v>24.11</v>
      </c>
    </row>
    <row r="1078" spans="1:18" x14ac:dyDescent="0.25">
      <c r="A1078" s="1" t="s">
        <v>411</v>
      </c>
      <c r="B1078" s="2" t="s">
        <v>417</v>
      </c>
      <c r="C1078" s="19">
        <v>43</v>
      </c>
      <c r="D1078" s="3" t="s">
        <v>496</v>
      </c>
      <c r="E1078" s="4" t="s">
        <v>18</v>
      </c>
      <c r="F1078" s="23">
        <v>327968</v>
      </c>
      <c r="G1078" s="35">
        <v>2008</v>
      </c>
      <c r="H1078">
        <f>Table_8[[#This Row],[Listing Price (USD)]]/10000</f>
        <v>32.796799999999998</v>
      </c>
      <c r="I1078">
        <f>Table_8[[#This Row],[Length 
(ft)]]</f>
        <v>43</v>
      </c>
      <c r="J1078" s="37">
        <f>2020-Table_8[[#This Row],[Year]]</f>
        <v>12</v>
      </c>
      <c r="K1078">
        <v>188925995936.80701</v>
      </c>
      <c r="L1078">
        <v>17658.947301119199</v>
      </c>
      <c r="M1078">
        <v>-1.2479835558140799</v>
      </c>
      <c r="N1078">
        <v>-9.0040436420214593</v>
      </c>
      <c r="O1078" s="39">
        <v>42.98</v>
      </c>
      <c r="P1078" s="39">
        <v>1183.002</v>
      </c>
      <c r="Q1078" s="39">
        <v>106</v>
      </c>
      <c r="R1078" s="39">
        <v>24.11</v>
      </c>
    </row>
    <row r="1079" spans="1:18" x14ac:dyDescent="0.25">
      <c r="A1079" s="1" t="s">
        <v>411</v>
      </c>
      <c r="B1079" s="2" t="s">
        <v>417</v>
      </c>
      <c r="C1079" s="19">
        <v>43</v>
      </c>
      <c r="D1079" s="3" t="s">
        <v>496</v>
      </c>
      <c r="E1079" s="4" t="s">
        <v>18</v>
      </c>
      <c r="F1079" s="23">
        <v>328300</v>
      </c>
      <c r="G1079" s="35">
        <v>2008</v>
      </c>
      <c r="H1079">
        <f>Table_8[[#This Row],[Listing Price (USD)]]/10000</f>
        <v>32.83</v>
      </c>
      <c r="I1079">
        <f>Table_8[[#This Row],[Length 
(ft)]]</f>
        <v>43</v>
      </c>
      <c r="J1079" s="37">
        <f>2020-Table_8[[#This Row],[Year]]</f>
        <v>12</v>
      </c>
      <c r="K1079">
        <v>188925995936.80701</v>
      </c>
      <c r="L1079">
        <v>17658.947301119199</v>
      </c>
      <c r="M1079">
        <v>-1.2479835558140799</v>
      </c>
      <c r="N1079">
        <v>-9.0040436420214593</v>
      </c>
      <c r="O1079" s="39">
        <v>42.98</v>
      </c>
      <c r="P1079" s="39">
        <v>1183.002</v>
      </c>
      <c r="Q1079" s="39">
        <v>106</v>
      </c>
      <c r="R1079" s="39">
        <v>24.11</v>
      </c>
    </row>
    <row r="1080" spans="1:18" x14ac:dyDescent="0.25">
      <c r="A1080" s="1" t="s">
        <v>411</v>
      </c>
      <c r="B1080" s="2" t="s">
        <v>417</v>
      </c>
      <c r="C1080" s="19">
        <v>43</v>
      </c>
      <c r="D1080" s="3" t="s">
        <v>496</v>
      </c>
      <c r="E1080" s="4" t="s">
        <v>18</v>
      </c>
      <c r="F1080" s="23">
        <v>328300</v>
      </c>
      <c r="G1080" s="35">
        <v>2008</v>
      </c>
      <c r="H1080">
        <f>Table_8[[#This Row],[Listing Price (USD)]]/10000</f>
        <v>32.83</v>
      </c>
      <c r="I1080">
        <f>Table_8[[#This Row],[Length 
(ft)]]</f>
        <v>43</v>
      </c>
      <c r="J1080" s="37">
        <f>2020-Table_8[[#This Row],[Year]]</f>
        <v>12</v>
      </c>
      <c r="K1080">
        <v>188925995936.80701</v>
      </c>
      <c r="L1080">
        <v>17658.947301119199</v>
      </c>
      <c r="M1080">
        <v>-1.2479835558140799</v>
      </c>
      <c r="N1080">
        <v>-9.0040436420214593</v>
      </c>
      <c r="O1080" s="39">
        <v>42.98</v>
      </c>
      <c r="P1080" s="39">
        <v>1183.002</v>
      </c>
      <c r="Q1080" s="39">
        <v>106</v>
      </c>
      <c r="R1080" s="39">
        <v>24.11</v>
      </c>
    </row>
    <row r="1081" spans="1:18" x14ac:dyDescent="0.25">
      <c r="A1081" s="1" t="s">
        <v>411</v>
      </c>
      <c r="B1081" s="2" t="s">
        <v>417</v>
      </c>
      <c r="C1081" s="19">
        <v>43</v>
      </c>
      <c r="D1081" s="3" t="s">
        <v>497</v>
      </c>
      <c r="E1081" s="3" t="s">
        <v>559</v>
      </c>
      <c r="F1081" s="23">
        <v>329000</v>
      </c>
      <c r="G1081" s="35">
        <v>2009</v>
      </c>
      <c r="H1081">
        <f>Table_8[[#This Row],[Listing Price (USD)]]/10000</f>
        <v>32.9</v>
      </c>
      <c r="I1081">
        <f>Table_8[[#This Row],[Length 
(ft)]]</f>
        <v>43</v>
      </c>
      <c r="J1081" s="37">
        <f>2020-Table_8[[#This Row],[Year]]</f>
        <v>11</v>
      </c>
      <c r="K1081">
        <v>681973374534.10596</v>
      </c>
      <c r="L1081">
        <v>27575.495000325591</v>
      </c>
      <c r="M1081">
        <v>0.8848420113691905</v>
      </c>
      <c r="N1081">
        <v>-6.3525291034127971</v>
      </c>
      <c r="O1081" s="39">
        <v>42.98</v>
      </c>
      <c r="P1081" s="39">
        <v>1183.002</v>
      </c>
      <c r="Q1081" s="39">
        <v>106</v>
      </c>
      <c r="R1081" s="39">
        <v>24.11</v>
      </c>
    </row>
    <row r="1082" spans="1:18" x14ac:dyDescent="0.25">
      <c r="A1082" s="1" t="s">
        <v>411</v>
      </c>
      <c r="B1082" s="2" t="s">
        <v>417</v>
      </c>
      <c r="C1082" s="19">
        <v>43</v>
      </c>
      <c r="D1082" s="3" t="s">
        <v>496</v>
      </c>
      <c r="E1082" s="4" t="s">
        <v>3</v>
      </c>
      <c r="F1082" s="23">
        <v>338636</v>
      </c>
      <c r="G1082" s="35">
        <v>2008</v>
      </c>
      <c r="H1082">
        <f>Table_8[[#This Row],[Listing Price (USD)]]/10000</f>
        <v>33.863599999999998</v>
      </c>
      <c r="I1082">
        <f>Table_8[[#This Row],[Length 
(ft)]]</f>
        <v>43</v>
      </c>
      <c r="J1082" s="37">
        <f>2020-Table_8[[#This Row],[Year]]</f>
        <v>12</v>
      </c>
      <c r="K1082">
        <v>2639008701648.2598</v>
      </c>
      <c r="L1082">
        <v>39055.282928075401</v>
      </c>
      <c r="M1082">
        <v>0.47649885272508302</v>
      </c>
      <c r="N1082">
        <v>-7.7845864916787102</v>
      </c>
      <c r="O1082" s="39">
        <v>42.98</v>
      </c>
      <c r="P1082" s="39">
        <v>1183.002</v>
      </c>
      <c r="Q1082" s="39">
        <v>106</v>
      </c>
      <c r="R1082" s="39">
        <v>24.11</v>
      </c>
    </row>
    <row r="1083" spans="1:18" x14ac:dyDescent="0.25">
      <c r="A1083" s="1" t="s">
        <v>411</v>
      </c>
      <c r="B1083" s="2" t="s">
        <v>417</v>
      </c>
      <c r="C1083" s="19">
        <v>43</v>
      </c>
      <c r="D1083" s="3" t="s">
        <v>497</v>
      </c>
      <c r="E1083" s="3" t="s">
        <v>513</v>
      </c>
      <c r="F1083" s="23">
        <v>339000</v>
      </c>
      <c r="G1083" s="35">
        <v>2008</v>
      </c>
      <c r="H1083">
        <f>Table_8[[#This Row],[Listing Price (USD)]]/10000</f>
        <v>33.9</v>
      </c>
      <c r="I1083">
        <f>Table_8[[#This Row],[Length 
(ft)]]</f>
        <v>43</v>
      </c>
      <c r="J1083" s="37">
        <f>2020-Table_8[[#This Row],[Year]]</f>
        <v>12</v>
      </c>
      <c r="K1083">
        <v>77625486978.256104</v>
      </c>
      <c r="L1083">
        <v>4604.5766789786403</v>
      </c>
      <c r="M1083">
        <v>3.21444062197346</v>
      </c>
      <c r="N1083">
        <v>-1.76408292563957</v>
      </c>
      <c r="O1083" s="39">
        <v>42.98</v>
      </c>
      <c r="P1083" s="39">
        <v>1183.002</v>
      </c>
      <c r="Q1083" s="39">
        <v>106</v>
      </c>
      <c r="R1083" s="39">
        <v>24.11</v>
      </c>
    </row>
    <row r="1084" spans="1:18" x14ac:dyDescent="0.25">
      <c r="A1084" s="1" t="s">
        <v>411</v>
      </c>
      <c r="B1084" s="2" t="s">
        <v>417</v>
      </c>
      <c r="C1084" s="19">
        <v>43</v>
      </c>
      <c r="D1084" s="3" t="s">
        <v>496</v>
      </c>
      <c r="E1084" s="4" t="s">
        <v>63</v>
      </c>
      <c r="F1084" s="23">
        <v>339850</v>
      </c>
      <c r="G1084" s="35">
        <v>2011</v>
      </c>
      <c r="H1084">
        <f>Table_8[[#This Row],[Listing Price (USD)]]/10000</f>
        <v>33.984999999999999</v>
      </c>
      <c r="I1084">
        <f>Table_8[[#This Row],[Length 
(ft)]]</f>
        <v>43</v>
      </c>
      <c r="J1084" s="37">
        <f>2020-Table_8[[#This Row],[Year]]</f>
        <v>9</v>
      </c>
      <c r="K1084">
        <v>720290000000</v>
      </c>
      <c r="L1084">
        <v>13341.6</v>
      </c>
      <c r="M1084">
        <v>13</v>
      </c>
      <c r="N1084">
        <v>-3</v>
      </c>
      <c r="O1084" s="39">
        <v>42.98</v>
      </c>
      <c r="P1084" s="39">
        <v>1183.002</v>
      </c>
      <c r="Q1084" s="39">
        <v>106</v>
      </c>
      <c r="R1084" s="39">
        <v>24.11</v>
      </c>
    </row>
    <row r="1085" spans="1:18" x14ac:dyDescent="0.25">
      <c r="A1085" s="1" t="s">
        <v>411</v>
      </c>
      <c r="B1085" s="2" t="s">
        <v>417</v>
      </c>
      <c r="C1085" s="19">
        <v>43</v>
      </c>
      <c r="D1085" s="3" t="s">
        <v>495</v>
      </c>
      <c r="E1085" s="3" t="s">
        <v>333</v>
      </c>
      <c r="F1085" s="23">
        <v>390000</v>
      </c>
      <c r="G1085" s="35">
        <v>2010</v>
      </c>
      <c r="H1085">
        <f>Table_8[[#This Row],[Listing Price (USD)]]/10000</f>
        <v>39</v>
      </c>
      <c r="I1085">
        <f>Table_8[[#This Row],[Length 
(ft)]]</f>
        <v>43</v>
      </c>
      <c r="J1085" s="37">
        <f>2020-Table_8[[#This Row],[Year]]</f>
        <v>10</v>
      </c>
      <c r="K1085">
        <v>1106036000000</v>
      </c>
      <c r="L1085">
        <v>51276.72</v>
      </c>
      <c r="M1085">
        <v>1.23</v>
      </c>
      <c r="N1085">
        <v>2.9</v>
      </c>
      <c r="O1085" s="39">
        <v>42.98</v>
      </c>
      <c r="P1085" s="39">
        <v>1183.002</v>
      </c>
      <c r="Q1085" s="39">
        <v>106</v>
      </c>
      <c r="R1085" s="39">
        <v>24.11</v>
      </c>
    </row>
    <row r="1086" spans="1:18" x14ac:dyDescent="0.25">
      <c r="A1086" s="1" t="s">
        <v>411</v>
      </c>
      <c r="B1086" s="2" t="s">
        <v>417</v>
      </c>
      <c r="C1086" s="19">
        <v>43</v>
      </c>
      <c r="D1086" s="3" t="s">
        <v>497</v>
      </c>
      <c r="E1086" s="3" t="s">
        <v>559</v>
      </c>
      <c r="F1086" s="23">
        <v>390827</v>
      </c>
      <c r="G1086" s="35">
        <v>2008</v>
      </c>
      <c r="H1086">
        <f>Table_8[[#This Row],[Listing Price (USD)]]/10000</f>
        <v>39.082700000000003</v>
      </c>
      <c r="I1086">
        <f>Table_8[[#This Row],[Length 
(ft)]]</f>
        <v>43</v>
      </c>
      <c r="J1086" s="37">
        <f>2020-Table_8[[#This Row],[Year]]</f>
        <v>12</v>
      </c>
      <c r="K1086">
        <v>681973374534.10596</v>
      </c>
      <c r="L1086">
        <v>27575.495000325591</v>
      </c>
      <c r="M1086">
        <v>0.8848420113691905</v>
      </c>
      <c r="N1086">
        <v>-6.3525291034127971</v>
      </c>
      <c r="O1086" s="39">
        <v>42.98</v>
      </c>
      <c r="P1086" s="39">
        <v>1183.002</v>
      </c>
      <c r="Q1086" s="39">
        <v>106</v>
      </c>
      <c r="R1086" s="39">
        <v>24.11</v>
      </c>
    </row>
    <row r="1087" spans="1:18" x14ac:dyDescent="0.25">
      <c r="A1087" s="1" t="s">
        <v>411</v>
      </c>
      <c r="B1087" s="2" t="s">
        <v>423</v>
      </c>
      <c r="C1087" s="19">
        <v>46</v>
      </c>
      <c r="D1087" s="3" t="s">
        <v>496</v>
      </c>
      <c r="E1087" s="4" t="s">
        <v>24</v>
      </c>
      <c r="F1087" s="23">
        <v>242939</v>
      </c>
      <c r="G1087" s="35">
        <v>2006</v>
      </c>
      <c r="H1087">
        <f>Table_8[[#This Row],[Listing Price (USD)]]/10000</f>
        <v>24.293900000000001</v>
      </c>
      <c r="I1087">
        <f>Table_8[[#This Row],[Length 
(ft)]]</f>
        <v>46</v>
      </c>
      <c r="J1087" s="37">
        <f>2020-Table_8[[#This Row],[Year]]</f>
        <v>14</v>
      </c>
      <c r="K1087">
        <v>1896755301518.1399</v>
      </c>
      <c r="L1087">
        <v>31911.0357890017</v>
      </c>
      <c r="M1087">
        <v>-0.13770757391656999</v>
      </c>
      <c r="N1087">
        <v>-9.0399534112288507</v>
      </c>
      <c r="O1087" s="39">
        <v>41.83</v>
      </c>
      <c r="P1087" s="39">
        <v>860</v>
      </c>
      <c r="Q1087" s="39">
        <v>172</v>
      </c>
      <c r="R1087" s="39">
        <v>25.26</v>
      </c>
    </row>
    <row r="1088" spans="1:18" x14ac:dyDescent="0.25">
      <c r="A1088" s="1" t="s">
        <v>411</v>
      </c>
      <c r="B1088" s="2" t="s">
        <v>425</v>
      </c>
      <c r="C1088" s="19">
        <v>49</v>
      </c>
      <c r="D1088" s="3" t="s">
        <v>497</v>
      </c>
      <c r="E1088" s="3" t="s">
        <v>377</v>
      </c>
      <c r="F1088" s="23">
        <v>571486</v>
      </c>
      <c r="G1088" s="35">
        <v>2014</v>
      </c>
      <c r="H1088">
        <f>Table_8[[#This Row],[Listing Price (USD)]]/10000</f>
        <v>57.148600000000002</v>
      </c>
      <c r="I1088">
        <f>Table_8[[#This Row],[Length 
(ft)]]</f>
        <v>49</v>
      </c>
      <c r="J1088" s="37">
        <f>2020-Table_8[[#This Row],[Year]]</f>
        <v>6</v>
      </c>
      <c r="K1088">
        <v>681973374534.10596</v>
      </c>
      <c r="L1088">
        <v>27575.495000325591</v>
      </c>
      <c r="M1088">
        <v>0.8848420113691905</v>
      </c>
      <c r="N1088">
        <v>-6.3525291034127971</v>
      </c>
      <c r="O1088" s="39">
        <v>46.92</v>
      </c>
      <c r="P1088" s="39">
        <v>1291.002</v>
      </c>
      <c r="Q1088" s="39">
        <v>248</v>
      </c>
      <c r="R1088" s="39">
        <v>26.21</v>
      </c>
    </row>
    <row r="1089" spans="1:18" x14ac:dyDescent="0.25">
      <c r="A1089" s="1" t="s">
        <v>411</v>
      </c>
      <c r="B1089" s="3" t="s">
        <v>425</v>
      </c>
      <c r="C1089" s="19">
        <v>49</v>
      </c>
      <c r="D1089" s="3" t="s">
        <v>497</v>
      </c>
      <c r="E1089" s="3" t="s">
        <v>483</v>
      </c>
      <c r="F1089" s="23">
        <v>589343</v>
      </c>
      <c r="G1089" s="35">
        <v>2015</v>
      </c>
      <c r="H1089">
        <f>Table_8[[#This Row],[Listing Price (USD)]]/10000</f>
        <v>58.9343</v>
      </c>
      <c r="I1089">
        <f>Table_8[[#This Row],[Length 
(ft)]]</f>
        <v>49</v>
      </c>
      <c r="J1089" s="37">
        <f>2020-Table_8[[#This Row],[Year]]</f>
        <v>5</v>
      </c>
      <c r="K1089">
        <v>4200000000</v>
      </c>
      <c r="L1089">
        <v>39553.199999999997</v>
      </c>
      <c r="M1089">
        <v>2.5</v>
      </c>
      <c r="N1089">
        <v>-2.1</v>
      </c>
      <c r="O1089" s="39">
        <v>46.92</v>
      </c>
      <c r="P1089" s="39">
        <v>1291.002</v>
      </c>
      <c r="Q1089" s="39">
        <v>248</v>
      </c>
      <c r="R1089" s="39">
        <v>26.21</v>
      </c>
    </row>
    <row r="1090" spans="1:18" x14ac:dyDescent="0.25">
      <c r="A1090" s="1" t="s">
        <v>411</v>
      </c>
      <c r="B1090" s="2" t="s">
        <v>425</v>
      </c>
      <c r="C1090" s="19">
        <v>49</v>
      </c>
      <c r="D1090" s="3" t="s">
        <v>497</v>
      </c>
      <c r="E1090" s="3" t="s">
        <v>483</v>
      </c>
      <c r="F1090" s="23">
        <v>589724</v>
      </c>
      <c r="G1090" s="35">
        <v>2014</v>
      </c>
      <c r="H1090">
        <f>Table_8[[#This Row],[Listing Price (USD)]]/10000</f>
        <v>58.9724</v>
      </c>
      <c r="I1090">
        <f>Table_8[[#This Row],[Length 
(ft)]]</f>
        <v>49</v>
      </c>
      <c r="J1090" s="37">
        <f>2020-Table_8[[#This Row],[Year]]</f>
        <v>6</v>
      </c>
      <c r="K1090">
        <v>4200000000</v>
      </c>
      <c r="L1090">
        <v>39553.199999999997</v>
      </c>
      <c r="M1090">
        <v>2.5</v>
      </c>
      <c r="N1090">
        <v>-2.1</v>
      </c>
      <c r="O1090" s="39">
        <v>46.92</v>
      </c>
      <c r="P1090" s="39">
        <v>1291.002</v>
      </c>
      <c r="Q1090" s="39">
        <v>248</v>
      </c>
      <c r="R1090" s="39">
        <v>26.21</v>
      </c>
    </row>
    <row r="1091" spans="1:18" x14ac:dyDescent="0.25">
      <c r="A1091" s="1" t="s">
        <v>411</v>
      </c>
      <c r="B1091" s="2" t="s">
        <v>425</v>
      </c>
      <c r="C1091" s="19">
        <v>49</v>
      </c>
      <c r="D1091" s="3" t="s">
        <v>497</v>
      </c>
      <c r="E1091" s="3" t="s">
        <v>483</v>
      </c>
      <c r="F1091" s="23">
        <v>589724</v>
      </c>
      <c r="G1091" s="35">
        <v>2015</v>
      </c>
      <c r="H1091">
        <f>Table_8[[#This Row],[Listing Price (USD)]]/10000</f>
        <v>58.9724</v>
      </c>
      <c r="I1091">
        <f>Table_8[[#This Row],[Length 
(ft)]]</f>
        <v>49</v>
      </c>
      <c r="J1091" s="37">
        <f>2020-Table_8[[#This Row],[Year]]</f>
        <v>5</v>
      </c>
      <c r="K1091">
        <v>4200000000</v>
      </c>
      <c r="L1091">
        <v>39553.199999999997</v>
      </c>
      <c r="M1091">
        <v>2.5</v>
      </c>
      <c r="N1091">
        <v>-2.1</v>
      </c>
      <c r="O1091" s="39">
        <v>46.92</v>
      </c>
      <c r="P1091" s="39">
        <v>1291.002</v>
      </c>
      <c r="Q1091" s="39">
        <v>248</v>
      </c>
      <c r="R1091" s="39">
        <v>26.21</v>
      </c>
    </row>
    <row r="1092" spans="1:18" x14ac:dyDescent="0.25">
      <c r="A1092" s="1" t="s">
        <v>411</v>
      </c>
      <c r="B1092" s="2" t="s">
        <v>425</v>
      </c>
      <c r="C1092" s="19">
        <v>49</v>
      </c>
      <c r="D1092" s="3" t="s">
        <v>497</v>
      </c>
      <c r="E1092" s="3" t="s">
        <v>370</v>
      </c>
      <c r="F1092" s="23">
        <v>595000</v>
      </c>
      <c r="G1092" s="35">
        <v>2016</v>
      </c>
      <c r="H1092">
        <f>Table_8[[#This Row],[Listing Price (USD)]]/10000</f>
        <v>59.5</v>
      </c>
      <c r="I1092">
        <f>Table_8[[#This Row],[Length 
(ft)]]</f>
        <v>49</v>
      </c>
      <c r="J1092" s="37">
        <f>2020-Table_8[[#This Row],[Year]]</f>
        <v>4</v>
      </c>
      <c r="K1092">
        <v>500000000</v>
      </c>
      <c r="L1092">
        <v>34200</v>
      </c>
      <c r="M1092">
        <v>1.1000000000000001</v>
      </c>
      <c r="N1092">
        <v>2</v>
      </c>
      <c r="O1092" s="39">
        <v>46.92</v>
      </c>
      <c r="P1092" s="39">
        <v>1291.002</v>
      </c>
      <c r="Q1092" s="39">
        <v>248</v>
      </c>
      <c r="R1092" s="39">
        <v>26.21</v>
      </c>
    </row>
    <row r="1093" spans="1:18" x14ac:dyDescent="0.25">
      <c r="A1093" s="1" t="s">
        <v>411</v>
      </c>
      <c r="B1093" s="2" t="s">
        <v>425</v>
      </c>
      <c r="C1093" s="19">
        <v>49</v>
      </c>
      <c r="D1093" s="3" t="s">
        <v>497</v>
      </c>
      <c r="E1093" s="3" t="s">
        <v>483</v>
      </c>
      <c r="F1093" s="23">
        <v>595804</v>
      </c>
      <c r="G1093" s="35">
        <v>2016</v>
      </c>
      <c r="H1093">
        <f>Table_8[[#This Row],[Listing Price (USD)]]/10000</f>
        <v>59.580399999999997</v>
      </c>
      <c r="I1093">
        <f>Table_8[[#This Row],[Length 
(ft)]]</f>
        <v>49</v>
      </c>
      <c r="J1093" s="37">
        <f>2020-Table_8[[#This Row],[Year]]</f>
        <v>4</v>
      </c>
      <c r="K1093">
        <v>4200000000</v>
      </c>
      <c r="L1093">
        <v>39553.199999999997</v>
      </c>
      <c r="M1093">
        <v>2.5</v>
      </c>
      <c r="N1093">
        <v>-2.1</v>
      </c>
      <c r="O1093" s="39">
        <v>46.92</v>
      </c>
      <c r="P1093" s="39">
        <v>1291.002</v>
      </c>
      <c r="Q1093" s="39">
        <v>248</v>
      </c>
      <c r="R1093" s="39">
        <v>26.21</v>
      </c>
    </row>
    <row r="1094" spans="1:18" x14ac:dyDescent="0.25">
      <c r="A1094" s="1" t="s">
        <v>411</v>
      </c>
      <c r="B1094" s="2" t="s">
        <v>425</v>
      </c>
      <c r="C1094" s="19">
        <v>49</v>
      </c>
      <c r="D1094" s="3" t="s">
        <v>497</v>
      </c>
      <c r="E1094" s="3" t="s">
        <v>483</v>
      </c>
      <c r="F1094" s="23">
        <v>601884</v>
      </c>
      <c r="G1094" s="35">
        <v>2015</v>
      </c>
      <c r="H1094">
        <f>Table_8[[#This Row],[Listing Price (USD)]]/10000</f>
        <v>60.188400000000001</v>
      </c>
      <c r="I1094">
        <f>Table_8[[#This Row],[Length 
(ft)]]</f>
        <v>49</v>
      </c>
      <c r="J1094" s="37">
        <f>2020-Table_8[[#This Row],[Year]]</f>
        <v>5</v>
      </c>
      <c r="K1094">
        <v>4200000000</v>
      </c>
      <c r="L1094">
        <v>39553.199999999997</v>
      </c>
      <c r="M1094">
        <v>2.5</v>
      </c>
      <c r="N1094">
        <v>-2.1</v>
      </c>
      <c r="O1094" s="39">
        <v>46.92</v>
      </c>
      <c r="P1094" s="39">
        <v>1291.002</v>
      </c>
      <c r="Q1094" s="39">
        <v>248</v>
      </c>
      <c r="R1094" s="39">
        <v>26.21</v>
      </c>
    </row>
    <row r="1095" spans="1:18" x14ac:dyDescent="0.25">
      <c r="A1095" s="1" t="s">
        <v>411</v>
      </c>
      <c r="B1095" s="2" t="s">
        <v>425</v>
      </c>
      <c r="C1095" s="19">
        <v>49</v>
      </c>
      <c r="D1095" s="3" t="s">
        <v>497</v>
      </c>
      <c r="E1095" s="3" t="s">
        <v>483</v>
      </c>
      <c r="F1095" s="23">
        <v>601884</v>
      </c>
      <c r="G1095" s="35">
        <v>2016</v>
      </c>
      <c r="H1095">
        <f>Table_8[[#This Row],[Listing Price (USD)]]/10000</f>
        <v>60.188400000000001</v>
      </c>
      <c r="I1095">
        <f>Table_8[[#This Row],[Length 
(ft)]]</f>
        <v>49</v>
      </c>
      <c r="J1095" s="37">
        <f>2020-Table_8[[#This Row],[Year]]</f>
        <v>4</v>
      </c>
      <c r="K1095">
        <v>4200000000</v>
      </c>
      <c r="L1095">
        <v>39553.199999999997</v>
      </c>
      <c r="M1095">
        <v>2.5</v>
      </c>
      <c r="N1095">
        <v>-2.1</v>
      </c>
      <c r="O1095" s="39">
        <v>46.92</v>
      </c>
      <c r="P1095" s="39">
        <v>1291.002</v>
      </c>
      <c r="Q1095" s="39">
        <v>248</v>
      </c>
      <c r="R1095" s="39">
        <v>26.21</v>
      </c>
    </row>
    <row r="1096" spans="1:18" x14ac:dyDescent="0.25">
      <c r="A1096" s="1" t="s">
        <v>411</v>
      </c>
      <c r="B1096" s="2" t="s">
        <v>425</v>
      </c>
      <c r="C1096" s="19">
        <v>49</v>
      </c>
      <c r="D1096" s="3" t="s">
        <v>497</v>
      </c>
      <c r="E1096" s="3" t="s">
        <v>377</v>
      </c>
      <c r="F1096" s="23">
        <v>667544</v>
      </c>
      <c r="G1096" s="35">
        <v>2016</v>
      </c>
      <c r="H1096">
        <f>Table_8[[#This Row],[Listing Price (USD)]]/10000</f>
        <v>66.754400000000004</v>
      </c>
      <c r="I1096">
        <f>Table_8[[#This Row],[Length 
(ft)]]</f>
        <v>49</v>
      </c>
      <c r="J1096" s="37">
        <f>2020-Table_8[[#This Row],[Year]]</f>
        <v>4</v>
      </c>
      <c r="K1096">
        <v>681973374534.10596</v>
      </c>
      <c r="L1096">
        <v>27575.495000325591</v>
      </c>
      <c r="M1096">
        <v>0.8848420113691905</v>
      </c>
      <c r="N1096">
        <v>-6.3525291034127971</v>
      </c>
      <c r="O1096" s="39">
        <v>46.92</v>
      </c>
      <c r="P1096" s="39">
        <v>1291.002</v>
      </c>
      <c r="Q1096" s="39">
        <v>248</v>
      </c>
      <c r="R1096" s="39">
        <v>26.21</v>
      </c>
    </row>
    <row r="1097" spans="1:18" x14ac:dyDescent="0.25">
      <c r="A1097" s="1" t="s">
        <v>411</v>
      </c>
      <c r="B1097" s="2" t="s">
        <v>425</v>
      </c>
      <c r="C1097" s="19">
        <v>49</v>
      </c>
      <c r="D1097" s="3" t="s">
        <v>497</v>
      </c>
      <c r="E1097" s="3" t="s">
        <v>559</v>
      </c>
      <c r="F1097" s="23">
        <v>735636</v>
      </c>
      <c r="G1097" s="35">
        <v>2016</v>
      </c>
      <c r="H1097">
        <f>Table_8[[#This Row],[Listing Price (USD)]]/10000</f>
        <v>73.563599999999994</v>
      </c>
      <c r="I1097">
        <f>Table_8[[#This Row],[Length 
(ft)]]</f>
        <v>49</v>
      </c>
      <c r="J1097" s="37">
        <f>2020-Table_8[[#This Row],[Year]]</f>
        <v>4</v>
      </c>
      <c r="K1097">
        <v>681973374534.10596</v>
      </c>
      <c r="L1097">
        <v>27575.495000325591</v>
      </c>
      <c r="M1097">
        <v>0.8848420113691905</v>
      </c>
      <c r="N1097">
        <v>-6.3525291034127971</v>
      </c>
      <c r="O1097" s="39">
        <v>46.92</v>
      </c>
      <c r="P1097" s="39">
        <v>1291.002</v>
      </c>
      <c r="Q1097" s="39">
        <v>248</v>
      </c>
      <c r="R1097" s="39">
        <v>26.21</v>
      </c>
    </row>
    <row r="1098" spans="1:18" x14ac:dyDescent="0.25">
      <c r="A1098" s="1" t="s">
        <v>411</v>
      </c>
      <c r="B1098" s="2" t="s">
        <v>425</v>
      </c>
      <c r="C1098" s="19">
        <v>49</v>
      </c>
      <c r="D1098" s="3" t="s">
        <v>495</v>
      </c>
      <c r="E1098" s="3" t="s">
        <v>333</v>
      </c>
      <c r="F1098" s="23">
        <v>765000</v>
      </c>
      <c r="G1098" s="35">
        <v>2015</v>
      </c>
      <c r="H1098">
        <f>Table_8[[#This Row],[Listing Price (USD)]]/10000</f>
        <v>76.5</v>
      </c>
      <c r="I1098">
        <f>Table_8[[#This Row],[Length 
(ft)]]</f>
        <v>49</v>
      </c>
      <c r="J1098" s="37">
        <f>2020-Table_8[[#This Row],[Year]]</f>
        <v>5</v>
      </c>
      <c r="K1098">
        <v>1106036000000</v>
      </c>
      <c r="L1098">
        <v>51276.72</v>
      </c>
      <c r="M1098">
        <v>1.23</v>
      </c>
      <c r="N1098">
        <v>2.9</v>
      </c>
      <c r="O1098" s="39">
        <v>46.92</v>
      </c>
      <c r="P1098" s="39">
        <v>1291.002</v>
      </c>
      <c r="Q1098" s="39">
        <v>248</v>
      </c>
      <c r="R1098" s="39">
        <v>26.21</v>
      </c>
    </row>
    <row r="1099" spans="1:18" x14ac:dyDescent="0.25">
      <c r="A1099" s="1" t="s">
        <v>411</v>
      </c>
      <c r="B1099" s="2" t="s">
        <v>425</v>
      </c>
      <c r="C1099" s="19">
        <v>49</v>
      </c>
      <c r="D1099" s="3" t="s">
        <v>496</v>
      </c>
      <c r="E1099" s="4" t="s">
        <v>18</v>
      </c>
      <c r="F1099" s="23">
        <v>825350</v>
      </c>
      <c r="G1099" s="35">
        <v>2016</v>
      </c>
      <c r="H1099">
        <f>Table_8[[#This Row],[Listing Price (USD)]]/10000</f>
        <v>82.534999999999997</v>
      </c>
      <c r="I1099">
        <f>Table_8[[#This Row],[Length 
(ft)]]</f>
        <v>49</v>
      </c>
      <c r="J1099" s="37">
        <f>2020-Table_8[[#This Row],[Year]]</f>
        <v>4</v>
      </c>
      <c r="K1099">
        <v>188925995936.80701</v>
      </c>
      <c r="L1099">
        <v>17658.947301119199</v>
      </c>
      <c r="M1099">
        <v>-1.2479835558140799</v>
      </c>
      <c r="N1099">
        <v>-9.0040436420214593</v>
      </c>
      <c r="O1099" s="39">
        <v>46.92</v>
      </c>
      <c r="P1099" s="39">
        <v>1291.002</v>
      </c>
      <c r="Q1099" s="39">
        <v>248</v>
      </c>
      <c r="R1099" s="39">
        <v>26.21</v>
      </c>
    </row>
    <row r="1100" spans="1:18" x14ac:dyDescent="0.25">
      <c r="A1100" s="1" t="s">
        <v>411</v>
      </c>
      <c r="B1100" s="2" t="s">
        <v>425</v>
      </c>
      <c r="C1100" s="19">
        <v>49</v>
      </c>
      <c r="D1100" s="3" t="s">
        <v>496</v>
      </c>
      <c r="E1100" s="4" t="s">
        <v>3</v>
      </c>
      <c r="F1100" s="23">
        <v>843556</v>
      </c>
      <c r="G1100" s="35">
        <v>2015</v>
      </c>
      <c r="H1100">
        <f>Table_8[[#This Row],[Listing Price (USD)]]/10000</f>
        <v>84.355599999999995</v>
      </c>
      <c r="I1100">
        <f>Table_8[[#This Row],[Length 
(ft)]]</f>
        <v>49</v>
      </c>
      <c r="J1100" s="37">
        <f>2020-Table_8[[#This Row],[Year]]</f>
        <v>5</v>
      </c>
      <c r="K1100">
        <v>2639008701648.2598</v>
      </c>
      <c r="L1100">
        <v>39055.282928075401</v>
      </c>
      <c r="M1100">
        <v>0.47649885272508302</v>
      </c>
      <c r="N1100">
        <v>-7.7845864916787102</v>
      </c>
      <c r="O1100" s="39">
        <v>46.92</v>
      </c>
      <c r="P1100" s="39">
        <v>1291.002</v>
      </c>
      <c r="Q1100" s="39">
        <v>248</v>
      </c>
      <c r="R1100" s="39">
        <v>26.21</v>
      </c>
    </row>
    <row r="1101" spans="1:18" x14ac:dyDescent="0.25">
      <c r="A1101" s="1" t="s">
        <v>411</v>
      </c>
      <c r="B1101" s="2" t="s">
        <v>425</v>
      </c>
      <c r="C1101" s="19">
        <v>49</v>
      </c>
      <c r="D1101" s="3" t="s">
        <v>496</v>
      </c>
      <c r="E1101" s="4" t="s">
        <v>9</v>
      </c>
      <c r="F1101" s="23">
        <v>910312</v>
      </c>
      <c r="G1101" s="35">
        <v>2015</v>
      </c>
      <c r="H1101">
        <f>Table_8[[#This Row],[Listing Price (USD)]]/10000</f>
        <v>91.031199999999998</v>
      </c>
      <c r="I1101">
        <f>Table_8[[#This Row],[Length 
(ft)]]</f>
        <v>49</v>
      </c>
      <c r="J1101" s="37">
        <f>2020-Table_8[[#This Row],[Year]]</f>
        <v>5</v>
      </c>
      <c r="K1101">
        <v>1276962685648.25</v>
      </c>
      <c r="L1101">
        <v>26959.675436732599</v>
      </c>
      <c r="M1101">
        <v>-0.32275301729970501</v>
      </c>
      <c r="N1101">
        <v>-11.3254383222864</v>
      </c>
      <c r="O1101" s="39">
        <v>46.92</v>
      </c>
      <c r="P1101" s="39">
        <v>1291.002</v>
      </c>
      <c r="Q1101" s="39">
        <v>248</v>
      </c>
      <c r="R1101" s="39">
        <v>26.21</v>
      </c>
    </row>
    <row r="1102" spans="1:18" x14ac:dyDescent="0.25">
      <c r="A1102" s="1" t="s">
        <v>411</v>
      </c>
      <c r="B1102" s="2" t="s">
        <v>425</v>
      </c>
      <c r="C1102" s="19">
        <v>49</v>
      </c>
      <c r="D1102" s="3" t="s">
        <v>496</v>
      </c>
      <c r="E1102" s="4" t="s">
        <v>24</v>
      </c>
      <c r="F1102" s="23">
        <v>910312</v>
      </c>
      <c r="G1102" s="35">
        <v>2018</v>
      </c>
      <c r="H1102">
        <f>Table_8[[#This Row],[Listing Price (USD)]]/10000</f>
        <v>91.031199999999998</v>
      </c>
      <c r="I1102">
        <f>Table_8[[#This Row],[Length 
(ft)]]</f>
        <v>49</v>
      </c>
      <c r="J1102" s="37">
        <f>2020-Table_8[[#This Row],[Year]]</f>
        <v>2</v>
      </c>
      <c r="K1102">
        <v>1896755301518.1399</v>
      </c>
      <c r="L1102">
        <v>31911.0357890017</v>
      </c>
      <c r="M1102">
        <v>-0.13770757391656999</v>
      </c>
      <c r="N1102">
        <v>-9.0399534112288507</v>
      </c>
      <c r="O1102" s="39">
        <v>46.92</v>
      </c>
      <c r="P1102" s="39">
        <v>1291.002</v>
      </c>
      <c r="Q1102" s="39">
        <v>248</v>
      </c>
      <c r="R1102" s="39">
        <v>26.21</v>
      </c>
    </row>
    <row r="1103" spans="1:18" x14ac:dyDescent="0.25">
      <c r="A1103" s="1" t="s">
        <v>411</v>
      </c>
      <c r="B1103" s="2" t="s">
        <v>425</v>
      </c>
      <c r="C1103" s="19">
        <v>49</v>
      </c>
      <c r="D1103" s="3" t="s">
        <v>496</v>
      </c>
      <c r="E1103" s="4" t="s">
        <v>24</v>
      </c>
      <c r="F1103" s="23">
        <v>910312</v>
      </c>
      <c r="G1103" s="35">
        <v>2018</v>
      </c>
      <c r="H1103">
        <f>Table_8[[#This Row],[Listing Price (USD)]]/10000</f>
        <v>91.031199999999998</v>
      </c>
      <c r="I1103">
        <f>Table_8[[#This Row],[Length 
(ft)]]</f>
        <v>49</v>
      </c>
      <c r="J1103" s="37">
        <f>2020-Table_8[[#This Row],[Year]]</f>
        <v>2</v>
      </c>
      <c r="K1103">
        <v>1896755301518.1399</v>
      </c>
      <c r="L1103">
        <v>31911.0357890017</v>
      </c>
      <c r="M1103">
        <v>-0.13770757391656999</v>
      </c>
      <c r="N1103">
        <v>-9.0399534112288507</v>
      </c>
      <c r="O1103" s="39">
        <v>46.92</v>
      </c>
      <c r="P1103" s="39">
        <v>1291.002</v>
      </c>
      <c r="Q1103" s="39">
        <v>248</v>
      </c>
      <c r="R1103" s="39">
        <v>26.21</v>
      </c>
    </row>
    <row r="1104" spans="1:18" x14ac:dyDescent="0.25">
      <c r="A1104" s="1" t="s">
        <v>411</v>
      </c>
      <c r="B1104" s="2" t="s">
        <v>425</v>
      </c>
      <c r="C1104" s="19">
        <v>49</v>
      </c>
      <c r="D1104" s="3" t="s">
        <v>496</v>
      </c>
      <c r="E1104" s="4" t="s">
        <v>31</v>
      </c>
      <c r="F1104" s="23">
        <v>934587</v>
      </c>
      <c r="G1104" s="35">
        <v>2018</v>
      </c>
      <c r="H1104">
        <f>Table_8[[#This Row],[Listing Price (USD)]]/10000</f>
        <v>93.458699999999993</v>
      </c>
      <c r="I1104">
        <f>Table_8[[#This Row],[Length 
(ft)]]</f>
        <v>49</v>
      </c>
      <c r="J1104" s="37">
        <f>2020-Table_8[[#This Row],[Year]]</f>
        <v>2</v>
      </c>
      <c r="K1104">
        <v>57472012426.685303</v>
      </c>
      <c r="L1104">
        <v>14198.753959474399</v>
      </c>
      <c r="M1104">
        <v>0.15481137456202801</v>
      </c>
      <c r="N1104">
        <v>-8.5803430210621805</v>
      </c>
      <c r="O1104" s="39">
        <v>46.92</v>
      </c>
      <c r="P1104" s="39">
        <v>1291.002</v>
      </c>
      <c r="Q1104" s="39">
        <v>248</v>
      </c>
      <c r="R1104" s="39">
        <v>26.21</v>
      </c>
    </row>
    <row r="1105" spans="1:18" x14ac:dyDescent="0.25">
      <c r="A1105" s="1" t="s">
        <v>411</v>
      </c>
      <c r="B1105" s="2" t="s">
        <v>425</v>
      </c>
      <c r="C1105" s="19">
        <v>49</v>
      </c>
      <c r="D1105" s="3" t="s">
        <v>496</v>
      </c>
      <c r="E1105" s="4" t="s">
        <v>31</v>
      </c>
      <c r="F1105" s="23">
        <v>934587</v>
      </c>
      <c r="G1105" s="35">
        <v>2018</v>
      </c>
      <c r="H1105">
        <f>Table_8[[#This Row],[Listing Price (USD)]]/10000</f>
        <v>93.458699999999993</v>
      </c>
      <c r="I1105">
        <f>Table_8[[#This Row],[Length 
(ft)]]</f>
        <v>49</v>
      </c>
      <c r="J1105" s="37">
        <f>2020-Table_8[[#This Row],[Year]]</f>
        <v>2</v>
      </c>
      <c r="K1105">
        <v>57472012426.685303</v>
      </c>
      <c r="L1105">
        <v>14198.753959474399</v>
      </c>
      <c r="M1105">
        <v>0.15481137456202801</v>
      </c>
      <c r="N1105">
        <v>-8.5803430210621805</v>
      </c>
      <c r="O1105" s="39">
        <v>46.92</v>
      </c>
      <c r="P1105" s="39">
        <v>1291.002</v>
      </c>
      <c r="Q1105" s="39">
        <v>248</v>
      </c>
      <c r="R1105" s="39">
        <v>26.21</v>
      </c>
    </row>
    <row r="1106" spans="1:18" x14ac:dyDescent="0.25">
      <c r="A1106" s="1" t="s">
        <v>411</v>
      </c>
      <c r="B1106" s="2" t="s">
        <v>425</v>
      </c>
      <c r="C1106" s="19">
        <v>49</v>
      </c>
      <c r="D1106" s="3" t="s">
        <v>497</v>
      </c>
      <c r="E1106" s="3" t="s">
        <v>525</v>
      </c>
      <c r="F1106" s="23">
        <v>1039617</v>
      </c>
      <c r="G1106" s="35">
        <v>2017</v>
      </c>
      <c r="H1106">
        <f>Table_8[[#This Row],[Listing Price (USD)]]/10000</f>
        <v>103.96169999999999</v>
      </c>
      <c r="I1106">
        <f>Table_8[[#This Row],[Length 
(ft)]]</f>
        <v>49</v>
      </c>
      <c r="J1106" s="37">
        <f>2020-Table_8[[#This Row],[Year]]</f>
        <v>3</v>
      </c>
      <c r="K1106">
        <v>4200000000</v>
      </c>
      <c r="L1106">
        <v>39553.199999999997</v>
      </c>
      <c r="M1106">
        <v>4.0999999999999996</v>
      </c>
      <c r="N1106">
        <v>-2.1</v>
      </c>
      <c r="O1106" s="39">
        <v>46.92</v>
      </c>
      <c r="P1106" s="39">
        <v>1291.002</v>
      </c>
      <c r="Q1106" s="39">
        <v>248</v>
      </c>
      <c r="R1106" s="39">
        <v>26.21</v>
      </c>
    </row>
    <row r="1107" spans="1:18" x14ac:dyDescent="0.25">
      <c r="A1107" s="1" t="s">
        <v>411</v>
      </c>
      <c r="B1107" s="2" t="s">
        <v>426</v>
      </c>
      <c r="C1107" s="19">
        <v>49</v>
      </c>
      <c r="D1107" s="3" t="s">
        <v>496</v>
      </c>
      <c r="E1107" s="4" t="s">
        <v>9</v>
      </c>
      <c r="F1107" s="23">
        <v>922450</v>
      </c>
      <c r="G1107" s="35">
        <v>2016</v>
      </c>
      <c r="H1107">
        <f>Table_8[[#This Row],[Listing Price (USD)]]/10000</f>
        <v>92.245000000000005</v>
      </c>
      <c r="I1107">
        <f>Table_8[[#This Row],[Length 
(ft)]]</f>
        <v>49</v>
      </c>
      <c r="J1107" s="37">
        <f>2020-Table_8[[#This Row],[Year]]</f>
        <v>4</v>
      </c>
      <c r="K1107">
        <v>1276962685648.25</v>
      </c>
      <c r="L1107">
        <v>26959.675436732599</v>
      </c>
      <c r="M1107">
        <v>-0.32275301729970501</v>
      </c>
      <c r="N1107">
        <v>-11.3254383222864</v>
      </c>
      <c r="O1107" s="39">
        <v>46.92</v>
      </c>
      <c r="P1107" s="39">
        <v>1291.002</v>
      </c>
      <c r="Q1107" s="39">
        <v>248</v>
      </c>
      <c r="R1107" s="39">
        <v>26.21</v>
      </c>
    </row>
    <row r="1108" spans="1:18" x14ac:dyDescent="0.25">
      <c r="A1108" s="1" t="s">
        <v>411</v>
      </c>
      <c r="B1108" s="2" t="s">
        <v>426</v>
      </c>
      <c r="C1108" s="19">
        <v>49</v>
      </c>
      <c r="D1108" s="3" t="s">
        <v>496</v>
      </c>
      <c r="E1108" s="4" t="s">
        <v>24</v>
      </c>
      <c r="F1108" s="23">
        <v>1055962</v>
      </c>
      <c r="G1108" s="35">
        <v>2015</v>
      </c>
      <c r="H1108">
        <f>Table_8[[#This Row],[Listing Price (USD)]]/10000</f>
        <v>105.5962</v>
      </c>
      <c r="I1108">
        <f>Table_8[[#This Row],[Length 
(ft)]]</f>
        <v>49</v>
      </c>
      <c r="J1108" s="37">
        <f>2020-Table_8[[#This Row],[Year]]</f>
        <v>5</v>
      </c>
      <c r="K1108">
        <v>1896755301518.1399</v>
      </c>
      <c r="L1108">
        <v>31911.0357890017</v>
      </c>
      <c r="M1108">
        <v>-0.13770757391656999</v>
      </c>
      <c r="N1108">
        <v>-9.0399534112288507</v>
      </c>
      <c r="O1108" s="39">
        <v>46.92</v>
      </c>
      <c r="P1108" s="39">
        <v>1291.002</v>
      </c>
      <c r="Q1108" s="39">
        <v>248</v>
      </c>
      <c r="R1108" s="39">
        <v>26.21</v>
      </c>
    </row>
    <row r="1109" spans="1:18" x14ac:dyDescent="0.25">
      <c r="A1109" s="1" t="s">
        <v>411</v>
      </c>
      <c r="B1109" s="2" t="s">
        <v>424</v>
      </c>
      <c r="C1109" s="19">
        <v>47</v>
      </c>
      <c r="D1109" s="3" t="s">
        <v>497</v>
      </c>
      <c r="E1109" s="3" t="s">
        <v>481</v>
      </c>
      <c r="F1109" s="23">
        <v>249000</v>
      </c>
      <c r="G1109" s="35">
        <v>2012</v>
      </c>
      <c r="H1109">
        <f>Table_8[[#This Row],[Listing Price (USD)]]/10000</f>
        <v>24.9</v>
      </c>
      <c r="I1109">
        <f>Table_8[[#This Row],[Length 
(ft)]]</f>
        <v>47</v>
      </c>
      <c r="J1109" s="37">
        <f>2020-Table_8[[#This Row],[Year]]</f>
        <v>8</v>
      </c>
      <c r="K1109">
        <v>53977000000</v>
      </c>
      <c r="L1109">
        <v>12569.1715435651</v>
      </c>
      <c r="M1109">
        <v>-1.55027540803759</v>
      </c>
      <c r="N1109">
        <v>-17.944893597249301</v>
      </c>
      <c r="O1109" s="39">
        <v>40.19</v>
      </c>
      <c r="P1109" s="39">
        <v>1410.002</v>
      </c>
      <c r="Q1109" s="39">
        <v>127</v>
      </c>
      <c r="R1109" s="39">
        <v>25.6</v>
      </c>
    </row>
    <row r="1110" spans="1:18" x14ac:dyDescent="0.25">
      <c r="A1110" s="1" t="s">
        <v>411</v>
      </c>
      <c r="B1110" s="2" t="s">
        <v>424</v>
      </c>
      <c r="C1110" s="19">
        <v>47</v>
      </c>
      <c r="D1110" s="3" t="s">
        <v>497</v>
      </c>
      <c r="E1110" s="3" t="s">
        <v>483</v>
      </c>
      <c r="F1110" s="23">
        <v>314925</v>
      </c>
      <c r="G1110" s="35">
        <v>2009</v>
      </c>
      <c r="H1110">
        <f>Table_8[[#This Row],[Listing Price (USD)]]/10000</f>
        <v>31.4925</v>
      </c>
      <c r="I1110">
        <f>Table_8[[#This Row],[Length 
(ft)]]</f>
        <v>47</v>
      </c>
      <c r="J1110" s="37">
        <f>2020-Table_8[[#This Row],[Year]]</f>
        <v>11</v>
      </c>
      <c r="K1110">
        <v>4200000000</v>
      </c>
      <c r="L1110">
        <v>39553.199999999997</v>
      </c>
      <c r="M1110">
        <v>2.5</v>
      </c>
      <c r="N1110">
        <v>-2.1</v>
      </c>
      <c r="O1110" s="39">
        <v>40.19</v>
      </c>
      <c r="P1110" s="39">
        <v>1410.002</v>
      </c>
      <c r="Q1110" s="39">
        <v>127</v>
      </c>
      <c r="R1110" s="39">
        <v>25.6</v>
      </c>
    </row>
    <row r="1111" spans="1:18" x14ac:dyDescent="0.25">
      <c r="A1111" s="1" t="s">
        <v>411</v>
      </c>
      <c r="B1111" s="2" t="s">
        <v>424</v>
      </c>
      <c r="C1111" s="19">
        <v>47</v>
      </c>
      <c r="D1111" s="3" t="s">
        <v>496</v>
      </c>
      <c r="E1111" s="4" t="s">
        <v>31</v>
      </c>
      <c r="F1111" s="23">
        <v>315454</v>
      </c>
      <c r="G1111" s="35">
        <v>2009</v>
      </c>
      <c r="H1111">
        <f>Table_8[[#This Row],[Listing Price (USD)]]/10000</f>
        <v>31.545400000000001</v>
      </c>
      <c r="I1111">
        <f>Table_8[[#This Row],[Length 
(ft)]]</f>
        <v>47</v>
      </c>
      <c r="J1111" s="37">
        <f>2020-Table_8[[#This Row],[Year]]</f>
        <v>11</v>
      </c>
      <c r="K1111">
        <v>57472012426.685303</v>
      </c>
      <c r="L1111">
        <v>14198.753959474399</v>
      </c>
      <c r="M1111">
        <v>0.15481137456202801</v>
      </c>
      <c r="N1111">
        <v>-8.5803430210621805</v>
      </c>
      <c r="O1111" s="39">
        <v>40.19</v>
      </c>
      <c r="P1111" s="39">
        <v>1410.002</v>
      </c>
      <c r="Q1111" s="39">
        <v>127</v>
      </c>
      <c r="R1111" s="39">
        <v>25.6</v>
      </c>
    </row>
    <row r="1112" spans="1:18" x14ac:dyDescent="0.25">
      <c r="A1112" s="1" t="s">
        <v>411</v>
      </c>
      <c r="B1112" s="2" t="s">
        <v>424</v>
      </c>
      <c r="C1112" s="19">
        <v>47</v>
      </c>
      <c r="D1112" s="3" t="s">
        <v>496</v>
      </c>
      <c r="E1112" s="4" t="s">
        <v>18</v>
      </c>
      <c r="F1112" s="23">
        <v>333781</v>
      </c>
      <c r="G1112" s="35">
        <v>2008</v>
      </c>
      <c r="H1112">
        <f>Table_8[[#This Row],[Listing Price (USD)]]/10000</f>
        <v>33.378100000000003</v>
      </c>
      <c r="I1112">
        <f>Table_8[[#This Row],[Length 
(ft)]]</f>
        <v>47</v>
      </c>
      <c r="J1112" s="37">
        <f>2020-Table_8[[#This Row],[Year]]</f>
        <v>12</v>
      </c>
      <c r="K1112">
        <v>188925995936.80701</v>
      </c>
      <c r="L1112">
        <v>17658.947301119199</v>
      </c>
      <c r="M1112">
        <v>-1.2479835558140799</v>
      </c>
      <c r="N1112">
        <v>-9.0040436420214593</v>
      </c>
      <c r="O1112" s="39">
        <v>40.19</v>
      </c>
      <c r="P1112" s="39">
        <v>1410.002</v>
      </c>
      <c r="Q1112" s="39">
        <v>127</v>
      </c>
      <c r="R1112" s="39">
        <v>25.6</v>
      </c>
    </row>
    <row r="1113" spans="1:18" x14ac:dyDescent="0.25">
      <c r="A1113" s="1" t="s">
        <v>411</v>
      </c>
      <c r="B1113" s="2" t="s">
        <v>424</v>
      </c>
      <c r="C1113" s="19">
        <v>47</v>
      </c>
      <c r="D1113" s="3" t="s">
        <v>496</v>
      </c>
      <c r="E1113" s="4" t="s">
        <v>63</v>
      </c>
      <c r="F1113" s="23">
        <v>345919</v>
      </c>
      <c r="G1113" s="35">
        <v>2007</v>
      </c>
      <c r="H1113">
        <f>Table_8[[#This Row],[Listing Price (USD)]]/10000</f>
        <v>34.591900000000003</v>
      </c>
      <c r="I1113">
        <f>Table_8[[#This Row],[Length 
(ft)]]</f>
        <v>47</v>
      </c>
      <c r="J1113" s="37">
        <f>2020-Table_8[[#This Row],[Year]]</f>
        <v>13</v>
      </c>
      <c r="K1113">
        <v>720290000000</v>
      </c>
      <c r="L1113">
        <v>13341.6</v>
      </c>
      <c r="M1113">
        <v>13</v>
      </c>
      <c r="N1113">
        <v>-3</v>
      </c>
      <c r="O1113" s="39">
        <v>40.19</v>
      </c>
      <c r="P1113" s="39">
        <v>1410.002</v>
      </c>
      <c r="Q1113" s="39">
        <v>127</v>
      </c>
      <c r="R1113" s="39">
        <v>25.6</v>
      </c>
    </row>
    <row r="1114" spans="1:18" x14ac:dyDescent="0.25">
      <c r="A1114" s="1" t="s">
        <v>411</v>
      </c>
      <c r="B1114" s="2" t="s">
        <v>424</v>
      </c>
      <c r="C1114" s="19">
        <v>47</v>
      </c>
      <c r="D1114" s="3" t="s">
        <v>496</v>
      </c>
      <c r="E1114" s="4" t="s">
        <v>18</v>
      </c>
      <c r="F1114" s="23">
        <v>345919</v>
      </c>
      <c r="G1114" s="35">
        <v>2008</v>
      </c>
      <c r="H1114">
        <f>Table_8[[#This Row],[Listing Price (USD)]]/10000</f>
        <v>34.591900000000003</v>
      </c>
      <c r="I1114">
        <f>Table_8[[#This Row],[Length 
(ft)]]</f>
        <v>47</v>
      </c>
      <c r="J1114" s="37">
        <f>2020-Table_8[[#This Row],[Year]]</f>
        <v>12</v>
      </c>
      <c r="K1114">
        <v>188925995936.80701</v>
      </c>
      <c r="L1114">
        <v>17658.947301119199</v>
      </c>
      <c r="M1114">
        <v>-1.2479835558140799</v>
      </c>
      <c r="N1114">
        <v>-9.0040436420214593</v>
      </c>
      <c r="O1114" s="39">
        <v>40.19</v>
      </c>
      <c r="P1114" s="39">
        <v>1410.002</v>
      </c>
      <c r="Q1114" s="39">
        <v>127</v>
      </c>
      <c r="R1114" s="39">
        <v>25.6</v>
      </c>
    </row>
    <row r="1115" spans="1:18" x14ac:dyDescent="0.25">
      <c r="A1115" s="1" t="s">
        <v>411</v>
      </c>
      <c r="B1115" s="2" t="s">
        <v>424</v>
      </c>
      <c r="C1115" s="19">
        <v>47</v>
      </c>
      <c r="D1115" s="3" t="s">
        <v>496</v>
      </c>
      <c r="E1115" s="4" t="s">
        <v>18</v>
      </c>
      <c r="F1115" s="23">
        <v>346188</v>
      </c>
      <c r="G1115" s="35">
        <v>2008</v>
      </c>
      <c r="H1115">
        <f>Table_8[[#This Row],[Listing Price (USD)]]/10000</f>
        <v>34.6188</v>
      </c>
      <c r="I1115">
        <f>Table_8[[#This Row],[Length 
(ft)]]</f>
        <v>47</v>
      </c>
      <c r="J1115" s="37">
        <f>2020-Table_8[[#This Row],[Year]]</f>
        <v>12</v>
      </c>
      <c r="K1115">
        <v>188925995936.80701</v>
      </c>
      <c r="L1115">
        <v>17658.947301119199</v>
      </c>
      <c r="M1115">
        <v>-1.2479835558140799</v>
      </c>
      <c r="N1115">
        <v>-9.0040436420214593</v>
      </c>
      <c r="O1115" s="39">
        <v>40.19</v>
      </c>
      <c r="P1115" s="39">
        <v>1410.002</v>
      </c>
      <c r="Q1115" s="39">
        <v>127</v>
      </c>
      <c r="R1115" s="39">
        <v>25.6</v>
      </c>
    </row>
    <row r="1116" spans="1:18" x14ac:dyDescent="0.25">
      <c r="A1116" s="1" t="s">
        <v>411</v>
      </c>
      <c r="B1116" s="2" t="s">
        <v>424</v>
      </c>
      <c r="C1116" s="19">
        <v>47</v>
      </c>
      <c r="D1116" s="3" t="s">
        <v>496</v>
      </c>
      <c r="E1116" s="4" t="s">
        <v>3</v>
      </c>
      <c r="F1116" s="23">
        <v>358056</v>
      </c>
      <c r="G1116" s="35">
        <v>2012</v>
      </c>
      <c r="H1116">
        <f>Table_8[[#This Row],[Listing Price (USD)]]/10000</f>
        <v>35.805599999999998</v>
      </c>
      <c r="I1116">
        <f>Table_8[[#This Row],[Length 
(ft)]]</f>
        <v>47</v>
      </c>
      <c r="J1116" s="37">
        <f>2020-Table_8[[#This Row],[Year]]</f>
        <v>8</v>
      </c>
      <c r="K1116">
        <v>2639008701648.2598</v>
      </c>
      <c r="L1116">
        <v>39055.282928075401</v>
      </c>
      <c r="M1116">
        <v>0.47649885272508302</v>
      </c>
      <c r="N1116">
        <v>-7.7845864916787102</v>
      </c>
      <c r="O1116" s="39">
        <v>40.19</v>
      </c>
      <c r="P1116" s="39">
        <v>1410.002</v>
      </c>
      <c r="Q1116" s="39">
        <v>127</v>
      </c>
      <c r="R1116" s="39">
        <v>25.6</v>
      </c>
    </row>
    <row r="1117" spans="1:18" x14ac:dyDescent="0.25">
      <c r="A1117" s="1" t="s">
        <v>411</v>
      </c>
      <c r="B1117" s="2" t="s">
        <v>424</v>
      </c>
      <c r="C1117" s="19">
        <v>47</v>
      </c>
      <c r="D1117" s="3" t="s">
        <v>496</v>
      </c>
      <c r="E1117" s="4" t="s">
        <v>18</v>
      </c>
      <c r="F1117" s="23">
        <v>376262</v>
      </c>
      <c r="G1117" s="35">
        <v>2008</v>
      </c>
      <c r="H1117">
        <f>Table_8[[#This Row],[Listing Price (USD)]]/10000</f>
        <v>37.626199999999997</v>
      </c>
      <c r="I1117">
        <f>Table_8[[#This Row],[Length 
(ft)]]</f>
        <v>47</v>
      </c>
      <c r="J1117" s="37">
        <f>2020-Table_8[[#This Row],[Year]]</f>
        <v>12</v>
      </c>
      <c r="K1117">
        <v>188925995936.80701</v>
      </c>
      <c r="L1117">
        <v>17658.947301119199</v>
      </c>
      <c r="M1117">
        <v>-1.2479835558140799</v>
      </c>
      <c r="N1117">
        <v>-9.0040436420214593</v>
      </c>
      <c r="O1117" s="39">
        <v>40.19</v>
      </c>
      <c r="P1117" s="39">
        <v>1410.002</v>
      </c>
      <c r="Q1117" s="39">
        <v>127</v>
      </c>
      <c r="R1117" s="39">
        <v>25.6</v>
      </c>
    </row>
    <row r="1118" spans="1:18" x14ac:dyDescent="0.25">
      <c r="A1118" s="1" t="s">
        <v>411</v>
      </c>
      <c r="B1118" s="2" t="s">
        <v>424</v>
      </c>
      <c r="C1118" s="19">
        <v>47</v>
      </c>
      <c r="D1118" s="3" t="s">
        <v>496</v>
      </c>
      <c r="E1118" s="4" t="s">
        <v>18</v>
      </c>
      <c r="F1118" s="23">
        <v>376556</v>
      </c>
      <c r="G1118" s="35">
        <v>2008</v>
      </c>
      <c r="H1118">
        <f>Table_8[[#This Row],[Listing Price (USD)]]/10000</f>
        <v>37.6556</v>
      </c>
      <c r="I1118">
        <f>Table_8[[#This Row],[Length 
(ft)]]</f>
        <v>47</v>
      </c>
      <c r="J1118" s="37">
        <f>2020-Table_8[[#This Row],[Year]]</f>
        <v>12</v>
      </c>
      <c r="K1118">
        <v>188925995936.80701</v>
      </c>
      <c r="L1118">
        <v>17658.947301119199</v>
      </c>
      <c r="M1118">
        <v>-1.2479835558140799</v>
      </c>
      <c r="N1118">
        <v>-9.0040436420214593</v>
      </c>
      <c r="O1118" s="39">
        <v>40.19</v>
      </c>
      <c r="P1118" s="39">
        <v>1410.002</v>
      </c>
      <c r="Q1118" s="39">
        <v>127</v>
      </c>
      <c r="R1118" s="39">
        <v>25.6</v>
      </c>
    </row>
    <row r="1119" spans="1:18" x14ac:dyDescent="0.25">
      <c r="A1119" s="1" t="s">
        <v>411</v>
      </c>
      <c r="B1119" s="2" t="s">
        <v>424</v>
      </c>
      <c r="C1119" s="19">
        <v>47</v>
      </c>
      <c r="D1119" s="3" t="s">
        <v>496</v>
      </c>
      <c r="E1119" s="4" t="s">
        <v>24</v>
      </c>
      <c r="F1119" s="23">
        <v>418744</v>
      </c>
      <c r="G1119" s="35">
        <v>2008</v>
      </c>
      <c r="H1119">
        <f>Table_8[[#This Row],[Listing Price (USD)]]/10000</f>
        <v>41.874400000000001</v>
      </c>
      <c r="I1119">
        <f>Table_8[[#This Row],[Length 
(ft)]]</f>
        <v>47</v>
      </c>
      <c r="J1119" s="37">
        <f>2020-Table_8[[#This Row],[Year]]</f>
        <v>12</v>
      </c>
      <c r="K1119">
        <v>1896755301518.1399</v>
      </c>
      <c r="L1119">
        <v>31911.0357890017</v>
      </c>
      <c r="M1119">
        <v>-0.13770757391656999</v>
      </c>
      <c r="N1119">
        <v>-9.0399534112288507</v>
      </c>
      <c r="O1119" s="39">
        <v>40.19</v>
      </c>
      <c r="P1119" s="39">
        <v>1410.002</v>
      </c>
      <c r="Q1119" s="39">
        <v>127</v>
      </c>
      <c r="R1119" s="39">
        <v>25.6</v>
      </c>
    </row>
    <row r="1120" spans="1:18" x14ac:dyDescent="0.25">
      <c r="A1120" s="1" t="s">
        <v>411</v>
      </c>
      <c r="B1120" s="2" t="s">
        <v>424</v>
      </c>
      <c r="C1120" s="19">
        <v>47</v>
      </c>
      <c r="D1120" s="3" t="s">
        <v>497</v>
      </c>
      <c r="E1120" s="3" t="s">
        <v>481</v>
      </c>
      <c r="F1120" s="23">
        <v>450000</v>
      </c>
      <c r="G1120" s="35">
        <v>2011</v>
      </c>
      <c r="H1120">
        <f>Table_8[[#This Row],[Listing Price (USD)]]/10000</f>
        <v>45</v>
      </c>
      <c r="I1120">
        <f>Table_8[[#This Row],[Length 
(ft)]]</f>
        <v>47</v>
      </c>
      <c r="J1120" s="37">
        <f>2020-Table_8[[#This Row],[Year]]</f>
        <v>9</v>
      </c>
      <c r="K1120">
        <v>53977000000</v>
      </c>
      <c r="L1120">
        <v>12569.1715435651</v>
      </c>
      <c r="M1120">
        <v>-1.55027540803759</v>
      </c>
      <c r="N1120">
        <v>-17.944893597249301</v>
      </c>
      <c r="O1120" s="39">
        <v>40.19</v>
      </c>
      <c r="P1120" s="39">
        <v>1410.002</v>
      </c>
      <c r="Q1120" s="39">
        <v>127</v>
      </c>
      <c r="R1120" s="39">
        <v>25.6</v>
      </c>
    </row>
    <row r="1121" spans="1:18" x14ac:dyDescent="0.25">
      <c r="A1121" s="1" t="s">
        <v>411</v>
      </c>
      <c r="B1121" s="2" t="s">
        <v>424</v>
      </c>
      <c r="C1121" s="19">
        <v>47</v>
      </c>
      <c r="D1121" s="3" t="s">
        <v>496</v>
      </c>
      <c r="E1121" s="4" t="s">
        <v>3</v>
      </c>
      <c r="F1121" s="23">
        <v>473362</v>
      </c>
      <c r="G1121" s="35">
        <v>2013</v>
      </c>
      <c r="H1121">
        <f>Table_8[[#This Row],[Listing Price (USD)]]/10000</f>
        <v>47.336199999999998</v>
      </c>
      <c r="I1121">
        <f>Table_8[[#This Row],[Length 
(ft)]]</f>
        <v>47</v>
      </c>
      <c r="J1121" s="37">
        <f>2020-Table_8[[#This Row],[Year]]</f>
        <v>7</v>
      </c>
      <c r="K1121">
        <v>2639008701648.2598</v>
      </c>
      <c r="L1121">
        <v>39055.282928075401</v>
      </c>
      <c r="M1121">
        <v>0.47649885272508302</v>
      </c>
      <c r="N1121">
        <v>-7.7845864916787102</v>
      </c>
      <c r="O1121" s="39">
        <v>40.19</v>
      </c>
      <c r="P1121" s="39">
        <v>1410.002</v>
      </c>
      <c r="Q1121" s="39">
        <v>127</v>
      </c>
      <c r="R1121" s="39">
        <v>25.6</v>
      </c>
    </row>
    <row r="1122" spans="1:18" x14ac:dyDescent="0.25">
      <c r="A1122" s="1" t="s">
        <v>411</v>
      </c>
      <c r="B1122" s="2" t="s">
        <v>424</v>
      </c>
      <c r="C1122" s="19">
        <v>47</v>
      </c>
      <c r="D1122" s="3" t="s">
        <v>496</v>
      </c>
      <c r="E1122" s="4" t="s">
        <v>3</v>
      </c>
      <c r="F1122" s="23">
        <v>473362</v>
      </c>
      <c r="G1122" s="35">
        <v>2013</v>
      </c>
      <c r="H1122">
        <f>Table_8[[#This Row],[Listing Price (USD)]]/10000</f>
        <v>47.336199999999998</v>
      </c>
      <c r="I1122">
        <f>Table_8[[#This Row],[Length 
(ft)]]</f>
        <v>47</v>
      </c>
      <c r="J1122" s="37">
        <f>2020-Table_8[[#This Row],[Year]]</f>
        <v>7</v>
      </c>
      <c r="K1122">
        <v>2639008701648.2598</v>
      </c>
      <c r="L1122">
        <v>39055.282928075401</v>
      </c>
      <c r="M1122">
        <v>0.47649885272508302</v>
      </c>
      <c r="N1122">
        <v>-7.7845864916787102</v>
      </c>
      <c r="O1122" s="39">
        <v>40.19</v>
      </c>
      <c r="P1122" s="39">
        <v>1410.002</v>
      </c>
      <c r="Q1122" s="39">
        <v>127</v>
      </c>
      <c r="R1122" s="39">
        <v>25.6</v>
      </c>
    </row>
    <row r="1123" spans="1:18" x14ac:dyDescent="0.25">
      <c r="A1123" s="1" t="s">
        <v>411</v>
      </c>
      <c r="B1123" s="2" t="s">
        <v>424</v>
      </c>
      <c r="C1123" s="19">
        <v>47</v>
      </c>
      <c r="D1123" s="3" t="s">
        <v>496</v>
      </c>
      <c r="E1123" s="4" t="s">
        <v>3</v>
      </c>
      <c r="F1123" s="23">
        <v>473732</v>
      </c>
      <c r="G1123" s="35">
        <v>2013</v>
      </c>
      <c r="H1123">
        <f>Table_8[[#This Row],[Listing Price (USD)]]/10000</f>
        <v>47.373199999999997</v>
      </c>
      <c r="I1123">
        <f>Table_8[[#This Row],[Length 
(ft)]]</f>
        <v>47</v>
      </c>
      <c r="J1123" s="37">
        <f>2020-Table_8[[#This Row],[Year]]</f>
        <v>7</v>
      </c>
      <c r="K1123">
        <v>2639008701648.2598</v>
      </c>
      <c r="L1123">
        <v>39055.282928075401</v>
      </c>
      <c r="M1123">
        <v>0.47649885272508302</v>
      </c>
      <c r="N1123">
        <v>-7.7845864916787102</v>
      </c>
      <c r="O1123" s="39">
        <v>40.19</v>
      </c>
      <c r="P1123" s="39">
        <v>1410.002</v>
      </c>
      <c r="Q1123" s="39">
        <v>127</v>
      </c>
      <c r="R1123" s="39">
        <v>25.6</v>
      </c>
    </row>
    <row r="1124" spans="1:18" x14ac:dyDescent="0.25">
      <c r="A1124" s="1" t="s">
        <v>411</v>
      </c>
      <c r="B1124" s="2" t="s">
        <v>424</v>
      </c>
      <c r="C1124" s="19">
        <v>47</v>
      </c>
      <c r="D1124" s="3" t="s">
        <v>495</v>
      </c>
      <c r="E1124" s="3" t="s">
        <v>333</v>
      </c>
      <c r="F1124" s="23">
        <v>485000</v>
      </c>
      <c r="G1124" s="35">
        <v>2014</v>
      </c>
      <c r="H1124">
        <f>Table_8[[#This Row],[Listing Price (USD)]]/10000</f>
        <v>48.5</v>
      </c>
      <c r="I1124">
        <f>Table_8[[#This Row],[Length 
(ft)]]</f>
        <v>47</v>
      </c>
      <c r="J1124" s="37">
        <f>2020-Table_8[[#This Row],[Year]]</f>
        <v>6</v>
      </c>
      <c r="K1124">
        <v>1106036000000</v>
      </c>
      <c r="L1124">
        <v>51276.72</v>
      </c>
      <c r="M1124">
        <v>1.23</v>
      </c>
      <c r="N1124">
        <v>2.9</v>
      </c>
      <c r="O1124" s="39">
        <v>40.19</v>
      </c>
      <c r="P1124" s="39">
        <v>1410.002</v>
      </c>
      <c r="Q1124" s="39">
        <v>127</v>
      </c>
      <c r="R1124" s="39">
        <v>25.6</v>
      </c>
    </row>
    <row r="1125" spans="1:18" x14ac:dyDescent="0.25">
      <c r="A1125" s="1" t="s">
        <v>411</v>
      </c>
      <c r="B1125" s="2" t="s">
        <v>424</v>
      </c>
      <c r="C1125" s="19">
        <v>47</v>
      </c>
      <c r="D1125" s="3" t="s">
        <v>496</v>
      </c>
      <c r="E1125" s="4" t="s">
        <v>18</v>
      </c>
      <c r="F1125" s="23">
        <v>503706</v>
      </c>
      <c r="G1125" s="35">
        <v>2008</v>
      </c>
      <c r="H1125">
        <f>Table_8[[#This Row],[Listing Price (USD)]]/10000</f>
        <v>50.370600000000003</v>
      </c>
      <c r="I1125">
        <f>Table_8[[#This Row],[Length 
(ft)]]</f>
        <v>47</v>
      </c>
      <c r="J1125" s="37">
        <f>2020-Table_8[[#This Row],[Year]]</f>
        <v>12</v>
      </c>
      <c r="K1125">
        <v>188925995936.80701</v>
      </c>
      <c r="L1125">
        <v>17658.947301119199</v>
      </c>
      <c r="M1125">
        <v>-1.2479835558140799</v>
      </c>
      <c r="N1125">
        <v>-9.0040436420214593</v>
      </c>
      <c r="O1125" s="39">
        <v>40.19</v>
      </c>
      <c r="P1125" s="39">
        <v>1410.002</v>
      </c>
      <c r="Q1125" s="39">
        <v>127</v>
      </c>
      <c r="R1125" s="39">
        <v>25.6</v>
      </c>
    </row>
    <row r="1126" spans="1:18" x14ac:dyDescent="0.25">
      <c r="A1126" s="1" t="s">
        <v>411</v>
      </c>
      <c r="B1126" s="2" t="s">
        <v>424</v>
      </c>
      <c r="C1126" s="19">
        <v>47</v>
      </c>
      <c r="D1126" s="3" t="s">
        <v>497</v>
      </c>
      <c r="E1126" s="3" t="s">
        <v>483</v>
      </c>
      <c r="F1126" s="23">
        <v>563836</v>
      </c>
      <c r="G1126" s="35">
        <v>2014</v>
      </c>
      <c r="H1126">
        <f>Table_8[[#This Row],[Listing Price (USD)]]/10000</f>
        <v>56.383600000000001</v>
      </c>
      <c r="I1126">
        <f>Table_8[[#This Row],[Length 
(ft)]]</f>
        <v>47</v>
      </c>
      <c r="J1126" s="37">
        <f>2020-Table_8[[#This Row],[Year]]</f>
        <v>6</v>
      </c>
      <c r="K1126">
        <v>4200000000</v>
      </c>
      <c r="L1126">
        <v>39553.199999999997</v>
      </c>
      <c r="M1126">
        <v>2.5</v>
      </c>
      <c r="N1126">
        <v>-2.1</v>
      </c>
      <c r="O1126" s="39">
        <v>40.19</v>
      </c>
      <c r="P1126" s="39">
        <v>1410.002</v>
      </c>
      <c r="Q1126" s="39">
        <v>127</v>
      </c>
      <c r="R1126" s="39">
        <v>25.6</v>
      </c>
    </row>
    <row r="1127" spans="1:18" x14ac:dyDescent="0.25">
      <c r="A1127" s="1" t="s">
        <v>478</v>
      </c>
      <c r="B1127" s="3" t="s">
        <v>479</v>
      </c>
      <c r="C1127" s="19">
        <v>47</v>
      </c>
      <c r="D1127" s="3" t="s">
        <v>497</v>
      </c>
      <c r="E1127" s="3" t="s">
        <v>483</v>
      </c>
      <c r="F1127" s="23">
        <v>565040</v>
      </c>
      <c r="G1127" s="35">
        <v>2014</v>
      </c>
      <c r="H1127">
        <f>Table_8[[#This Row],[Listing Price (USD)]]/10000</f>
        <v>56.503999999999998</v>
      </c>
      <c r="I1127">
        <f>Table_8[[#This Row],[Length 
(ft)]]</f>
        <v>47</v>
      </c>
      <c r="J1127" s="37">
        <f>2020-Table_8[[#This Row],[Year]]</f>
        <v>6</v>
      </c>
      <c r="K1127">
        <v>4200000000</v>
      </c>
      <c r="L1127">
        <v>39553.199999999997</v>
      </c>
      <c r="M1127">
        <v>2.5</v>
      </c>
      <c r="N1127">
        <v>-2.1</v>
      </c>
      <c r="O1127" s="39">
        <v>40.19</v>
      </c>
      <c r="P1127" s="39">
        <v>1410.002</v>
      </c>
      <c r="Q1127" s="39">
        <v>127</v>
      </c>
      <c r="R1127" s="39">
        <v>25.6</v>
      </c>
    </row>
    <row r="1128" spans="1:18" x14ac:dyDescent="0.25">
      <c r="A1128" s="1" t="s">
        <v>411</v>
      </c>
      <c r="B1128" s="2" t="s">
        <v>421</v>
      </c>
      <c r="C1128" s="19">
        <v>45.7</v>
      </c>
      <c r="D1128" s="3" t="s">
        <v>496</v>
      </c>
      <c r="E1128" s="4" t="s">
        <v>24</v>
      </c>
      <c r="F1128" s="23">
        <v>760007</v>
      </c>
      <c r="G1128" s="35">
        <v>2019</v>
      </c>
      <c r="H1128">
        <f>Table_8[[#This Row],[Listing Price (USD)]]/10000</f>
        <v>76.000699999999995</v>
      </c>
      <c r="I1128">
        <f>Table_8[[#This Row],[Length 
(ft)]]</f>
        <v>45.7</v>
      </c>
      <c r="J1128" s="37">
        <f>2020-Table_8[[#This Row],[Year]]</f>
        <v>1</v>
      </c>
      <c r="K1128">
        <v>1896755301518.1399</v>
      </c>
      <c r="L1128">
        <v>31911.0357890017</v>
      </c>
      <c r="M1128">
        <v>-0.13770757391656999</v>
      </c>
      <c r="N1128">
        <v>-9.0399534112288507</v>
      </c>
      <c r="O1128" s="39">
        <v>46</v>
      </c>
      <c r="P1128" s="39">
        <v>807.00199999999995</v>
      </c>
      <c r="Q1128" s="39">
        <v>248</v>
      </c>
      <c r="R1128" s="39">
        <v>25.3</v>
      </c>
    </row>
    <row r="1129" spans="1:18" x14ac:dyDescent="0.25">
      <c r="A1129" s="1" t="s">
        <v>411</v>
      </c>
      <c r="B1129" s="2" t="s">
        <v>421</v>
      </c>
      <c r="C1129" s="19">
        <v>45.7</v>
      </c>
      <c r="D1129" s="3" t="s">
        <v>496</v>
      </c>
      <c r="E1129" s="4" t="s">
        <v>18</v>
      </c>
      <c r="F1129" s="23">
        <v>777300</v>
      </c>
      <c r="G1129" s="35">
        <v>2018</v>
      </c>
      <c r="H1129">
        <f>Table_8[[#This Row],[Listing Price (USD)]]/10000</f>
        <v>77.73</v>
      </c>
      <c r="I1129">
        <f>Table_8[[#This Row],[Length 
(ft)]]</f>
        <v>45.7</v>
      </c>
      <c r="J1129" s="37">
        <f>2020-Table_8[[#This Row],[Year]]</f>
        <v>2</v>
      </c>
      <c r="K1129">
        <v>188925995936.80701</v>
      </c>
      <c r="L1129">
        <v>17658.947301119199</v>
      </c>
      <c r="M1129">
        <v>-1.2479835558140799</v>
      </c>
      <c r="N1129">
        <v>-9.0040436420214593</v>
      </c>
      <c r="O1129" s="39">
        <v>46</v>
      </c>
      <c r="P1129" s="39">
        <v>807.00199999999995</v>
      </c>
      <c r="Q1129" s="39">
        <v>248</v>
      </c>
      <c r="R1129" s="39">
        <v>25.3</v>
      </c>
    </row>
    <row r="1130" spans="1:18" x14ac:dyDescent="0.25">
      <c r="A1130" s="1" t="s">
        <v>411</v>
      </c>
      <c r="B1130" s="2" t="s">
        <v>421</v>
      </c>
      <c r="C1130" s="19">
        <v>45.7</v>
      </c>
      <c r="D1130" s="3" t="s">
        <v>496</v>
      </c>
      <c r="E1130" s="4" t="s">
        <v>18</v>
      </c>
      <c r="F1130" s="23">
        <v>778247</v>
      </c>
      <c r="G1130" s="35">
        <v>2018</v>
      </c>
      <c r="H1130">
        <f>Table_8[[#This Row],[Listing Price (USD)]]/10000</f>
        <v>77.824700000000007</v>
      </c>
      <c r="I1130">
        <f>Table_8[[#This Row],[Length 
(ft)]]</f>
        <v>45.7</v>
      </c>
      <c r="J1130" s="37">
        <f>2020-Table_8[[#This Row],[Year]]</f>
        <v>2</v>
      </c>
      <c r="K1130">
        <v>188925995936.80701</v>
      </c>
      <c r="L1130">
        <v>17658.947301119199</v>
      </c>
      <c r="M1130">
        <v>-1.2479835558140799</v>
      </c>
      <c r="N1130">
        <v>-9.0040436420214593</v>
      </c>
      <c r="O1130" s="39">
        <v>46</v>
      </c>
      <c r="P1130" s="39">
        <v>807.00199999999995</v>
      </c>
      <c r="Q1130" s="39">
        <v>248</v>
      </c>
      <c r="R1130" s="39">
        <v>25.3</v>
      </c>
    </row>
    <row r="1131" spans="1:18" x14ac:dyDescent="0.25">
      <c r="A1131" s="1" t="s">
        <v>411</v>
      </c>
      <c r="B1131" s="2" t="s">
        <v>421</v>
      </c>
      <c r="C1131" s="19">
        <v>45.7</v>
      </c>
      <c r="D1131" s="3" t="s">
        <v>496</v>
      </c>
      <c r="E1131" s="4" t="s">
        <v>18</v>
      </c>
      <c r="F1131" s="23">
        <v>778247</v>
      </c>
      <c r="G1131" s="35">
        <v>2018</v>
      </c>
      <c r="H1131">
        <f>Table_8[[#This Row],[Listing Price (USD)]]/10000</f>
        <v>77.824700000000007</v>
      </c>
      <c r="I1131">
        <f>Table_8[[#This Row],[Length 
(ft)]]</f>
        <v>45.7</v>
      </c>
      <c r="J1131" s="37">
        <f>2020-Table_8[[#This Row],[Year]]</f>
        <v>2</v>
      </c>
      <c r="K1131">
        <v>188925995936.80701</v>
      </c>
      <c r="L1131">
        <v>17658.947301119199</v>
      </c>
      <c r="M1131">
        <v>-1.2479835558140799</v>
      </c>
      <c r="N1131">
        <v>-9.0040436420214593</v>
      </c>
      <c r="O1131" s="39">
        <v>46</v>
      </c>
      <c r="P1131" s="39">
        <v>807.00199999999995</v>
      </c>
      <c r="Q1131" s="39">
        <v>248</v>
      </c>
      <c r="R1131" s="39">
        <v>25.3</v>
      </c>
    </row>
    <row r="1132" spans="1:18" x14ac:dyDescent="0.25">
      <c r="A1132" s="1" t="s">
        <v>411</v>
      </c>
      <c r="B1132" s="2" t="s">
        <v>421</v>
      </c>
      <c r="C1132" s="19">
        <v>45.7</v>
      </c>
      <c r="D1132" s="3" t="s">
        <v>496</v>
      </c>
      <c r="E1132" s="4" t="s">
        <v>18</v>
      </c>
      <c r="F1132" s="23">
        <v>778247</v>
      </c>
      <c r="G1132" s="35">
        <v>2018</v>
      </c>
      <c r="H1132">
        <f>Table_8[[#This Row],[Listing Price (USD)]]/10000</f>
        <v>77.824700000000007</v>
      </c>
      <c r="I1132">
        <f>Table_8[[#This Row],[Length 
(ft)]]</f>
        <v>45.7</v>
      </c>
      <c r="J1132" s="37">
        <f>2020-Table_8[[#This Row],[Year]]</f>
        <v>2</v>
      </c>
      <c r="K1132">
        <v>188925995936.80701</v>
      </c>
      <c r="L1132">
        <v>17658.947301119199</v>
      </c>
      <c r="M1132">
        <v>-1.2479835558140799</v>
      </c>
      <c r="N1132">
        <v>-9.0040436420214593</v>
      </c>
      <c r="O1132" s="39">
        <v>46</v>
      </c>
      <c r="P1132" s="39">
        <v>807.00199999999995</v>
      </c>
      <c r="Q1132" s="39">
        <v>248</v>
      </c>
      <c r="R1132" s="39">
        <v>25.3</v>
      </c>
    </row>
    <row r="1133" spans="1:18" x14ac:dyDescent="0.25">
      <c r="A1133" s="1" t="s">
        <v>411</v>
      </c>
      <c r="B1133" s="2" t="s">
        <v>421</v>
      </c>
      <c r="C1133" s="19">
        <v>45.7</v>
      </c>
      <c r="D1133" s="3" t="s">
        <v>496</v>
      </c>
      <c r="E1133" s="4" t="s">
        <v>63</v>
      </c>
      <c r="F1133" s="23">
        <v>788158</v>
      </c>
      <c r="G1133" s="35">
        <v>2018</v>
      </c>
      <c r="H1133">
        <f>Table_8[[#This Row],[Listing Price (USD)]]/10000</f>
        <v>78.815799999999996</v>
      </c>
      <c r="I1133">
        <f>Table_8[[#This Row],[Length 
(ft)]]</f>
        <v>45.7</v>
      </c>
      <c r="J1133" s="37">
        <f>2020-Table_8[[#This Row],[Year]]</f>
        <v>2</v>
      </c>
      <c r="K1133">
        <v>720290000000</v>
      </c>
      <c r="L1133">
        <v>13341.6</v>
      </c>
      <c r="M1133">
        <v>13</v>
      </c>
      <c r="N1133">
        <v>-3</v>
      </c>
      <c r="O1133" s="39">
        <v>46</v>
      </c>
      <c r="P1133" s="39">
        <v>807.00199999999995</v>
      </c>
      <c r="Q1133" s="39">
        <v>248</v>
      </c>
      <c r="R1133" s="39">
        <v>25.3</v>
      </c>
    </row>
    <row r="1134" spans="1:18" x14ac:dyDescent="0.25">
      <c r="A1134" s="1" t="s">
        <v>411</v>
      </c>
      <c r="B1134" s="2" t="s">
        <v>421</v>
      </c>
      <c r="C1134" s="19">
        <v>45.7</v>
      </c>
      <c r="D1134" s="3" t="s">
        <v>496</v>
      </c>
      <c r="E1134" s="4" t="s">
        <v>63</v>
      </c>
      <c r="F1134" s="23">
        <v>789553</v>
      </c>
      <c r="G1134" s="35">
        <v>2018</v>
      </c>
      <c r="H1134">
        <f>Table_8[[#This Row],[Listing Price (USD)]]/10000</f>
        <v>78.955299999999994</v>
      </c>
      <c r="I1134">
        <f>Table_8[[#This Row],[Length 
(ft)]]</f>
        <v>45.7</v>
      </c>
      <c r="J1134" s="37">
        <f>2020-Table_8[[#This Row],[Year]]</f>
        <v>2</v>
      </c>
      <c r="K1134">
        <v>720290000000</v>
      </c>
      <c r="L1134">
        <v>13341.6</v>
      </c>
      <c r="M1134">
        <v>13</v>
      </c>
      <c r="N1134">
        <v>-3</v>
      </c>
      <c r="O1134" s="39">
        <v>46</v>
      </c>
      <c r="P1134" s="39">
        <v>807.00199999999995</v>
      </c>
      <c r="Q1134" s="39">
        <v>248</v>
      </c>
      <c r="R1134" s="39">
        <v>25.3</v>
      </c>
    </row>
    <row r="1135" spans="1:18" x14ac:dyDescent="0.25">
      <c r="A1135" s="1" t="s">
        <v>411</v>
      </c>
      <c r="B1135" s="2" t="s">
        <v>421</v>
      </c>
      <c r="C1135" s="19">
        <v>45.7</v>
      </c>
      <c r="D1135" s="3" t="s">
        <v>495</v>
      </c>
      <c r="E1135" s="3" t="s">
        <v>333</v>
      </c>
      <c r="F1135" s="23">
        <v>828000</v>
      </c>
      <c r="G1135" s="35">
        <v>2018</v>
      </c>
      <c r="H1135">
        <f>Table_8[[#This Row],[Listing Price (USD)]]/10000</f>
        <v>82.8</v>
      </c>
      <c r="I1135">
        <f>Table_8[[#This Row],[Length 
(ft)]]</f>
        <v>45.7</v>
      </c>
      <c r="J1135" s="37">
        <f>2020-Table_8[[#This Row],[Year]]</f>
        <v>2</v>
      </c>
      <c r="K1135">
        <v>1106036000000</v>
      </c>
      <c r="L1135">
        <v>51276.72</v>
      </c>
      <c r="M1135">
        <v>1.23</v>
      </c>
      <c r="N1135">
        <v>2.9</v>
      </c>
      <c r="O1135" s="39">
        <v>46</v>
      </c>
      <c r="P1135" s="39">
        <v>807.00199999999995</v>
      </c>
      <c r="Q1135" s="39">
        <v>248</v>
      </c>
      <c r="R1135" s="39">
        <v>25.3</v>
      </c>
    </row>
    <row r="1136" spans="1:18" x14ac:dyDescent="0.25">
      <c r="A1136" s="1" t="s">
        <v>411</v>
      </c>
      <c r="B1136" s="2" t="s">
        <v>421</v>
      </c>
      <c r="C1136" s="19">
        <v>45.7</v>
      </c>
      <c r="D1136" s="3" t="s">
        <v>495</v>
      </c>
      <c r="E1136" s="3" t="s">
        <v>333</v>
      </c>
      <c r="F1136" s="23">
        <v>828000</v>
      </c>
      <c r="G1136" s="35">
        <v>2018</v>
      </c>
      <c r="H1136">
        <f>Table_8[[#This Row],[Listing Price (USD)]]/10000</f>
        <v>82.8</v>
      </c>
      <c r="I1136">
        <f>Table_8[[#This Row],[Length 
(ft)]]</f>
        <v>45.7</v>
      </c>
      <c r="J1136" s="37">
        <f>2020-Table_8[[#This Row],[Year]]</f>
        <v>2</v>
      </c>
      <c r="K1136">
        <v>1106036000000</v>
      </c>
      <c r="L1136">
        <v>51276.72</v>
      </c>
      <c r="M1136">
        <v>1.23</v>
      </c>
      <c r="N1136">
        <v>2.9</v>
      </c>
      <c r="O1136" s="39">
        <v>46</v>
      </c>
      <c r="P1136" s="39">
        <v>807.00199999999995</v>
      </c>
      <c r="Q1136" s="39">
        <v>248</v>
      </c>
      <c r="R1136" s="39">
        <v>25.3</v>
      </c>
    </row>
    <row r="1137" spans="1:18" x14ac:dyDescent="0.25">
      <c r="A1137" s="1" t="s">
        <v>411</v>
      </c>
      <c r="B1137" s="2" t="s">
        <v>421</v>
      </c>
      <c r="C1137" s="19">
        <v>45.7</v>
      </c>
      <c r="D1137" s="3" t="s">
        <v>495</v>
      </c>
      <c r="E1137" s="3" t="s">
        <v>333</v>
      </c>
      <c r="F1137" s="23">
        <v>874000</v>
      </c>
      <c r="G1137" s="35">
        <v>2019</v>
      </c>
      <c r="H1137">
        <f>Table_8[[#This Row],[Listing Price (USD)]]/10000</f>
        <v>87.4</v>
      </c>
      <c r="I1137">
        <f>Table_8[[#This Row],[Length 
(ft)]]</f>
        <v>45.7</v>
      </c>
      <c r="J1137" s="37">
        <f>2020-Table_8[[#This Row],[Year]]</f>
        <v>1</v>
      </c>
      <c r="K1137">
        <v>1106036000000</v>
      </c>
      <c r="L1137">
        <v>51276.72</v>
      </c>
      <c r="M1137">
        <v>1.23</v>
      </c>
      <c r="N1137">
        <v>2.9</v>
      </c>
      <c r="O1137" s="39">
        <v>46</v>
      </c>
      <c r="P1137" s="39">
        <v>807.00199999999995</v>
      </c>
      <c r="Q1137" s="39">
        <v>248</v>
      </c>
      <c r="R1137" s="39">
        <v>25.3</v>
      </c>
    </row>
    <row r="1138" spans="1:18" x14ac:dyDescent="0.25">
      <c r="A1138" s="1" t="s">
        <v>411</v>
      </c>
      <c r="B1138" s="2" t="s">
        <v>421</v>
      </c>
      <c r="C1138" s="19">
        <v>45.7</v>
      </c>
      <c r="D1138" s="3" t="s">
        <v>495</v>
      </c>
      <c r="E1138" s="3" t="s">
        <v>333</v>
      </c>
      <c r="F1138" s="23">
        <v>874000</v>
      </c>
      <c r="G1138" s="35">
        <v>2019</v>
      </c>
      <c r="H1138">
        <f>Table_8[[#This Row],[Listing Price (USD)]]/10000</f>
        <v>87.4</v>
      </c>
      <c r="I1138">
        <f>Table_8[[#This Row],[Length 
(ft)]]</f>
        <v>45.7</v>
      </c>
      <c r="J1138" s="37">
        <f>2020-Table_8[[#This Row],[Year]]</f>
        <v>1</v>
      </c>
      <c r="K1138">
        <v>1106036000000</v>
      </c>
      <c r="L1138">
        <v>51276.72</v>
      </c>
      <c r="M1138">
        <v>1.23</v>
      </c>
      <c r="N1138">
        <v>2.9</v>
      </c>
      <c r="O1138" s="39">
        <v>46</v>
      </c>
      <c r="P1138" s="39">
        <v>807.00199999999995</v>
      </c>
      <c r="Q1138" s="39">
        <v>248</v>
      </c>
      <c r="R1138" s="39">
        <v>25.3</v>
      </c>
    </row>
    <row r="1139" spans="1:18" x14ac:dyDescent="0.25">
      <c r="A1139" s="1" t="s">
        <v>467</v>
      </c>
      <c r="B1139" s="2" t="s">
        <v>468</v>
      </c>
      <c r="C1139" s="19">
        <v>56</v>
      </c>
      <c r="D1139" s="3" t="s">
        <v>497</v>
      </c>
      <c r="E1139" s="3" t="s">
        <v>392</v>
      </c>
      <c r="F1139" s="23">
        <v>899000</v>
      </c>
      <c r="G1139" s="35">
        <v>2014</v>
      </c>
      <c r="H1139">
        <f>Table_8[[#This Row],[Listing Price (USD)]]/10000</f>
        <v>89.9</v>
      </c>
      <c r="I1139">
        <f>Table_8[[#This Row],[Length 
(ft)]]</f>
        <v>56</v>
      </c>
      <c r="J1139" s="37">
        <f>2020-Table_8[[#This Row],[Year]]</f>
        <v>6</v>
      </c>
      <c r="K1139">
        <v>1043414814.81481</v>
      </c>
      <c r="L1139">
        <v>8437.5667322870595</v>
      </c>
      <c r="M1139">
        <v>-0.74073259704550098</v>
      </c>
      <c r="N1139">
        <v>-13.7559294530644</v>
      </c>
      <c r="O1139" s="39">
        <v>55</v>
      </c>
      <c r="P1139" s="39">
        <v>2110</v>
      </c>
      <c r="Q1139" s="39">
        <v>370</v>
      </c>
      <c r="R1139" s="39">
        <v>30.33</v>
      </c>
    </row>
    <row r="1140" spans="1:18" x14ac:dyDescent="0.25">
      <c r="A1140" s="1" t="s">
        <v>467</v>
      </c>
      <c r="B1140" s="2" t="s">
        <v>468</v>
      </c>
      <c r="C1140" s="19">
        <v>56</v>
      </c>
      <c r="D1140" s="3" t="s">
        <v>495</v>
      </c>
      <c r="E1140" s="3" t="s">
        <v>333</v>
      </c>
      <c r="F1140" s="23">
        <v>999000</v>
      </c>
      <c r="G1140" s="35">
        <v>2015</v>
      </c>
      <c r="H1140">
        <f>Table_8[[#This Row],[Listing Price (USD)]]/10000</f>
        <v>99.9</v>
      </c>
      <c r="I1140">
        <f>Table_8[[#This Row],[Length 
(ft)]]</f>
        <v>56</v>
      </c>
      <c r="J1140" s="37">
        <f>2020-Table_8[[#This Row],[Year]]</f>
        <v>5</v>
      </c>
      <c r="K1140">
        <v>1106036000000</v>
      </c>
      <c r="L1140">
        <v>51276.72</v>
      </c>
      <c r="M1140">
        <v>1.23</v>
      </c>
      <c r="N1140">
        <v>2.9</v>
      </c>
      <c r="O1140" s="39">
        <v>55</v>
      </c>
      <c r="P1140" s="39">
        <v>2110</v>
      </c>
      <c r="Q1140" s="39">
        <v>370</v>
      </c>
      <c r="R1140" s="39">
        <v>30.33</v>
      </c>
    </row>
    <row r="1141" spans="1:18" x14ac:dyDescent="0.25">
      <c r="A1141" s="1" t="s">
        <v>467</v>
      </c>
      <c r="B1141" s="2" t="s">
        <v>468</v>
      </c>
      <c r="C1141" s="19">
        <v>56</v>
      </c>
      <c r="D1141" s="3" t="s">
        <v>497</v>
      </c>
      <c r="E1141" s="3" t="s">
        <v>377</v>
      </c>
      <c r="F1141" s="23">
        <v>1094334</v>
      </c>
      <c r="G1141" s="35">
        <v>2017</v>
      </c>
      <c r="H1141">
        <f>Table_8[[#This Row],[Listing Price (USD)]]/10000</f>
        <v>109.43340000000001</v>
      </c>
      <c r="I1141">
        <f>Table_8[[#This Row],[Length 
(ft)]]</f>
        <v>56</v>
      </c>
      <c r="J1141" s="37">
        <f>2020-Table_8[[#This Row],[Year]]</f>
        <v>3</v>
      </c>
      <c r="K1141">
        <v>681973374534.10596</v>
      </c>
      <c r="L1141">
        <v>27575.495000325591</v>
      </c>
      <c r="M1141">
        <v>0.8848420113691905</v>
      </c>
      <c r="N1141">
        <v>-6.3525291034127971</v>
      </c>
      <c r="O1141" s="39">
        <v>55</v>
      </c>
      <c r="P1141" s="39">
        <v>2110</v>
      </c>
      <c r="Q1141" s="39">
        <v>370</v>
      </c>
      <c r="R1141" s="39">
        <v>30.33</v>
      </c>
    </row>
    <row r="1142" spans="1:18" x14ac:dyDescent="0.25">
      <c r="A1142" s="1" t="s">
        <v>467</v>
      </c>
      <c r="B1142" s="2" t="s">
        <v>468</v>
      </c>
      <c r="C1142" s="19">
        <v>56</v>
      </c>
      <c r="D1142" s="3" t="s">
        <v>495</v>
      </c>
      <c r="E1142" s="3" t="s">
        <v>333</v>
      </c>
      <c r="F1142" s="23">
        <v>1200000</v>
      </c>
      <c r="G1142" s="35">
        <v>2015</v>
      </c>
      <c r="H1142">
        <f>Table_8[[#This Row],[Listing Price (USD)]]/10000</f>
        <v>120</v>
      </c>
      <c r="I1142">
        <f>Table_8[[#This Row],[Length 
(ft)]]</f>
        <v>56</v>
      </c>
      <c r="J1142" s="37">
        <f>2020-Table_8[[#This Row],[Year]]</f>
        <v>5</v>
      </c>
      <c r="K1142">
        <v>1106036000000</v>
      </c>
      <c r="L1142">
        <v>51276.72</v>
      </c>
      <c r="M1142">
        <v>1.23</v>
      </c>
      <c r="N1142">
        <v>2.9</v>
      </c>
      <c r="O1142" s="39">
        <v>55</v>
      </c>
      <c r="P1142" s="39">
        <v>2110</v>
      </c>
      <c r="Q1142" s="39">
        <v>370</v>
      </c>
      <c r="R1142" s="39">
        <v>30.33</v>
      </c>
    </row>
    <row r="1143" spans="1:18" x14ac:dyDescent="0.25">
      <c r="A1143" s="1" t="s">
        <v>467</v>
      </c>
      <c r="B1143" s="2" t="s">
        <v>468</v>
      </c>
      <c r="C1143" s="19">
        <v>56</v>
      </c>
      <c r="D1143" s="3" t="s">
        <v>495</v>
      </c>
      <c r="E1143" s="3" t="s">
        <v>333</v>
      </c>
      <c r="F1143" s="23">
        <v>1495000</v>
      </c>
      <c r="G1143" s="35">
        <v>2019</v>
      </c>
      <c r="H1143">
        <f>Table_8[[#This Row],[Listing Price (USD)]]/10000</f>
        <v>149.5</v>
      </c>
      <c r="I1143">
        <f>Table_8[[#This Row],[Length 
(ft)]]</f>
        <v>56</v>
      </c>
      <c r="J1143" s="37">
        <f>2020-Table_8[[#This Row],[Year]]</f>
        <v>1</v>
      </c>
      <c r="K1143">
        <v>1106036000000</v>
      </c>
      <c r="L1143">
        <v>51276.72</v>
      </c>
      <c r="M1143">
        <v>1.23</v>
      </c>
      <c r="N1143">
        <v>2.9</v>
      </c>
      <c r="O1143" s="39">
        <v>55</v>
      </c>
      <c r="P1143" s="39">
        <v>2110</v>
      </c>
      <c r="Q1143" s="39">
        <v>370</v>
      </c>
      <c r="R1143" s="39">
        <v>30.33</v>
      </c>
    </row>
    <row r="1144" spans="1:18" x14ac:dyDescent="0.25">
      <c r="A1144" s="1" t="s">
        <v>442</v>
      </c>
      <c r="B1144" s="2" t="s">
        <v>486</v>
      </c>
      <c r="C1144" s="19">
        <v>39</v>
      </c>
      <c r="D1144" s="3" t="s">
        <v>497</v>
      </c>
      <c r="E1144" s="3" t="s">
        <v>370</v>
      </c>
      <c r="F1144" s="23">
        <v>95000</v>
      </c>
      <c r="G1144" s="35">
        <v>2015</v>
      </c>
      <c r="H1144">
        <f>Table_8[[#This Row],[Listing Price (USD)]]/10000</f>
        <v>9.5</v>
      </c>
      <c r="I1144">
        <f>Table_8[[#This Row],[Length 
(ft)]]</f>
        <v>39</v>
      </c>
      <c r="J1144" s="37">
        <f>2020-Table_8[[#This Row],[Year]]</f>
        <v>5</v>
      </c>
      <c r="K1144">
        <v>500000000</v>
      </c>
      <c r="L1144">
        <v>34200</v>
      </c>
      <c r="M1144">
        <v>1.1000000000000001</v>
      </c>
      <c r="N1144">
        <v>2</v>
      </c>
      <c r="O1144" s="39">
        <v>37.07</v>
      </c>
      <c r="P1144" s="39">
        <v>807</v>
      </c>
      <c r="Q1144" s="39">
        <v>95</v>
      </c>
      <c r="R1144" s="39">
        <v>21.33</v>
      </c>
    </row>
    <row r="1145" spans="1:18" x14ac:dyDescent="0.25">
      <c r="A1145" s="1" t="s">
        <v>472</v>
      </c>
      <c r="B1145" s="2" t="s">
        <v>493</v>
      </c>
      <c r="C1145" s="19">
        <v>50</v>
      </c>
      <c r="D1145" s="3" t="s">
        <v>497</v>
      </c>
      <c r="E1145" s="3" t="s">
        <v>370</v>
      </c>
      <c r="F1145" s="23">
        <v>617000</v>
      </c>
      <c r="G1145" s="35">
        <v>2015</v>
      </c>
      <c r="H1145">
        <f>Table_8[[#This Row],[Listing Price (USD)]]/10000</f>
        <v>61.7</v>
      </c>
      <c r="I1145">
        <f>Table_8[[#This Row],[Length 
(ft)]]</f>
        <v>50</v>
      </c>
      <c r="J1145" s="37">
        <f>2020-Table_8[[#This Row],[Year]]</f>
        <v>5</v>
      </c>
      <c r="K1145">
        <v>500000000</v>
      </c>
      <c r="L1145">
        <v>34200</v>
      </c>
      <c r="M1145">
        <v>1.1000000000000001</v>
      </c>
      <c r="N1145">
        <v>2</v>
      </c>
      <c r="O1145" s="39">
        <v>44.5</v>
      </c>
      <c r="P1145" s="39">
        <v>1345.492</v>
      </c>
      <c r="Q1145" s="39">
        <v>106</v>
      </c>
      <c r="R1145" s="39">
        <v>25.1</v>
      </c>
    </row>
    <row r="1146" spans="1:18" x14ac:dyDescent="0.25">
      <c r="A1146" s="6" t="s">
        <v>472</v>
      </c>
      <c r="B1146" s="7" t="s">
        <v>494</v>
      </c>
      <c r="C1146" s="20">
        <v>52</v>
      </c>
      <c r="D1146" s="8" t="s">
        <v>497</v>
      </c>
      <c r="E1146" s="3" t="s">
        <v>509</v>
      </c>
      <c r="F1146" s="24">
        <v>675000</v>
      </c>
      <c r="G1146" s="35">
        <v>2012</v>
      </c>
      <c r="H1146">
        <f>Table_8[[#This Row],[Listing Price (USD)]]/10000</f>
        <v>67.5</v>
      </c>
      <c r="I1146">
        <f>Table_8[[#This Row],[Length 
(ft)]]</f>
        <v>52</v>
      </c>
      <c r="J1146" s="37">
        <f>2020-Table_8[[#This Row],[Year]]</f>
        <v>8</v>
      </c>
      <c r="K1146">
        <v>681973374534.10596</v>
      </c>
      <c r="L1146">
        <v>27575.495000325591</v>
      </c>
      <c r="M1146">
        <v>0.8848420113691905</v>
      </c>
      <c r="N1146">
        <v>-6.3525291034127971</v>
      </c>
      <c r="O1146" s="39">
        <v>46.95</v>
      </c>
      <c r="P1146" s="39">
        <v>1345.492</v>
      </c>
      <c r="Q1146" s="39">
        <v>132</v>
      </c>
      <c r="R1146" s="39">
        <v>27</v>
      </c>
    </row>
  </sheetData>
  <phoneticPr fontId="7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Monohulled</vt:lpstr>
      <vt:lpstr>Sheet1</vt:lpstr>
      <vt:lpstr>Catamarans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DELL</cp:lastModifiedBy>
  <dcterms:created xsi:type="dcterms:W3CDTF">2023-03-06T22:42:46Z</dcterms:created>
  <dcterms:modified xsi:type="dcterms:W3CDTF">2023-04-04T00:02:44Z</dcterms:modified>
  <cp:category/>
</cp:coreProperties>
</file>